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lan" sheetId="2" state="visible" r:id="rId4"/>
    <sheet name="Log" sheetId="3" state="visible" r:id="rId5"/>
    <sheet name="Consistency" sheetId="4" state="visible" r:id="rId6"/>
    <sheet name="Progress" sheetId="5" state="visible" r:id="rId7"/>
    <sheet name="Body" sheetId="6" state="visible" r:id="rId8"/>
    <sheet name="Lis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<sst xmlns="http://schemas.openxmlformats.org/spreadsheetml/2006/main" count="483" uniqueCount="204">
  <si>
    <t xml:space="preserve">Calisthenics Tracker</t>
  </si>
  <si>
    <t xml:space="preserve">Consistency + progressive overload log for the 6-day beginner plan</t>
  </si>
  <si>
    <t xml:space="preserve">Program start date (must be a Monday)</t>
  </si>
  <si>
    <t xml:space="preserve">Input: set this once. Assumed start = Mon 5 Oct 2026.</t>
  </si>
  <si>
    <t xml:space="preserve">Sessions per week (target)</t>
  </si>
  <si>
    <t xml:space="preserve">Input: 6 workouts Mon-Sat. Sunday is rest + walk.</t>
  </si>
  <si>
    <t xml:space="preserve">Current program week (auto)</t>
  </si>
  <si>
    <t xml:space="preserve">Formula, do not edit.</t>
  </si>
  <si>
    <t xml:space="preserve">Colour legend</t>
  </si>
  <si>
    <t xml:space="preserve">Yellow cell, blue text</t>
  </si>
  <si>
    <t xml:space="preserve">You type here</t>
  </si>
  <si>
    <t xml:space="preserve">Plain white, black text</t>
  </si>
  <si>
    <t xml:space="preserve">Formula, leave alone</t>
  </si>
  <si>
    <t xml:space="preserve">LEVEL UP</t>
  </si>
  <si>
    <t xml:space="preserve">All sets hit your target: move to the next variation</t>
  </si>
  <si>
    <t xml:space="preserve">How to use (60 seconds a day)</t>
  </si>
  <si>
    <t xml:space="preserve">1. After each workout, open the Log sheet and add one row per exercise (date, exercise from the dropdown, reps per set).</t>
  </si>
  <si>
    <t xml:space="preserve">2. Write the variation you used in 'Variation' (e.g. incline, knee, full). Reps drop when you move to a harder variation, that is normal.</t>
  </si>
  <si>
    <t xml:space="preserve">3. For hold exercises (plank, hollow, hang) enter seconds. For per-side exercises enter reps for ONE side.</t>
  </si>
  <si>
    <t xml:space="preserve">4. Consistency sheet fills itself: a tick appears for every day that has at least one Log row. Mark Sunday walks with Y.</t>
  </si>
  <si>
    <t xml:space="preserve">5. Progress sheet shows weekly best set and total volume. Beat last week's best set, or add a set, to progress.</t>
  </si>
  <si>
    <t xml:space="preserve">6. A green 'LEVEL UP' appears in the Log when 3+ sets all reach the target on the Lists sheet. Then move up the ladder.</t>
  </si>
  <si>
    <t xml:space="preserve">7. Body sheet: weigh and measure once a week, same day, same time (morning, before food).</t>
  </si>
  <si>
    <t xml:space="preserve">Example Log row (format only, do not copy the numbers)</t>
  </si>
  <si>
    <t xml:space="preserve">Date</t>
  </si>
  <si>
    <t xml:space="preserve">Exercise</t>
  </si>
  <si>
    <t xml:space="preserve">Variation</t>
  </si>
  <si>
    <t xml:space="preserve">Set 1</t>
  </si>
  <si>
    <t xml:space="preserve">Set 2</t>
  </si>
  <si>
    <t xml:space="preserve">Set 3</t>
  </si>
  <si>
    <t xml:space="preserve">Set 4</t>
  </si>
  <si>
    <t xml:space="preserve">RPE (1-10)</t>
  </si>
  <si>
    <t xml:space="preserve">Push-up (any variation)</t>
  </si>
  <si>
    <t xml:space="preserve">Incline (table)</t>
  </si>
  <si>
    <t xml:space="preserve">RPE = how hard it felt: 10 = could not do one more rep, 8 = two reps left in the tank. Aim for 7-9.</t>
  </si>
  <si>
    <t xml:space="preserve">Weekly workout plan (reference)</t>
  </si>
  <si>
    <t xml:space="preserve">45 min per session. 30-minute day: warm-up + first 2 main exercises + 1 core exercise. Click a link for a tutorial search.</t>
  </si>
  <si>
    <t xml:space="preserve">Day</t>
  </si>
  <si>
    <t xml:space="preserve">Focus</t>
  </si>
  <si>
    <t xml:space="preserve">Block</t>
  </si>
  <si>
    <t xml:space="preserve">Sets x reps / time</t>
  </si>
  <si>
    <t xml:space="preserve">Rest</t>
  </si>
  <si>
    <t xml:space="preserve">Tutorial</t>
  </si>
  <si>
    <t xml:space="preserve">Every day</t>
  </si>
  <si>
    <t xml:space="preserve">Corrective warm-up (8 min)</t>
  </si>
  <si>
    <t xml:space="preserve">Warm-up</t>
  </si>
  <si>
    <t xml:space="preserve">Cat-cow</t>
  </si>
  <si>
    <t xml:space="preserve">10 reps</t>
  </si>
  <si>
    <t xml:space="preserve">-</t>
  </si>
  <si>
    <t xml:space="preserve">Search tutorial</t>
  </si>
  <si>
    <t xml:space="preserve">Half-kneeling hip flexor stretch</t>
  </si>
  <si>
    <t xml:space="preserve">45 sec / side</t>
  </si>
  <si>
    <t xml:space="preserve">Glute bridge</t>
  </si>
  <si>
    <t xml:space="preserve">2 x 12 (2 sec squeeze)</t>
  </si>
  <si>
    <t xml:space="preserve">30 sec</t>
  </si>
  <si>
    <t xml:space="preserve">Short foot exercise</t>
  </si>
  <si>
    <t xml:space="preserve">5 x 10 sec / foot</t>
  </si>
  <si>
    <t xml:space="preserve">90/90 hip switches</t>
  </si>
  <si>
    <t xml:space="preserve">8 / side</t>
  </si>
  <si>
    <t xml:space="preserve">Dead bug</t>
  </si>
  <si>
    <t xml:space="preserve">2 x 8 / side</t>
  </si>
  <si>
    <t xml:space="preserve">Monday</t>
  </si>
  <si>
    <t xml:space="preserve">Push + Core</t>
  </si>
  <si>
    <t xml:space="preserve">Main</t>
  </si>
  <si>
    <t xml:space="preserve">4 x 6-12</t>
  </si>
  <si>
    <t xml:space="preserve">90 sec</t>
  </si>
  <si>
    <t xml:space="preserve">Pike push-up</t>
  </si>
  <si>
    <t xml:space="preserve">3 x 6-10</t>
  </si>
  <si>
    <t xml:space="preserve">Bench / chair dips</t>
  </si>
  <si>
    <t xml:space="preserve">3 x 8-12</t>
  </si>
  <si>
    <t xml:space="preserve">60 sec</t>
  </si>
  <si>
    <t xml:space="preserve">Scapular push-up</t>
  </si>
  <si>
    <t xml:space="preserve">2 x 10</t>
  </si>
  <si>
    <t xml:space="preserve">45 sec</t>
  </si>
  <si>
    <t xml:space="preserve">Core</t>
  </si>
  <si>
    <t xml:space="preserve">Plank (posterior tilt)</t>
  </si>
  <si>
    <t xml:space="preserve">3 x 30 sec</t>
  </si>
  <si>
    <t xml:space="preserve">Hollow hold</t>
  </si>
  <si>
    <t xml:space="preserve">3 x 15 sec</t>
  </si>
  <si>
    <t xml:space="preserve">Tuesday</t>
  </si>
  <si>
    <t xml:space="preserve">Legs (squat pattern) + Glute med</t>
  </si>
  <si>
    <t xml:space="preserve">Squat (any variation)</t>
  </si>
  <si>
    <t xml:space="preserve">4 x 10-15</t>
  </si>
  <si>
    <t xml:space="preserve">Reverse lunge</t>
  </si>
  <si>
    <t xml:space="preserve">3 x 8 / side</t>
  </si>
  <si>
    <t xml:space="preserve">Side-lying leg raise</t>
  </si>
  <si>
    <t xml:space="preserve">3 x 15 / side</t>
  </si>
  <si>
    <t xml:space="preserve">Lateral walk (band or bodyweight)</t>
  </si>
  <si>
    <t xml:space="preserve">3 x 12 steps / side</t>
  </si>
  <si>
    <t xml:space="preserve">Calf raise</t>
  </si>
  <si>
    <t xml:space="preserve">3 x 15</t>
  </si>
  <si>
    <t xml:space="preserve">Bird dog</t>
  </si>
  <si>
    <t xml:space="preserve">Wednesday</t>
  </si>
  <si>
    <t xml:space="preserve">Pull + Core</t>
  </si>
  <si>
    <t xml:space="preserve">Pull progression (any variation)</t>
  </si>
  <si>
    <t xml:space="preserve">4 x 5-10</t>
  </si>
  <si>
    <t xml:space="preserve">Inverted / table row</t>
  </si>
  <si>
    <t xml:space="preserve">75 sec</t>
  </si>
  <si>
    <t xml:space="preserve">Dead hang</t>
  </si>
  <si>
    <t xml:space="preserve">3 x 20-40 sec</t>
  </si>
  <si>
    <t xml:space="preserve">Prone Y-T-W raises</t>
  </si>
  <si>
    <t xml:space="preserve">Hanging / lying knee raise</t>
  </si>
  <si>
    <t xml:space="preserve">3 x 8</t>
  </si>
  <si>
    <t xml:space="preserve">Side plank</t>
  </si>
  <si>
    <t xml:space="preserve">3 x 20 sec / side</t>
  </si>
  <si>
    <t xml:space="preserve">Thursday</t>
  </si>
  <si>
    <t xml:space="preserve">Legs (hinge, lateral hip) + Mobility</t>
  </si>
  <si>
    <t xml:space="preserve">Single-leg glute bridge</t>
  </si>
  <si>
    <t xml:space="preserve">4 x 8-12 / side</t>
  </si>
  <si>
    <t xml:space="preserve">Single-leg Romanian deadlift</t>
  </si>
  <si>
    <t xml:space="preserve">Cossack squat</t>
  </si>
  <si>
    <t xml:space="preserve">3 x 6 / side</t>
  </si>
  <si>
    <t xml:space="preserve">Copenhagen plank (short lever)</t>
  </si>
  <si>
    <t xml:space="preserve">3 x 15 sec / side</t>
  </si>
  <si>
    <t xml:space="preserve">Mobility</t>
  </si>
  <si>
    <t xml:space="preserve">Deep squat hold</t>
  </si>
  <si>
    <t xml:space="preserve">3 x 45 sec</t>
  </si>
  <si>
    <t xml:space="preserve">Adductor rock-back</t>
  </si>
  <si>
    <t xml:space="preserve">2 x 10 / side</t>
  </si>
  <si>
    <t xml:space="preserve">Friday</t>
  </si>
  <si>
    <t xml:space="preserve">Full-body skill circuit</t>
  </si>
  <si>
    <t xml:space="preserve">Circuit</t>
  </si>
  <si>
    <t xml:space="preserve">8-10 (best variation)</t>
  </si>
  <si>
    <t xml:space="preserve">0-15 sec</t>
  </si>
  <si>
    <t xml:space="preserve">15 (best variation)</t>
  </si>
  <si>
    <t xml:space="preserve">8 (or inverted row)</t>
  </si>
  <si>
    <t xml:space="preserve">20 sec</t>
  </si>
  <si>
    <t xml:space="preserve">90 sec after round</t>
  </si>
  <si>
    <t xml:space="preserve">Finisher</t>
  </si>
  <si>
    <t xml:space="preserve">Lying hamstring stretch</t>
  </si>
  <si>
    <t xml:space="preserve">30-45 sec / side</t>
  </si>
  <si>
    <t xml:space="preserve">Saturday</t>
  </si>
  <si>
    <t xml:space="preserve">Combat conditioning + Posture flow</t>
  </si>
  <si>
    <t xml:space="preserve">Shadowboxing (3 min rounds)</t>
  </si>
  <si>
    <t xml:space="preserve">3 rounds x 3 min</t>
  </si>
  <si>
    <t xml:space="preserve">1 min</t>
  </si>
  <si>
    <t xml:space="preserve">Sprawl</t>
  </si>
  <si>
    <t xml:space="preserve">Bear crawl</t>
  </si>
  <si>
    <t xml:space="preserve">3 x 20 sec</t>
  </si>
  <si>
    <t xml:space="preserve">Thoracic extension over a chair</t>
  </si>
  <si>
    <t xml:space="preserve">8 slow reps</t>
  </si>
  <si>
    <t xml:space="preserve">Sunday</t>
  </si>
  <si>
    <t xml:space="preserve">Rest + 30-40 min walk (8-10k steps)</t>
  </si>
  <si>
    <t xml:space="preserve">Optional: cat-cow + hip flexor stretch</t>
  </si>
  <si>
    <t xml:space="preserve">Daily training log</t>
  </si>
  <si>
    <t xml:space="preserve">One row per exercise per day. Yellow cells are yours. Enter reps (or seconds) for each set you did.</t>
  </si>
  <si>
    <t xml:space="preserve">Variation used</t>
  </si>
  <si>
    <t xml:space="preserve">Unit</t>
  </si>
  <si>
    <t xml:space="preserve">Set 5</t>
  </si>
  <si>
    <t xml:space="preserve">Total</t>
  </si>
  <si>
    <t xml:space="preserve">Best set</t>
  </si>
  <si>
    <t xml:space="preserve">Level-up?</t>
  </si>
  <si>
    <t xml:space="preserve">Notes</t>
  </si>
  <si>
    <t xml:space="preserve">Consistency tracker</t>
  </si>
  <si>
    <t xml:space="preserve">Ticks fill in automatically from the Log. Only the Sunday walk and notes are typed by hand.</t>
  </si>
  <si>
    <t xml:space="preserve">Sessions done</t>
  </si>
  <si>
    <t xml:space="preserve">Overall adherence</t>
  </si>
  <si>
    <t xml:space="preserve">Weeks with 5+ sessions</t>
  </si>
  <si>
    <t xml:space="preserve">Adherence = sessions done / (weekly target x weeks elapsed, including the current week).</t>
  </si>
  <si>
    <t xml:space="preserve">Week</t>
  </si>
  <si>
    <t xml:space="preserve">Week of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</si>
  <si>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</si>
  <si>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</si>
  <si>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</si>
  <si>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</si>
  <si>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</si>
  <si>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</si>
  <si>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 walk (Y)</t>
  </si>
  <si>
    <t xml:space="preserve">Sessions</t>
  </si>
  <si>
    <t xml:space="preserve">Target</t>
  </si>
  <si>
    <t xml:space="preserve">Adherence</t>
  </si>
  <si>
    <t xml:space="preserve">Progressive overload analysis</t>
  </si>
  <si>
    <t xml:space="preserve">Auto-calculated from the Log. Beat last week's best set, add a set, or move to a harder variation.</t>
  </si>
  <si>
    <t xml:space="preserve">Level-up target</t>
  </si>
  <si>
    <t xml:space="preserve">All-time best set</t>
  </si>
  <si>
    <t xml:space="preserve">This week best</t>
  </si>
  <si>
    <t xml:space="preserve">Last week best</t>
  </si>
  <si>
    <t xml:space="preserve">Change</t>
  </si>
  <si>
    <t xml:space="preserve">Status this week</t>
  </si>
  <si>
    <t xml:space="preserve">Note: 'Best set' compares the same exercise name across weeks. If you move to a harder variation, expect the number to drop first, then climb again.</t>
  </si>
  <si>
    <t xml:space="preserve">Best single set per week (reps or seconds)</t>
  </si>
  <si>
    <t xml:space="preserve">Total volume per week (all sets added up)</t>
  </si>
  <si>
    <t xml:space="preserve">Body metrics (weekly)</t>
  </si>
  <si>
    <t xml:space="preserve">Same day, same time each week (morning, before food). Waist at navel level, hips at the widest point.</t>
  </si>
  <si>
    <t xml:space="preserve">Weight (kg)</t>
  </si>
  <si>
    <t xml:space="preserve">Waist (cm)</t>
  </si>
  <si>
    <t xml:space="preserve">Hips (cm)</t>
  </si>
  <si>
    <t xml:space="preserve">Waist : hip ratio</t>
  </si>
  <si>
    <t xml:space="preserve">Weight change vs first (kg)</t>
  </si>
  <si>
    <t xml:space="preserve">Waist change vs first (cm)</t>
  </si>
  <si>
    <t xml:space="preserve">Posture notes (wall test / photo)</t>
  </si>
  <si>
    <t xml:space="preserve">Posture checks (monthly)</t>
  </si>
  <si>
    <t xml:space="preserve">Wall test: heels, hips, upper back and head touching the wall. Lower back gap bigger than a hand = pelvic tilt.</t>
  </si>
  <si>
    <t xml:space="preserve">Squat from the front: do the knees stay over the 2nd-3rd toe?</t>
  </si>
  <si>
    <t xml:space="preserve">Standing: are the feet pointing 10-15 degrees out, not 30+?</t>
  </si>
  <si>
    <t xml:space="preserve">Take a side photo in the same clothes and light each month.</t>
  </si>
  <si>
    <t xml:space="preserve">Level-up target (per set)</t>
  </si>
  <si>
    <t xml:space="preserve">Targets in column C are my suggested defaults (blue). Edit them freely. Blank = no level-up check for that exercise.</t>
  </si>
  <si>
    <t xml:space="preserve">reps</t>
  </si>
  <si>
    <t xml:space="preserve">sec</t>
  </si>
  <si>
    <t xml:space="preserve">reps / side</t>
  </si>
  <si>
    <t xml:space="preserve">steps / side</t>
  </si>
  <si>
    <t xml:space="preserve">sec / side</t>
  </si>
  <si>
    <t xml:space="preserve">rounds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</si>
</sst>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d\ dd\ mmm\ yyyy"/>
    <numFmt numFmtId="166" formatCode="General"/>
    <numFmt numFmtId="167" formatCode="dd\-mmm\-yy"/>
    <numFmt numFmtId="168" formatCode="0%"/>
    <numFmt numFmtId="169" formatCode="0;\-0;\-"/>
    <numFmt numFmtId="170" formatCode="\+0;\-0;0"/>
    <numFmt numFmtId="171" formatCode="\+0.0;\-0.0;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C6EFCE"/>
        <bgColor rgb="FFDCE6F1"/>
      </patternFill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7F7F7F"/>
      <rgbColor rgb="FF9999FF"/>
      <rgbColor rgb="FFBE4B48"/>
      <rgbColor rgb="FFFFF9DB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8B855"/>
      <rgbColor rgb="FFFFCC00"/>
      <rgbColor rgb="FFBF8F00"/>
      <rgbColor rgb="FFFF6600"/>
      <rgbColor rgb="FF595959"/>
      <rgbColor rgb="FF878787"/>
      <rgbColor rgb="FF1F3864"/>
      <rgbColor rgb="FF4A7EBB"/>
      <rgbColor rgb="FF003300"/>
      <rgbColor rgb="FF333300"/>
      <rgbColor rgb="FF993300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Best set per week: push-up, squat, pull (first 12 weeks)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Progress!C33</c:f>
              <c:strCache>
                <c:ptCount val="1"/>
                <c:pt idx="0">
                  <c:v>Push-up (any variation)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Progress!$A$34:$A$45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Progress!$C$34:$C$45</c:f>
              <c:numCache>
                <c:formatCode>0;\-0;\-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Progress!D33</c:f>
              <c:strCache>
                <c:ptCount val="1"/>
                <c:pt idx="0">
                  <c:v>Squat (any variation)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Progress!$A$34:$A$45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Progress!$D$34:$D$45</c:f>
              <c:numCache>
                <c:formatCode>0;\-0;\-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Progress!E33</c:f>
              <c:strCache>
                <c:ptCount val="1"/>
                <c:pt idx="0">
                  <c:v>Pull progression (any variation)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Progress!$A$34:$A$45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Progress!$E$34:$E$45</c:f>
              <c:numCache>
                <c:formatCode>0;\-0;\-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32760"/>
        <c:axId val="93425269"/>
      </c:lineChart>
      <c:catAx>
        <c:axId val="17327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Program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25269"/>
        <c:crosses val="autoZero"/>
        <c:auto val="1"/>
        <c:lblAlgn val="ctr"/>
        <c:lblOffset val="100"/>
        <c:noMultiLvlLbl val="0"/>
      </c:catAx>
      <c:valAx>
        <c:axId val="93425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;\-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27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130680</xdr:rowOff>
    </xdr:from>
    <xdr:to>
      <xdr:col>6</xdr:col>
      <xdr:colOff>815760</xdr:colOff>
      <xdr:row>28</xdr:row>
      <xdr:rowOff>142200</xdr:rowOff>
    </xdr:to>
    <xdr:graphicFrame>
      <xdr:nvGraphicFramePr>
        <xdr:cNvPr id="0" name="Chart 1"/>
        <xdr:cNvGraphicFramePr/>
      </xdr:nvGraphicFramePr>
      <xdr:xfrm>
        <a:off x="0" y="266688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results?search_query=cat+cow+stretch+form" TargetMode="External"/><Relationship Id="rId2" Type="http://schemas.openxmlformats.org/officeDocument/2006/relationships/hyperlink" Target="https://www.youtube.com/results?search_query=half+kneeling+hip+flexor+stretch+glute+squeeze" TargetMode="External"/><Relationship Id="rId3" Type="http://schemas.openxmlformats.org/officeDocument/2006/relationships/hyperlink" Target="https://www.youtube.com/results?search_query=glute+bridge+form+posterior+pelvic+tilt" TargetMode="External"/><Relationship Id="rId4" Type="http://schemas.openxmlformats.org/officeDocument/2006/relationships/hyperlink" Target="https://www.youtube.com/results?search_query=short+foot+exercise+arch" TargetMode="External"/><Relationship Id="rId5" Type="http://schemas.openxmlformats.org/officeDocument/2006/relationships/hyperlink" Target="https://www.youtube.com/results?search_query=90+90+hip+switches+mobility" TargetMode="External"/><Relationship Id="rId6" Type="http://schemas.openxmlformats.org/officeDocument/2006/relationships/hyperlink" Target="https://www.youtube.com/results?search_query=dead+bug+exercise+form" TargetMode="External"/><Relationship Id="rId7" Type="http://schemas.openxmlformats.org/officeDocument/2006/relationships/hyperlink" Target="https://www.youtube.com/results?search_query=perfect+push+up+form" TargetMode="External"/><Relationship Id="rId8" Type="http://schemas.openxmlformats.org/officeDocument/2006/relationships/hyperlink" Target="https://www.youtube.com/results?search_query=pike+push+up+form" TargetMode="External"/><Relationship Id="rId9" Type="http://schemas.openxmlformats.org/officeDocument/2006/relationships/hyperlink" Target="https://www.youtube.com/results?search_query=bench+dips+correct+form+shoulder+safe" TargetMode="External"/><Relationship Id="rId10" Type="http://schemas.openxmlformats.org/officeDocument/2006/relationships/hyperlink" Target="https://www.youtube.com/results?search_query=scapular+push+ups" TargetMode="External"/><Relationship Id="rId11" Type="http://schemas.openxmlformats.org/officeDocument/2006/relationships/hyperlink" Target="https://www.youtube.com/results?search_query=plank+posterior+pelvic+tilt+form" TargetMode="External"/><Relationship Id="rId12" Type="http://schemas.openxmlformats.org/officeDocument/2006/relationships/hyperlink" Target="https://www.youtube.com/results?search_query=hollow+body+hold+form" TargetMode="External"/><Relationship Id="rId13" Type="http://schemas.openxmlformats.org/officeDocument/2006/relationships/hyperlink" Target="https://www.youtube.com/results?search_query=bodyweight+squat+form+knees+out" TargetMode="External"/><Relationship Id="rId14" Type="http://schemas.openxmlformats.org/officeDocument/2006/relationships/hyperlink" Target="https://www.youtube.com/results?search_query=reverse+lunge+knee+valgus+form" TargetMode="External"/><Relationship Id="rId15" Type="http://schemas.openxmlformats.org/officeDocument/2006/relationships/hyperlink" Target="https://www.youtube.com/results?search_query=side+lying+hip+abduction+glute+medius" TargetMode="External"/><Relationship Id="rId16" Type="http://schemas.openxmlformats.org/officeDocument/2006/relationships/hyperlink" Target="https://www.youtube.com/results?search_query=lateral+band+walk+form" TargetMode="External"/><Relationship Id="rId17" Type="http://schemas.openxmlformats.org/officeDocument/2006/relationships/hyperlink" Target="https://www.youtube.com/results?search_query=single+leg+calf+raise+form" TargetMode="External"/><Relationship Id="rId18" Type="http://schemas.openxmlformats.org/officeDocument/2006/relationships/hyperlink" Target="https://www.youtube.com/results?search_query=bird+dog+exercise+form" TargetMode="External"/><Relationship Id="rId19" Type="http://schemas.openxmlformats.org/officeDocument/2006/relationships/hyperlink" Target="https://www.youtube.com/results?search_query=perfect+pull+up+form" TargetMode="External"/><Relationship Id="rId20" Type="http://schemas.openxmlformats.org/officeDocument/2006/relationships/hyperlink" Target="https://www.youtube.com/results?search_query=inverted+row+bodyweight+form" TargetMode="External"/><Relationship Id="rId21" Type="http://schemas.openxmlformats.org/officeDocument/2006/relationships/hyperlink" Target="https://www.youtube.com/results?search_query=dead+hang+form+shoulder+engagement" TargetMode="External"/><Relationship Id="rId22" Type="http://schemas.openxmlformats.org/officeDocument/2006/relationships/hyperlink" Target="https://www.youtube.com/results?search_query=prone+Y+T+W+raises+posture" TargetMode="External"/><Relationship Id="rId23" Type="http://schemas.openxmlformats.org/officeDocument/2006/relationships/hyperlink" Target="https://www.youtube.com/results?search_query=hanging+knee+raise+no+swing" TargetMode="External"/><Relationship Id="rId24" Type="http://schemas.openxmlformats.org/officeDocument/2006/relationships/hyperlink" Target="https://www.youtube.com/results?search_query=side+plank+form" TargetMode="External"/><Relationship Id="rId25" Type="http://schemas.openxmlformats.org/officeDocument/2006/relationships/hyperlink" Target="https://www.youtube.com/results?search_query=single+leg+glute+bridge+form" TargetMode="External"/><Relationship Id="rId26" Type="http://schemas.openxmlformats.org/officeDocument/2006/relationships/hyperlink" Target="https://www.youtube.com/results?search_query=single+leg+romanian+deadlift+bodyweight+form" TargetMode="External"/><Relationship Id="rId27" Type="http://schemas.openxmlformats.org/officeDocument/2006/relationships/hyperlink" Target="https://www.youtube.com/results?search_query=cossack+squat+progression+adductor" TargetMode="External"/><Relationship Id="rId28" Type="http://schemas.openxmlformats.org/officeDocument/2006/relationships/hyperlink" Target="https://www.youtube.com/results?search_query=copenhagen+plank+beginner+knee+bent" TargetMode="External"/><Relationship Id="rId29" Type="http://schemas.openxmlformats.org/officeDocument/2006/relationships/hyperlink" Target="https://www.youtube.com/results?search_query=deep+squat+hold+mobility+heels+down" TargetMode="External"/><Relationship Id="rId30" Type="http://schemas.openxmlformats.org/officeDocument/2006/relationships/hyperlink" Target="https://www.youtube.com/results?search_query=adductor+rock+back+stretch" TargetMode="External"/><Relationship Id="rId31" Type="http://schemas.openxmlformats.org/officeDocument/2006/relationships/hyperlink" Target="https://www.youtube.com/results?search_query=perfect+push+up+form" TargetMode="External"/><Relationship Id="rId32" Type="http://schemas.openxmlformats.org/officeDocument/2006/relationships/hyperlink" Target="https://www.youtube.com/results?search_query=bodyweight+squat+form+knees+out" TargetMode="External"/><Relationship Id="rId33" Type="http://schemas.openxmlformats.org/officeDocument/2006/relationships/hyperlink" Target="https://www.youtube.com/results?search_query=perfect+pull+up+form" TargetMode="External"/><Relationship Id="rId34" Type="http://schemas.openxmlformats.org/officeDocument/2006/relationships/hyperlink" Target="https://www.youtube.com/results?search_query=hollow+body+hold+form" TargetMode="External"/><Relationship Id="rId35" Type="http://schemas.openxmlformats.org/officeDocument/2006/relationships/hyperlink" Target="https://www.youtube.com/results?search_query=half+kneeling+hip+flexor+stretch+glute+squeeze" TargetMode="External"/><Relationship Id="rId36" Type="http://schemas.openxmlformats.org/officeDocument/2006/relationships/hyperlink" Target="https://www.youtube.com/results?search_query=lying+hamstring+stretch+strap+towel" TargetMode="External"/><Relationship Id="rId37" Type="http://schemas.openxmlformats.org/officeDocument/2006/relationships/hyperlink" Target="https://www.youtube.com/results?search_query=shadow+boxing+basics+beginners" TargetMode="External"/><Relationship Id="rId38" Type="http://schemas.openxmlformats.org/officeDocument/2006/relationships/hyperlink" Target="https://www.youtube.com/results?search_query=sprawl+exercise+mma+form" TargetMode="External"/><Relationship Id="rId39" Type="http://schemas.openxmlformats.org/officeDocument/2006/relationships/hyperlink" Target="https://www.youtube.com/results?search_query=bear+crawl+form" TargetMode="External"/><Relationship Id="rId40" Type="http://schemas.openxmlformats.org/officeDocument/2006/relationships/hyperlink" Target="https://www.youtube.com/results?search_query=thoracic+extension+chair+mobility" TargetMode="External"/><Relationship Id="rId41" Type="http://schemas.openxmlformats.org/officeDocument/2006/relationships/hyperlink" Target="https://www.youtube.com/results?search_query=half+kneeling+hip+flexor+stretch+glute+squeeze" TargetMode="External"/><Relationship Id="rId42" Type="http://schemas.openxmlformats.org/officeDocument/2006/relationships/hyperlink" Target="https://www.youtube.com/results?search_query=cat+cow+stretch+form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5" min="4" style="0" width="24"/>
    <col collapsed="false" customWidth="true" hidden="false" outlineLevel="0" max="8" min="6" style="0" width="10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 t="n">
        <v>46300</v>
      </c>
      <c r="D4" s="2" t="s">
        <v>3</v>
      </c>
    </row>
    <row r="5" customFormat="false" ht="15" hidden="false" customHeight="false" outlineLevel="0" collapsed="false">
      <c r="B5" s="3" t="s">
        <v>4</v>
      </c>
      <c r="C5" s="5" t="n">
        <v>6</v>
      </c>
      <c r="D5" s="2" t="s">
        <v>5</v>
      </c>
    </row>
    <row r="6" customFormat="false" ht="15" hidden="false" customHeight="false" outlineLevel="0" collapsed="false">
      <c r="B6" s="3" t="s">
        <v>6</v>
      </c>
      <c r="C6" s="6" t="n">
        <f aca="true">MAX(1,MIN(26,INT((TODAY()-C4)/7)+1))</f>
        <v>1</v>
      </c>
      <c r="D6" s="2" t="s">
        <v>7</v>
      </c>
    </row>
    <row r="8" customFormat="false" ht="15" hidden="false" customHeight="false" outlineLevel="0" collapsed="false">
      <c r="B8" s="7" t="s">
        <v>8</v>
      </c>
    </row>
    <row r="9" customFormat="false" ht="15" hidden="false" customHeight="false" outlineLevel="0" collapsed="false">
      <c r="B9" s="8" t="s">
        <v>9</v>
      </c>
      <c r="C9" s="9" t="s">
        <v>10</v>
      </c>
    </row>
    <row r="10" customFormat="false" ht="15" hidden="false" customHeight="false" outlineLevel="0" collapsed="false">
      <c r="B10" s="9" t="s">
        <v>11</v>
      </c>
      <c r="C10" s="9" t="s">
        <v>12</v>
      </c>
    </row>
    <row r="11" customFormat="false" ht="15" hidden="false" customHeight="false" outlineLevel="0" collapsed="false">
      <c r="B11" s="10" t="s">
        <v>13</v>
      </c>
      <c r="C11" s="9" t="s">
        <v>14</v>
      </c>
    </row>
    <row r="13" customFormat="false" ht="15" hidden="false" customHeight="false" outlineLevel="0" collapsed="false">
      <c r="B13" s="7" t="s">
        <v>15</v>
      </c>
    </row>
    <row r="14" customFormat="false" ht="15" hidden="false" customHeight="false" outlineLevel="0" collapsed="false">
      <c r="B14" s="9" t="s">
        <v>16</v>
      </c>
    </row>
    <row r="15" customFormat="false" ht="15" hidden="false" customHeight="false" outlineLevel="0" collapsed="false">
      <c r="B15" s="9" t="s">
        <v>17</v>
      </c>
    </row>
    <row r="16" customFormat="false" ht="15" hidden="false" customHeight="false" outlineLevel="0" collapsed="false">
      <c r="B16" s="9" t="s">
        <v>18</v>
      </c>
    </row>
    <row r="17" customFormat="false" ht="15" hidden="false" customHeight="false" outlineLevel="0" collapsed="false">
      <c r="B17" s="9" t="s">
        <v>19</v>
      </c>
    </row>
    <row r="18" customFormat="false" ht="15" hidden="false" customHeight="false" outlineLevel="0" collapsed="false">
      <c r="B18" s="9" t="s">
        <v>20</v>
      </c>
    </row>
    <row r="19" customFormat="false" ht="15" hidden="false" customHeight="false" outlineLevel="0" collapsed="false">
      <c r="B19" s="9" t="s">
        <v>21</v>
      </c>
    </row>
    <row r="20" customFormat="false" ht="15" hidden="false" customHeight="false" outlineLevel="0" collapsed="false">
      <c r="B20" s="9" t="s">
        <v>22</v>
      </c>
    </row>
    <row r="22" customFormat="false" ht="15" hidden="false" customHeight="false" outlineLevel="0" collapsed="false">
      <c r="B22" s="7" t="s">
        <v>23</v>
      </c>
    </row>
    <row r="23" customFormat="false" ht="15" hidden="false" customHeight="false" outlineLevel="0" collapsed="false">
      <c r="B23" s="11" t="s">
        <v>24</v>
      </c>
      <c r="C23" s="11" t="s">
        <v>25</v>
      </c>
      <c r="D23" s="11" t="s">
        <v>26</v>
      </c>
      <c r="E23" s="11" t="s">
        <v>27</v>
      </c>
      <c r="F23" s="11" t="s">
        <v>28</v>
      </c>
      <c r="G23" s="11" t="s">
        <v>29</v>
      </c>
      <c r="H23" s="11" t="s">
        <v>30</v>
      </c>
      <c r="I23" s="11" t="s">
        <v>31</v>
      </c>
    </row>
    <row r="24" customFormat="false" ht="15" hidden="false" customHeight="false" outlineLevel="0" collapsed="false">
      <c r="B24" s="12" t="n">
        <v>46300</v>
      </c>
      <c r="C24" s="13" t="s">
        <v>32</v>
      </c>
      <c r="D24" s="13" t="s">
        <v>33</v>
      </c>
      <c r="E24" s="13" t="n">
        <v>8</v>
      </c>
      <c r="F24" s="13" t="n">
        <v>8</v>
      </c>
      <c r="G24" s="13" t="n">
        <v>7</v>
      </c>
      <c r="H24" s="13" t="n">
        <v>6</v>
      </c>
      <c r="I24" s="13" t="n">
        <v>8</v>
      </c>
    </row>
    <row r="25" customFormat="false" ht="15" hidden="false" customHeight="false" outlineLevel="0" collapsed="false">
      <c r="B25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7" min="6" style="0" width="18"/>
  </cols>
  <sheetData>
    <row r="1" customFormat="false" ht="19.7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11" t="s">
        <v>37</v>
      </c>
      <c r="B4" s="11" t="s">
        <v>38</v>
      </c>
      <c r="C4" s="11" t="s">
        <v>39</v>
      </c>
      <c r="D4" s="11" t="s">
        <v>25</v>
      </c>
      <c r="E4" s="11" t="s">
        <v>40</v>
      </c>
      <c r="F4" s="11" t="s">
        <v>41</v>
      </c>
      <c r="G4" s="11" t="s">
        <v>42</v>
      </c>
    </row>
    <row r="5" customFormat="false" ht="15" hidden="false" customHeight="false" outlineLevel="0" collapsed="false">
      <c r="A5" s="14" t="s">
        <v>43</v>
      </c>
      <c r="B5" s="14" t="s">
        <v>44</v>
      </c>
      <c r="C5" s="14" t="s">
        <v>45</v>
      </c>
      <c r="D5" s="14" t="s">
        <v>46</v>
      </c>
      <c r="E5" s="14" t="s">
        <v>47</v>
      </c>
      <c r="F5" s="14" t="s">
        <v>48</v>
      </c>
      <c r="G5" s="15" t="s">
        <v>49</v>
      </c>
    </row>
    <row r="6" customFormat="false" ht="15" hidden="false" customHeight="false" outlineLevel="0" collapsed="false">
      <c r="A6" s="14" t="s">
        <v>43</v>
      </c>
      <c r="B6" s="14" t="s">
        <v>44</v>
      </c>
      <c r="C6" s="14" t="s">
        <v>45</v>
      </c>
      <c r="D6" s="14" t="s">
        <v>50</v>
      </c>
      <c r="E6" s="14" t="s">
        <v>51</v>
      </c>
      <c r="F6" s="14" t="s">
        <v>48</v>
      </c>
      <c r="G6" s="15" t="s">
        <v>49</v>
      </c>
    </row>
    <row r="7" customFormat="false" ht="15" hidden="false" customHeight="false" outlineLevel="0" collapsed="false">
      <c r="A7" s="14" t="s">
        <v>43</v>
      </c>
      <c r="B7" s="14" t="s">
        <v>44</v>
      </c>
      <c r="C7" s="14" t="s">
        <v>45</v>
      </c>
      <c r="D7" s="14" t="s">
        <v>52</v>
      </c>
      <c r="E7" s="14" t="s">
        <v>53</v>
      </c>
      <c r="F7" s="14" t="s">
        <v>54</v>
      </c>
      <c r="G7" s="15" t="s">
        <v>49</v>
      </c>
    </row>
    <row r="8" customFormat="false" ht="15" hidden="false" customHeight="false" outlineLevel="0" collapsed="false">
      <c r="A8" s="14" t="s">
        <v>43</v>
      </c>
      <c r="B8" s="14" t="s">
        <v>44</v>
      </c>
      <c r="C8" s="14" t="s">
        <v>45</v>
      </c>
      <c r="D8" s="14" t="s">
        <v>55</v>
      </c>
      <c r="E8" s="14" t="s">
        <v>56</v>
      </c>
      <c r="F8" s="14" t="s">
        <v>48</v>
      </c>
      <c r="G8" s="15" t="s">
        <v>49</v>
      </c>
    </row>
    <row r="9" customFormat="false" ht="15" hidden="false" customHeight="false" outlineLevel="0" collapsed="false">
      <c r="A9" s="14" t="s">
        <v>43</v>
      </c>
      <c r="B9" s="14" t="s">
        <v>44</v>
      </c>
      <c r="C9" s="14" t="s">
        <v>45</v>
      </c>
      <c r="D9" s="14" t="s">
        <v>57</v>
      </c>
      <c r="E9" s="14" t="s">
        <v>58</v>
      </c>
      <c r="F9" s="14" t="s">
        <v>48</v>
      </c>
      <c r="G9" s="15" t="s">
        <v>49</v>
      </c>
    </row>
    <row r="10" customFormat="false" ht="15" hidden="false" customHeight="false" outlineLevel="0" collapsed="false">
      <c r="A10" s="14" t="s">
        <v>43</v>
      </c>
      <c r="B10" s="14" t="s">
        <v>44</v>
      </c>
      <c r="C10" s="14" t="s">
        <v>45</v>
      </c>
      <c r="D10" s="14" t="s">
        <v>59</v>
      </c>
      <c r="E10" s="14" t="s">
        <v>60</v>
      </c>
      <c r="F10" s="14" t="s">
        <v>54</v>
      </c>
      <c r="G10" s="15" t="s">
        <v>49</v>
      </c>
    </row>
    <row r="11" customFormat="false" ht="15" hidden="false" customHeight="false" outlineLevel="0" collapsed="false">
      <c r="A11" s="16" t="s">
        <v>61</v>
      </c>
      <c r="B11" s="16" t="s">
        <v>62</v>
      </c>
      <c r="C11" s="16" t="s">
        <v>63</v>
      </c>
      <c r="D11" s="16" t="s">
        <v>32</v>
      </c>
      <c r="E11" s="16" t="s">
        <v>64</v>
      </c>
      <c r="F11" s="16" t="s">
        <v>65</v>
      </c>
      <c r="G11" s="15" t="s">
        <v>49</v>
      </c>
    </row>
    <row r="12" customFormat="false" ht="15" hidden="false" customHeight="false" outlineLevel="0" collapsed="false">
      <c r="A12" s="16" t="s">
        <v>61</v>
      </c>
      <c r="B12" s="16" t="s">
        <v>62</v>
      </c>
      <c r="C12" s="16" t="s">
        <v>63</v>
      </c>
      <c r="D12" s="16" t="s">
        <v>66</v>
      </c>
      <c r="E12" s="16" t="s">
        <v>67</v>
      </c>
      <c r="F12" s="16" t="s">
        <v>65</v>
      </c>
      <c r="G12" s="15" t="s">
        <v>49</v>
      </c>
    </row>
    <row r="13" customFormat="false" ht="15" hidden="false" customHeight="false" outlineLevel="0" collapsed="false">
      <c r="A13" s="16" t="s">
        <v>61</v>
      </c>
      <c r="B13" s="16" t="s">
        <v>62</v>
      </c>
      <c r="C13" s="16" t="s">
        <v>63</v>
      </c>
      <c r="D13" s="16" t="s">
        <v>68</v>
      </c>
      <c r="E13" s="16" t="s">
        <v>69</v>
      </c>
      <c r="F13" s="16" t="s">
        <v>70</v>
      </c>
      <c r="G13" s="15" t="s">
        <v>49</v>
      </c>
    </row>
    <row r="14" customFormat="false" ht="15" hidden="false" customHeight="false" outlineLevel="0" collapsed="false">
      <c r="A14" s="16" t="s">
        <v>61</v>
      </c>
      <c r="B14" s="16" t="s">
        <v>62</v>
      </c>
      <c r="C14" s="16" t="s">
        <v>63</v>
      </c>
      <c r="D14" s="16" t="s">
        <v>71</v>
      </c>
      <c r="E14" s="16" t="s">
        <v>72</v>
      </c>
      <c r="F14" s="16" t="s">
        <v>73</v>
      </c>
      <c r="G14" s="15" t="s">
        <v>49</v>
      </c>
    </row>
    <row r="15" customFormat="false" ht="15" hidden="false" customHeight="false" outlineLevel="0" collapsed="false">
      <c r="A15" s="16" t="s">
        <v>61</v>
      </c>
      <c r="B15" s="16" t="s">
        <v>62</v>
      </c>
      <c r="C15" s="16" t="s">
        <v>74</v>
      </c>
      <c r="D15" s="16" t="s">
        <v>75</v>
      </c>
      <c r="E15" s="16" t="s">
        <v>76</v>
      </c>
      <c r="F15" s="16" t="s">
        <v>73</v>
      </c>
      <c r="G15" s="15" t="s">
        <v>49</v>
      </c>
    </row>
    <row r="16" customFormat="false" ht="15" hidden="false" customHeight="false" outlineLevel="0" collapsed="false">
      <c r="A16" s="16" t="s">
        <v>61</v>
      </c>
      <c r="B16" s="16" t="s">
        <v>62</v>
      </c>
      <c r="C16" s="16" t="s">
        <v>74</v>
      </c>
      <c r="D16" s="16" t="s">
        <v>77</v>
      </c>
      <c r="E16" s="16" t="s">
        <v>78</v>
      </c>
      <c r="F16" s="16" t="s">
        <v>73</v>
      </c>
      <c r="G16" s="15" t="s">
        <v>49</v>
      </c>
    </row>
    <row r="17" customFormat="false" ht="15" hidden="false" customHeight="false" outlineLevel="0" collapsed="false">
      <c r="A17" s="14" t="s">
        <v>79</v>
      </c>
      <c r="B17" s="14" t="s">
        <v>80</v>
      </c>
      <c r="C17" s="14" t="s">
        <v>63</v>
      </c>
      <c r="D17" s="14" t="s">
        <v>81</v>
      </c>
      <c r="E17" s="14" t="s">
        <v>82</v>
      </c>
      <c r="F17" s="14" t="s">
        <v>65</v>
      </c>
      <c r="G17" s="15" t="s">
        <v>49</v>
      </c>
    </row>
    <row r="18" customFormat="false" ht="15" hidden="false" customHeight="false" outlineLevel="0" collapsed="false">
      <c r="A18" s="14" t="s">
        <v>79</v>
      </c>
      <c r="B18" s="14" t="s">
        <v>80</v>
      </c>
      <c r="C18" s="14" t="s">
        <v>63</v>
      </c>
      <c r="D18" s="14" t="s">
        <v>83</v>
      </c>
      <c r="E18" s="14" t="s">
        <v>84</v>
      </c>
      <c r="F18" s="14" t="s">
        <v>70</v>
      </c>
      <c r="G18" s="15" t="s">
        <v>49</v>
      </c>
    </row>
    <row r="19" customFormat="false" ht="15" hidden="false" customHeight="false" outlineLevel="0" collapsed="false">
      <c r="A19" s="14" t="s">
        <v>79</v>
      </c>
      <c r="B19" s="14" t="s">
        <v>80</v>
      </c>
      <c r="C19" s="14" t="s">
        <v>63</v>
      </c>
      <c r="D19" s="14" t="s">
        <v>85</v>
      </c>
      <c r="E19" s="14" t="s">
        <v>86</v>
      </c>
      <c r="F19" s="14" t="s">
        <v>73</v>
      </c>
      <c r="G19" s="15" t="s">
        <v>49</v>
      </c>
    </row>
    <row r="20" customFormat="false" ht="15" hidden="false" customHeight="false" outlineLevel="0" collapsed="false">
      <c r="A20" s="14" t="s">
        <v>79</v>
      </c>
      <c r="B20" s="14" t="s">
        <v>80</v>
      </c>
      <c r="C20" s="14" t="s">
        <v>63</v>
      </c>
      <c r="D20" s="14" t="s">
        <v>87</v>
      </c>
      <c r="E20" s="14" t="s">
        <v>88</v>
      </c>
      <c r="F20" s="14" t="s">
        <v>73</v>
      </c>
      <c r="G20" s="15" t="s">
        <v>49</v>
      </c>
    </row>
    <row r="21" customFormat="false" ht="15" hidden="false" customHeight="false" outlineLevel="0" collapsed="false">
      <c r="A21" s="14" t="s">
        <v>79</v>
      </c>
      <c r="B21" s="14" t="s">
        <v>80</v>
      </c>
      <c r="C21" s="14" t="s">
        <v>63</v>
      </c>
      <c r="D21" s="14" t="s">
        <v>89</v>
      </c>
      <c r="E21" s="14" t="s">
        <v>90</v>
      </c>
      <c r="F21" s="14" t="s">
        <v>73</v>
      </c>
      <c r="G21" s="15" t="s">
        <v>49</v>
      </c>
    </row>
    <row r="22" customFormat="false" ht="15" hidden="false" customHeight="false" outlineLevel="0" collapsed="false">
      <c r="A22" s="14" t="s">
        <v>79</v>
      </c>
      <c r="B22" s="14" t="s">
        <v>80</v>
      </c>
      <c r="C22" s="14" t="s">
        <v>74</v>
      </c>
      <c r="D22" s="14" t="s">
        <v>91</v>
      </c>
      <c r="E22" s="14" t="s">
        <v>84</v>
      </c>
      <c r="F22" s="14" t="s">
        <v>73</v>
      </c>
      <c r="G22" s="15" t="s">
        <v>49</v>
      </c>
    </row>
    <row r="23" customFormat="false" ht="15" hidden="false" customHeight="false" outlineLevel="0" collapsed="false">
      <c r="A23" s="16" t="s">
        <v>92</v>
      </c>
      <c r="B23" s="16" t="s">
        <v>93</v>
      </c>
      <c r="C23" s="16" t="s">
        <v>63</v>
      </c>
      <c r="D23" s="16" t="s">
        <v>94</v>
      </c>
      <c r="E23" s="16" t="s">
        <v>95</v>
      </c>
      <c r="F23" s="16" t="s">
        <v>65</v>
      </c>
      <c r="G23" s="15" t="s">
        <v>49</v>
      </c>
    </row>
    <row r="24" customFormat="false" ht="15" hidden="false" customHeight="false" outlineLevel="0" collapsed="false">
      <c r="A24" s="16" t="s">
        <v>92</v>
      </c>
      <c r="B24" s="16" t="s">
        <v>93</v>
      </c>
      <c r="C24" s="16" t="s">
        <v>63</v>
      </c>
      <c r="D24" s="16" t="s">
        <v>96</v>
      </c>
      <c r="E24" s="16" t="s">
        <v>69</v>
      </c>
      <c r="F24" s="16" t="s">
        <v>97</v>
      </c>
      <c r="G24" s="15" t="s">
        <v>49</v>
      </c>
    </row>
    <row r="25" customFormat="false" ht="15" hidden="false" customHeight="false" outlineLevel="0" collapsed="false">
      <c r="A25" s="16" t="s">
        <v>92</v>
      </c>
      <c r="B25" s="16" t="s">
        <v>93</v>
      </c>
      <c r="C25" s="16" t="s">
        <v>63</v>
      </c>
      <c r="D25" s="16" t="s">
        <v>98</v>
      </c>
      <c r="E25" s="16" t="s">
        <v>99</v>
      </c>
      <c r="F25" s="16" t="s">
        <v>70</v>
      </c>
      <c r="G25" s="15" t="s">
        <v>49</v>
      </c>
    </row>
    <row r="26" customFormat="false" ht="15" hidden="false" customHeight="false" outlineLevel="0" collapsed="false">
      <c r="A26" s="16" t="s">
        <v>92</v>
      </c>
      <c r="B26" s="16" t="s">
        <v>93</v>
      </c>
      <c r="C26" s="16" t="s">
        <v>63</v>
      </c>
      <c r="D26" s="16" t="s">
        <v>100</v>
      </c>
      <c r="E26" s="16" t="s">
        <v>72</v>
      </c>
      <c r="F26" s="16" t="s">
        <v>73</v>
      </c>
      <c r="G26" s="15" t="s">
        <v>49</v>
      </c>
    </row>
    <row r="27" customFormat="false" ht="15" hidden="false" customHeight="false" outlineLevel="0" collapsed="false">
      <c r="A27" s="16" t="s">
        <v>92</v>
      </c>
      <c r="B27" s="16" t="s">
        <v>93</v>
      </c>
      <c r="C27" s="16" t="s">
        <v>74</v>
      </c>
      <c r="D27" s="16" t="s">
        <v>101</v>
      </c>
      <c r="E27" s="16" t="s">
        <v>102</v>
      </c>
      <c r="F27" s="16" t="s">
        <v>73</v>
      </c>
      <c r="G27" s="15" t="s">
        <v>49</v>
      </c>
    </row>
    <row r="28" customFormat="false" ht="15" hidden="false" customHeight="false" outlineLevel="0" collapsed="false">
      <c r="A28" s="16" t="s">
        <v>92</v>
      </c>
      <c r="B28" s="16" t="s">
        <v>93</v>
      </c>
      <c r="C28" s="16" t="s">
        <v>74</v>
      </c>
      <c r="D28" s="16" t="s">
        <v>103</v>
      </c>
      <c r="E28" s="16" t="s">
        <v>104</v>
      </c>
      <c r="F28" s="16" t="s">
        <v>73</v>
      </c>
      <c r="G28" s="15" t="s">
        <v>49</v>
      </c>
    </row>
    <row r="29" customFormat="false" ht="15" hidden="false" customHeight="false" outlineLevel="0" collapsed="false">
      <c r="A29" s="14" t="s">
        <v>105</v>
      </c>
      <c r="B29" s="14" t="s">
        <v>106</v>
      </c>
      <c r="C29" s="14" t="s">
        <v>63</v>
      </c>
      <c r="D29" s="14" t="s">
        <v>107</v>
      </c>
      <c r="E29" s="14" t="s">
        <v>108</v>
      </c>
      <c r="F29" s="14" t="s">
        <v>70</v>
      </c>
      <c r="G29" s="15" t="s">
        <v>49</v>
      </c>
    </row>
    <row r="30" customFormat="false" ht="15" hidden="false" customHeight="false" outlineLevel="0" collapsed="false">
      <c r="A30" s="14" t="s">
        <v>105</v>
      </c>
      <c r="B30" s="14" t="s">
        <v>106</v>
      </c>
      <c r="C30" s="14" t="s">
        <v>63</v>
      </c>
      <c r="D30" s="14" t="s">
        <v>109</v>
      </c>
      <c r="E30" s="14" t="s">
        <v>84</v>
      </c>
      <c r="F30" s="14" t="s">
        <v>70</v>
      </c>
      <c r="G30" s="15" t="s">
        <v>49</v>
      </c>
    </row>
    <row r="31" customFormat="false" ht="15" hidden="false" customHeight="false" outlineLevel="0" collapsed="false">
      <c r="A31" s="14" t="s">
        <v>105</v>
      </c>
      <c r="B31" s="14" t="s">
        <v>106</v>
      </c>
      <c r="C31" s="14" t="s">
        <v>63</v>
      </c>
      <c r="D31" s="14" t="s">
        <v>110</v>
      </c>
      <c r="E31" s="14" t="s">
        <v>111</v>
      </c>
      <c r="F31" s="14" t="s">
        <v>70</v>
      </c>
      <c r="G31" s="15" t="s">
        <v>49</v>
      </c>
    </row>
    <row r="32" customFormat="false" ht="15" hidden="false" customHeight="false" outlineLevel="0" collapsed="false">
      <c r="A32" s="14" t="s">
        <v>105</v>
      </c>
      <c r="B32" s="14" t="s">
        <v>106</v>
      </c>
      <c r="C32" s="14" t="s">
        <v>63</v>
      </c>
      <c r="D32" s="14" t="s">
        <v>112</v>
      </c>
      <c r="E32" s="14" t="s">
        <v>113</v>
      </c>
      <c r="F32" s="14" t="s">
        <v>73</v>
      </c>
      <c r="G32" s="15" t="s">
        <v>49</v>
      </c>
    </row>
    <row r="33" customFormat="false" ht="15" hidden="false" customHeight="false" outlineLevel="0" collapsed="false">
      <c r="A33" s="14" t="s">
        <v>105</v>
      </c>
      <c r="B33" s="14" t="s">
        <v>106</v>
      </c>
      <c r="C33" s="14" t="s">
        <v>114</v>
      </c>
      <c r="D33" s="14" t="s">
        <v>115</v>
      </c>
      <c r="E33" s="14" t="s">
        <v>116</v>
      </c>
      <c r="F33" s="14" t="s">
        <v>54</v>
      </c>
      <c r="G33" s="15" t="s">
        <v>49</v>
      </c>
    </row>
    <row r="34" customFormat="false" ht="15" hidden="false" customHeight="false" outlineLevel="0" collapsed="false">
      <c r="A34" s="14" t="s">
        <v>105</v>
      </c>
      <c r="B34" s="14" t="s">
        <v>106</v>
      </c>
      <c r="C34" s="14" t="s">
        <v>114</v>
      </c>
      <c r="D34" s="14" t="s">
        <v>117</v>
      </c>
      <c r="E34" s="14" t="s">
        <v>118</v>
      </c>
      <c r="F34" s="14" t="s">
        <v>48</v>
      </c>
      <c r="G34" s="15" t="s">
        <v>49</v>
      </c>
    </row>
    <row r="35" customFormat="false" ht="15" hidden="false" customHeight="false" outlineLevel="0" collapsed="false">
      <c r="A35" s="16" t="s">
        <v>119</v>
      </c>
      <c r="B35" s="16" t="s">
        <v>120</v>
      </c>
      <c r="C35" s="16" t="s">
        <v>121</v>
      </c>
      <c r="D35" s="16" t="s">
        <v>32</v>
      </c>
      <c r="E35" s="16" t="s">
        <v>122</v>
      </c>
      <c r="F35" s="16" t="s">
        <v>123</v>
      </c>
      <c r="G35" s="15" t="s">
        <v>49</v>
      </c>
    </row>
    <row r="36" customFormat="false" ht="15" hidden="false" customHeight="false" outlineLevel="0" collapsed="false">
      <c r="A36" s="16" t="s">
        <v>119</v>
      </c>
      <c r="B36" s="16" t="s">
        <v>120</v>
      </c>
      <c r="C36" s="16" t="s">
        <v>121</v>
      </c>
      <c r="D36" s="16" t="s">
        <v>81</v>
      </c>
      <c r="E36" s="16" t="s">
        <v>124</v>
      </c>
      <c r="F36" s="16" t="s">
        <v>123</v>
      </c>
      <c r="G36" s="15" t="s">
        <v>49</v>
      </c>
    </row>
    <row r="37" customFormat="false" ht="15" hidden="false" customHeight="false" outlineLevel="0" collapsed="false">
      <c r="A37" s="16" t="s">
        <v>119</v>
      </c>
      <c r="B37" s="16" t="s">
        <v>120</v>
      </c>
      <c r="C37" s="16" t="s">
        <v>121</v>
      </c>
      <c r="D37" s="16" t="s">
        <v>94</v>
      </c>
      <c r="E37" s="16" t="s">
        <v>125</v>
      </c>
      <c r="F37" s="16" t="s">
        <v>123</v>
      </c>
      <c r="G37" s="15" t="s">
        <v>49</v>
      </c>
    </row>
    <row r="38" customFormat="false" ht="15" hidden="false" customHeight="false" outlineLevel="0" collapsed="false">
      <c r="A38" s="16" t="s">
        <v>119</v>
      </c>
      <c r="B38" s="16" t="s">
        <v>120</v>
      </c>
      <c r="C38" s="16" t="s">
        <v>121</v>
      </c>
      <c r="D38" s="16" t="s">
        <v>77</v>
      </c>
      <c r="E38" s="16" t="s">
        <v>126</v>
      </c>
      <c r="F38" s="16" t="s">
        <v>127</v>
      </c>
      <c r="G38" s="15" t="s">
        <v>49</v>
      </c>
    </row>
    <row r="39" customFormat="false" ht="15" hidden="false" customHeight="false" outlineLevel="0" collapsed="false">
      <c r="A39" s="16" t="s">
        <v>119</v>
      </c>
      <c r="B39" s="16" t="s">
        <v>120</v>
      </c>
      <c r="C39" s="16" t="s">
        <v>128</v>
      </c>
      <c r="D39" s="16" t="s">
        <v>50</v>
      </c>
      <c r="E39" s="16" t="s">
        <v>51</v>
      </c>
      <c r="F39" s="16" t="s">
        <v>48</v>
      </c>
      <c r="G39" s="15" t="s">
        <v>49</v>
      </c>
    </row>
    <row r="40" customFormat="false" ht="15" hidden="false" customHeight="false" outlineLevel="0" collapsed="false">
      <c r="A40" s="16" t="s">
        <v>119</v>
      </c>
      <c r="B40" s="16" t="s">
        <v>120</v>
      </c>
      <c r="C40" s="16" t="s">
        <v>128</v>
      </c>
      <c r="D40" s="16" t="s">
        <v>129</v>
      </c>
      <c r="E40" s="16" t="s">
        <v>130</v>
      </c>
      <c r="F40" s="16" t="s">
        <v>48</v>
      </c>
      <c r="G40" s="15" t="s">
        <v>49</v>
      </c>
    </row>
    <row r="41" customFormat="false" ht="15" hidden="false" customHeight="false" outlineLevel="0" collapsed="false">
      <c r="A41" s="14" t="s">
        <v>131</v>
      </c>
      <c r="B41" s="14" t="s">
        <v>132</v>
      </c>
      <c r="C41" s="14" t="s">
        <v>63</v>
      </c>
      <c r="D41" s="14" t="s">
        <v>133</v>
      </c>
      <c r="E41" s="14" t="s">
        <v>134</v>
      </c>
      <c r="F41" s="14" t="s">
        <v>135</v>
      </c>
      <c r="G41" s="15" t="s">
        <v>49</v>
      </c>
    </row>
    <row r="42" customFormat="false" ht="15" hidden="false" customHeight="false" outlineLevel="0" collapsed="false">
      <c r="A42" s="14" t="s">
        <v>131</v>
      </c>
      <c r="B42" s="14" t="s">
        <v>132</v>
      </c>
      <c r="C42" s="14" t="s">
        <v>63</v>
      </c>
      <c r="D42" s="14" t="s">
        <v>136</v>
      </c>
      <c r="E42" s="14" t="s">
        <v>102</v>
      </c>
      <c r="F42" s="14" t="s">
        <v>70</v>
      </c>
      <c r="G42" s="15" t="s">
        <v>49</v>
      </c>
    </row>
    <row r="43" customFormat="false" ht="15" hidden="false" customHeight="false" outlineLevel="0" collapsed="false">
      <c r="A43" s="14" t="s">
        <v>131</v>
      </c>
      <c r="B43" s="14" t="s">
        <v>132</v>
      </c>
      <c r="C43" s="14" t="s">
        <v>63</v>
      </c>
      <c r="D43" s="14" t="s">
        <v>137</v>
      </c>
      <c r="E43" s="14" t="s">
        <v>138</v>
      </c>
      <c r="F43" s="14" t="s">
        <v>73</v>
      </c>
      <c r="G43" s="15" t="s">
        <v>49</v>
      </c>
    </row>
    <row r="44" customFormat="false" ht="15" hidden="false" customHeight="false" outlineLevel="0" collapsed="false">
      <c r="A44" s="14" t="s">
        <v>131</v>
      </c>
      <c r="B44" s="14" t="s">
        <v>132</v>
      </c>
      <c r="C44" s="14" t="s">
        <v>128</v>
      </c>
      <c r="D44" s="14" t="s">
        <v>139</v>
      </c>
      <c r="E44" s="14" t="s">
        <v>140</v>
      </c>
      <c r="F44" s="14" t="s">
        <v>48</v>
      </c>
      <c r="G44" s="15" t="s">
        <v>49</v>
      </c>
    </row>
    <row r="45" customFormat="false" ht="15" hidden="false" customHeight="false" outlineLevel="0" collapsed="false">
      <c r="A45" s="14" t="s">
        <v>131</v>
      </c>
      <c r="B45" s="14" t="s">
        <v>132</v>
      </c>
      <c r="C45" s="14" t="s">
        <v>128</v>
      </c>
      <c r="D45" s="14" t="s">
        <v>50</v>
      </c>
      <c r="E45" s="14" t="s">
        <v>51</v>
      </c>
      <c r="F45" s="14" t="s">
        <v>48</v>
      </c>
      <c r="G45" s="15" t="s">
        <v>49</v>
      </c>
    </row>
    <row r="46" customFormat="false" ht="23.85" hidden="false" customHeight="false" outlineLevel="0" collapsed="false">
      <c r="A46" s="16" t="s">
        <v>141</v>
      </c>
      <c r="B46" s="16" t="s">
        <v>142</v>
      </c>
      <c r="C46" s="16" t="s">
        <v>41</v>
      </c>
      <c r="D46" s="16" t="s">
        <v>46</v>
      </c>
      <c r="E46" s="16" t="s">
        <v>143</v>
      </c>
      <c r="F46" s="16" t="s">
        <v>48</v>
      </c>
      <c r="G46" s="15" t="s">
        <v>49</v>
      </c>
    </row>
  </sheetData>
  <hyperlinks>
    <hyperlink ref="G5" r:id="rId1" display="Search tutorial"/>
    <hyperlink ref="G6" r:id="rId2" display="Search tutorial"/>
    <hyperlink ref="G7" r:id="rId3" display="Search tutorial"/>
    <hyperlink ref="G8" r:id="rId4" display="Search tutorial"/>
    <hyperlink ref="G9" r:id="rId5" display="Search tutorial"/>
    <hyperlink ref="G10" r:id="rId6" display="Search tutorial"/>
    <hyperlink ref="G11" r:id="rId7" display="Search tutorial"/>
    <hyperlink ref="G12" r:id="rId8" display="Search tutorial"/>
    <hyperlink ref="G13" r:id="rId9" display="Search tutorial"/>
    <hyperlink ref="G14" r:id="rId10" display="Search tutorial"/>
    <hyperlink ref="G15" r:id="rId11" display="Search tutorial"/>
    <hyperlink ref="G16" r:id="rId12" display="Search tutorial"/>
    <hyperlink ref="G17" r:id="rId13" display="Search tutorial"/>
    <hyperlink ref="G18" r:id="rId14" display="Search tutorial"/>
    <hyperlink ref="G19" r:id="rId15" display="Search tutorial"/>
    <hyperlink ref="G20" r:id="rId16" display="Search tutorial"/>
    <hyperlink ref="G21" r:id="rId17" display="Search tutorial"/>
    <hyperlink ref="G22" r:id="rId18" display="Search tutorial"/>
    <hyperlink ref="G23" r:id="rId19" display="Search tutorial"/>
    <hyperlink ref="G24" r:id="rId20" display="Search tutorial"/>
    <hyperlink ref="G25" r:id="rId21" display="Search tutorial"/>
    <hyperlink ref="G26" r:id="rId22" display="Search tutorial"/>
    <hyperlink ref="G27" r:id="rId23" display="Search tutorial"/>
    <hyperlink ref="G28" r:id="rId24" display="Search tutorial"/>
    <hyperlink ref="G29" r:id="rId25" display="Search tutorial"/>
    <hyperlink ref="G30" r:id="rId26" display="Search tutorial"/>
    <hyperlink ref="G31" r:id="rId27" display="Search tutorial"/>
    <hyperlink ref="G32" r:id="rId28" display="Search tutorial"/>
    <hyperlink ref="G33" r:id="rId29" display="Search tutorial"/>
    <hyperlink ref="G34" r:id="rId30" display="Search tutorial"/>
    <hyperlink ref="G35" r:id="rId31" display="Search tutorial"/>
    <hyperlink ref="G36" r:id="rId32" display="Search tutorial"/>
    <hyperlink ref="G37" r:id="rId33" display="Search tutorial"/>
    <hyperlink ref="G38" r:id="rId34" display="Search tutorial"/>
    <hyperlink ref="G39" r:id="rId35" display="Search tutorial"/>
    <hyperlink ref="G40" r:id="rId36" display="Search tutorial"/>
    <hyperlink ref="G41" r:id="rId37" display="Search tutorial"/>
    <hyperlink ref="G42" r:id="rId38" display="Search tutorial"/>
    <hyperlink ref="G43" r:id="rId39" display="Search tutorial"/>
    <hyperlink ref="G44" r:id="rId40" display="Search tutorial"/>
    <hyperlink ref="G45" r:id="rId41" display="Search tutorial"/>
    <hyperlink ref="G46" r:id="rId42" display="Search tutori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10" min="6" style="0" width="7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34"/>
  </cols>
  <sheetData>
    <row r="1" customFormat="false" ht="19.7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30" hidden="false" customHeight="true" outlineLevel="0" collapsed="false">
      <c r="A4" s="11" t="s">
        <v>24</v>
      </c>
      <c r="B4" s="11" t="s">
        <v>37</v>
      </c>
      <c r="C4" s="11" t="s">
        <v>25</v>
      </c>
      <c r="D4" s="11" t="s">
        <v>146</v>
      </c>
      <c r="E4" s="11" t="s">
        <v>147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148</v>
      </c>
      <c r="K4" s="11" t="s">
        <v>149</v>
      </c>
      <c r="L4" s="11" t="s">
        <v>150</v>
      </c>
      <c r="M4" s="11" t="s">
        <v>151</v>
      </c>
      <c r="N4" s="11" t="s">
        <v>31</v>
      </c>
      <c r="O4" s="11" t="s">
        <v>152</v>
      </c>
    </row>
    <row r="5" customFormat="false" ht="15" hidden="false" customHeight="false" outlineLevel="0" collapsed="false">
      <c r="A5" s="17"/>
      <c r="B5" s="18" t="str">
        <f aca="false">IF($A5="","",TEXT($A5,"ddd"))</f>
        <v/>
      </c>
      <c r="C5" s="19"/>
      <c r="D5" s="19"/>
      <c r="E5" s="18" t="str">
        <f aca="false">IF($C5="","",IFERROR(INDEX(Lists!$B$2:$B$40,MATCH($C5,Lists!$A$2:$A$40,0)),""))</f>
        <v/>
      </c>
      <c r="F5" s="20"/>
      <c r="G5" s="20"/>
      <c r="H5" s="20"/>
      <c r="I5" s="20"/>
      <c r="J5" s="20"/>
      <c r="K5" s="18" t="str">
        <f aca="false">IF(COUNT($F5:$J5)=0,"",SUM($F5:$J5))</f>
        <v/>
      </c>
      <c r="L5" s="18" t="str">
        <f aca="false">IF(COUNT($F5:$J5)=0,"",MAX($F5:$J5))</f>
        <v/>
      </c>
      <c r="M5" s="18" t="str">
        <f aca="false">IFERROR(IF(OR($C5="",COUNT($F5:$J5)&lt;3),"",IF(N(INDEX(Lists!$C$2:$C$40,MATCH($C5,Lists!$A$2:$A$40,0)))=0,"",IF(MIN($F5:$J5)&gt;=INDEX(Lists!$C$2:$C$40,MATCH($C5,Lists!$A$2:$A$40,0)),"LEVEL UP",""))),"")</f>
        <v/>
      </c>
      <c r="N5" s="20"/>
      <c r="O5" s="19"/>
    </row>
    <row r="6" customFormat="false" ht="15" hidden="false" customHeight="false" outlineLevel="0" collapsed="false">
      <c r="A6" s="17"/>
      <c r="B6" s="18" t="str">
        <f aca="false">IF($A6="","",TEXT($A6,"ddd"))</f>
        <v/>
      </c>
      <c r="C6" s="19"/>
      <c r="D6" s="19"/>
      <c r="E6" s="18" t="str">
        <f aca="false">IF($C6="","",IFERROR(INDEX(Lists!$B$2:$B$40,MATCH($C6,Lists!$A$2:$A$40,0)),""))</f>
        <v/>
      </c>
      <c r="F6" s="20"/>
      <c r="G6" s="20"/>
      <c r="H6" s="20"/>
      <c r="I6" s="20"/>
      <c r="J6" s="20"/>
      <c r="K6" s="18" t="str">
        <f aca="false">IF(COUNT($F6:$J6)=0,"",SUM($F6:$J6))</f>
        <v/>
      </c>
      <c r="L6" s="18" t="str">
        <f aca="false">IF(COUNT($F6:$J6)=0,"",MAX($F6:$J6))</f>
        <v/>
      </c>
      <c r="M6" s="18" t="str">
        <f aca="false">IFERROR(IF(OR($C6="",COUNT($F6:$J6)&lt;3),"",IF(N(INDEX(Lists!$C$2:$C$40,MATCH($C6,Lists!$A$2:$A$40,0)))=0,"",IF(MIN($F6:$J6)&gt;=INDEX(Lists!$C$2:$C$40,MATCH($C6,Lists!$A$2:$A$40,0)),"LEVEL UP",""))),"")</f>
        <v/>
      </c>
      <c r="N6" s="20"/>
      <c r="O6" s="19"/>
    </row>
    <row r="7" customFormat="false" ht="15" hidden="false" customHeight="false" outlineLevel="0" collapsed="false">
      <c r="A7" s="17"/>
      <c r="B7" s="18" t="str">
        <f aca="false">IF($A7="","",TEXT($A7,"ddd"))</f>
        <v/>
      </c>
      <c r="C7" s="19"/>
      <c r="D7" s="19"/>
      <c r="E7" s="18" t="str">
        <f aca="false">IF($C7="","",IFERROR(INDEX(Lists!$B$2:$B$40,MATCH($C7,Lists!$A$2:$A$40,0)),""))</f>
        <v/>
      </c>
      <c r="F7" s="20"/>
      <c r="G7" s="20"/>
      <c r="H7" s="20"/>
      <c r="I7" s="20"/>
      <c r="J7" s="20"/>
      <c r="K7" s="18" t="str">
        <f aca="false">IF(COUNT($F7:$J7)=0,"",SUM($F7:$J7))</f>
        <v/>
      </c>
      <c r="L7" s="18" t="str">
        <f aca="false">IF(COUNT($F7:$J7)=0,"",MAX($F7:$J7))</f>
        <v/>
      </c>
      <c r="M7" s="18" t="str">
        <f aca="false">IFERROR(IF(OR($C7="",COUNT($F7:$J7)&lt;3),"",IF(N(INDEX(Lists!$C$2:$C$40,MATCH($C7,Lists!$A$2:$A$40,0)))=0,"",IF(MIN($F7:$J7)&gt;=INDEX(Lists!$C$2:$C$40,MATCH($C7,Lists!$A$2:$A$40,0)),"LEVEL UP",""))),"")</f>
        <v/>
      </c>
      <c r="N7" s="20"/>
      <c r="O7" s="19"/>
    </row>
    <row r="8" customFormat="false" ht="15" hidden="false" customHeight="false" outlineLevel="0" collapsed="false">
      <c r="A8" s="17"/>
      <c r="B8" s="18" t="str">
        <f aca="false">IF($A8="","",TEXT($A8,"ddd"))</f>
        <v/>
      </c>
      <c r="C8" s="19"/>
      <c r="D8" s="19"/>
      <c r="E8" s="18" t="str">
        <f aca="false">IF($C8="","",IFERROR(INDEX(Lists!$B$2:$B$40,MATCH($C8,Lists!$A$2:$A$40,0)),""))</f>
        <v/>
      </c>
      <c r="F8" s="20"/>
      <c r="G8" s="20"/>
      <c r="H8" s="20"/>
      <c r="I8" s="20"/>
      <c r="J8" s="20"/>
      <c r="K8" s="18" t="str">
        <f aca="false">IF(COUNT($F8:$J8)=0,"",SUM($F8:$J8))</f>
        <v/>
      </c>
      <c r="L8" s="18" t="str">
        <f aca="false">IF(COUNT($F8:$J8)=0,"",MAX($F8:$J8))</f>
        <v/>
      </c>
      <c r="M8" s="18" t="str">
        <f aca="false">IFERROR(IF(OR($C8="",COUNT($F8:$J8)&lt;3),"",IF(N(INDEX(Lists!$C$2:$C$40,MATCH($C8,Lists!$A$2:$A$40,0)))=0,"",IF(MIN($F8:$J8)&gt;=INDEX(Lists!$C$2:$C$40,MATCH($C8,Lists!$A$2:$A$40,0)),"LEVEL UP",""))),"")</f>
        <v/>
      </c>
      <c r="N8" s="20"/>
      <c r="O8" s="19"/>
    </row>
    <row r="9" customFormat="false" ht="15" hidden="false" customHeight="false" outlineLevel="0" collapsed="false">
      <c r="A9" s="17"/>
      <c r="B9" s="18" t="str">
        <f aca="false">IF($A9="","",TEXT($A9,"ddd"))</f>
        <v/>
      </c>
      <c r="C9" s="19"/>
      <c r="D9" s="19"/>
      <c r="E9" s="18" t="str">
        <f aca="false">IF($C9="","",IFERROR(INDEX(Lists!$B$2:$B$40,MATCH($C9,Lists!$A$2:$A$40,0)),""))</f>
        <v/>
      </c>
      <c r="F9" s="20"/>
      <c r="G9" s="20"/>
      <c r="H9" s="20"/>
      <c r="I9" s="20"/>
      <c r="J9" s="20"/>
      <c r="K9" s="18" t="str">
        <f aca="false">IF(COUNT($F9:$J9)=0,"",SUM($F9:$J9))</f>
        <v/>
      </c>
      <c r="L9" s="18" t="str">
        <f aca="false">IF(COUNT($F9:$J9)=0,"",MAX($F9:$J9))</f>
        <v/>
      </c>
      <c r="M9" s="18" t="str">
        <f aca="false">IFERROR(IF(OR($C9="",COUNT($F9:$J9)&lt;3),"",IF(N(INDEX(Lists!$C$2:$C$40,MATCH($C9,Lists!$A$2:$A$40,0)))=0,"",IF(MIN($F9:$J9)&gt;=INDEX(Lists!$C$2:$C$40,MATCH($C9,Lists!$A$2:$A$40,0)),"LEVEL UP",""))),"")</f>
        <v/>
      </c>
      <c r="N9" s="20"/>
      <c r="O9" s="19"/>
    </row>
    <row r="10" customFormat="false" ht="15" hidden="false" customHeight="false" outlineLevel="0" collapsed="false">
      <c r="A10" s="17"/>
      <c r="B10" s="18" t="str">
        <f aca="false">IF($A10="","",TEXT($A10,"ddd"))</f>
        <v/>
      </c>
      <c r="C10" s="19"/>
      <c r="D10" s="19"/>
      <c r="E10" s="18" t="str">
        <f aca="false">IF($C10="","",IFERROR(INDEX(Lists!$B$2:$B$40,MATCH($C10,Lists!$A$2:$A$40,0)),""))</f>
        <v/>
      </c>
      <c r="F10" s="20"/>
      <c r="G10" s="20"/>
      <c r="H10" s="20"/>
      <c r="I10" s="20"/>
      <c r="J10" s="20"/>
      <c r="K10" s="18" t="str">
        <f aca="false">IF(COUNT($F10:$J10)=0,"",SUM($F10:$J10))</f>
        <v/>
      </c>
      <c r="L10" s="18" t="str">
        <f aca="false">IF(COUNT($F10:$J10)=0,"",MAX($F10:$J10))</f>
        <v/>
      </c>
      <c r="M10" s="18" t="str">
        <f aca="false">IFERROR(IF(OR($C10="",COUNT($F10:$J10)&lt;3),"",IF(N(INDEX(Lists!$C$2:$C$40,MATCH($C10,Lists!$A$2:$A$40,0)))=0,"",IF(MIN($F10:$J10)&gt;=INDEX(Lists!$C$2:$C$40,MATCH($C10,Lists!$A$2:$A$40,0)),"LEVEL UP",""))),"")</f>
        <v/>
      </c>
      <c r="N10" s="20"/>
      <c r="O10" s="19"/>
    </row>
    <row r="11" customFormat="false" ht="15" hidden="false" customHeight="false" outlineLevel="0" collapsed="false">
      <c r="A11" s="17"/>
      <c r="B11" s="18" t="str">
        <f aca="false">IF($A11="","",TEXT($A11,"ddd"))</f>
        <v/>
      </c>
      <c r="C11" s="19"/>
      <c r="D11" s="19"/>
      <c r="E11" s="18" t="str">
        <f aca="false">IF($C11="","",IFERROR(INDEX(Lists!$B$2:$B$40,MATCH($C11,Lists!$A$2:$A$40,0)),""))</f>
        <v/>
      </c>
      <c r="F11" s="20"/>
      <c r="G11" s="20"/>
      <c r="H11" s="20"/>
      <c r="I11" s="20"/>
      <c r="J11" s="20"/>
      <c r="K11" s="18" t="str">
        <f aca="false">IF(COUNT($F11:$J11)=0,"",SUM($F11:$J11))</f>
        <v/>
      </c>
      <c r="L11" s="18" t="str">
        <f aca="false">IF(COUNT($F11:$J11)=0,"",MAX($F11:$J11))</f>
        <v/>
      </c>
      <c r="M11" s="18" t="str">
        <f aca="false">IFERROR(IF(OR($C11="",COUNT($F11:$J11)&lt;3),"",IF(N(INDEX(Lists!$C$2:$C$40,MATCH($C11,Lists!$A$2:$A$40,0)))=0,"",IF(MIN($F11:$J11)&gt;=INDEX(Lists!$C$2:$C$40,MATCH($C11,Lists!$A$2:$A$40,0)),"LEVEL UP",""))),"")</f>
        <v/>
      </c>
      <c r="N11" s="20"/>
      <c r="O11" s="19"/>
    </row>
    <row r="12" customFormat="false" ht="15" hidden="false" customHeight="false" outlineLevel="0" collapsed="false">
      <c r="A12" s="17"/>
      <c r="B12" s="18" t="str">
        <f aca="false">IF($A12="","",TEXT($A12,"ddd"))</f>
        <v/>
      </c>
      <c r="C12" s="19"/>
      <c r="D12" s="19"/>
      <c r="E12" s="18" t="str">
        <f aca="false">IF($C12="","",IFERROR(INDEX(Lists!$B$2:$B$40,MATCH($C12,Lists!$A$2:$A$40,0)),""))</f>
        <v/>
      </c>
      <c r="F12" s="20"/>
      <c r="G12" s="20"/>
      <c r="H12" s="20"/>
      <c r="I12" s="20"/>
      <c r="J12" s="20"/>
      <c r="K12" s="18" t="str">
        <f aca="false">IF(COUNT($F12:$J12)=0,"",SUM($F12:$J12))</f>
        <v/>
      </c>
      <c r="L12" s="18" t="str">
        <f aca="false">IF(COUNT($F12:$J12)=0,"",MAX($F12:$J12))</f>
        <v/>
      </c>
      <c r="M12" s="18" t="str">
        <f aca="false">IFERROR(IF(OR($C12="",COUNT($F12:$J12)&lt;3),"",IF(N(INDEX(Lists!$C$2:$C$40,MATCH($C12,Lists!$A$2:$A$40,0)))=0,"",IF(MIN($F12:$J12)&gt;=INDEX(Lists!$C$2:$C$40,MATCH($C12,Lists!$A$2:$A$40,0)),"LEVEL UP",""))),"")</f>
        <v/>
      </c>
      <c r="N12" s="20"/>
      <c r="O12" s="19"/>
    </row>
    <row r="13" customFormat="false" ht="15" hidden="false" customHeight="false" outlineLevel="0" collapsed="false">
      <c r="A13" s="17"/>
      <c r="B13" s="18" t="str">
        <f aca="false">IF($A13="","",TEXT($A13,"ddd"))</f>
        <v/>
      </c>
      <c r="C13" s="19"/>
      <c r="D13" s="19"/>
      <c r="E13" s="18" t="str">
        <f aca="false">IF($C13="","",IFERROR(INDEX(Lists!$B$2:$B$40,MATCH($C13,Lists!$A$2:$A$40,0)),""))</f>
        <v/>
      </c>
      <c r="F13" s="20"/>
      <c r="G13" s="20"/>
      <c r="H13" s="20"/>
      <c r="I13" s="20"/>
      <c r="J13" s="20"/>
      <c r="K13" s="18" t="str">
        <f aca="false">IF(COUNT($F13:$J13)=0,"",SUM($F13:$J13))</f>
        <v/>
      </c>
      <c r="L13" s="18" t="str">
        <f aca="false">IF(COUNT($F13:$J13)=0,"",MAX($F13:$J13))</f>
        <v/>
      </c>
      <c r="M13" s="18" t="str">
        <f aca="false">IFERROR(IF(OR($C13="",COUNT($F13:$J13)&lt;3),"",IF(N(INDEX(Lists!$C$2:$C$40,MATCH($C13,Lists!$A$2:$A$40,0)))=0,"",IF(MIN($F13:$J13)&gt;=INDEX(Lists!$C$2:$C$40,MATCH($C13,Lists!$A$2:$A$40,0)),"LEVEL UP",""))),"")</f>
        <v/>
      </c>
      <c r="N13" s="20"/>
      <c r="O13" s="19"/>
    </row>
    <row r="14" customFormat="false" ht="15" hidden="false" customHeight="false" outlineLevel="0" collapsed="false">
      <c r="A14" s="17"/>
      <c r="B14" s="18" t="str">
        <f aca="false">IF($A14="","",TEXT($A14,"ddd"))</f>
        <v/>
      </c>
      <c r="C14" s="19"/>
      <c r="D14" s="19"/>
      <c r="E14" s="18" t="str">
        <f aca="false">IF($C14="","",IFERROR(INDEX(Lists!$B$2:$B$40,MATCH($C14,Lists!$A$2:$A$40,0)),""))</f>
        <v/>
      </c>
      <c r="F14" s="20"/>
      <c r="G14" s="20"/>
      <c r="H14" s="20"/>
      <c r="I14" s="20"/>
      <c r="J14" s="20"/>
      <c r="K14" s="18" t="str">
        <f aca="false">IF(COUNT($F14:$J14)=0,"",SUM($F14:$J14))</f>
        <v/>
      </c>
      <c r="L14" s="18" t="str">
        <f aca="false">IF(COUNT($F14:$J14)=0,"",MAX($F14:$J14))</f>
        <v/>
      </c>
      <c r="M14" s="18" t="str">
        <f aca="false">IFERROR(IF(OR($C14="",COUNT($F14:$J14)&lt;3),"",IF(N(INDEX(Lists!$C$2:$C$40,MATCH($C14,Lists!$A$2:$A$40,0)))=0,"",IF(MIN($F14:$J14)&gt;=INDEX(Lists!$C$2:$C$40,MATCH($C14,Lists!$A$2:$A$40,0)),"LEVEL UP",""))),"")</f>
        <v/>
      </c>
      <c r="N14" s="20"/>
      <c r="O14" s="19"/>
    </row>
    <row r="15" customFormat="false" ht="15" hidden="false" customHeight="false" outlineLevel="0" collapsed="false">
      <c r="A15" s="17"/>
      <c r="B15" s="18" t="str">
        <f aca="false">IF($A15="","",TEXT($A15,"ddd"))</f>
        <v/>
      </c>
      <c r="C15" s="19"/>
      <c r="D15" s="19"/>
      <c r="E15" s="18" t="str">
        <f aca="false">IF($C15="","",IFERROR(INDEX(Lists!$B$2:$B$40,MATCH($C15,Lists!$A$2:$A$40,0)),""))</f>
        <v/>
      </c>
      <c r="F15" s="20"/>
      <c r="G15" s="20"/>
      <c r="H15" s="20"/>
      <c r="I15" s="20"/>
      <c r="J15" s="20"/>
      <c r="K15" s="18" t="str">
        <f aca="false">IF(COUNT($F15:$J15)=0,"",SUM($F15:$J15))</f>
        <v/>
      </c>
      <c r="L15" s="18" t="str">
        <f aca="false">IF(COUNT($F15:$J15)=0,"",MAX($F15:$J15))</f>
        <v/>
      </c>
      <c r="M15" s="18" t="str">
        <f aca="false">IFERROR(IF(OR($C15="",COUNT($F15:$J15)&lt;3),"",IF(N(INDEX(Lists!$C$2:$C$40,MATCH($C15,Lists!$A$2:$A$40,0)))=0,"",IF(MIN($F15:$J15)&gt;=INDEX(Lists!$C$2:$C$40,MATCH($C15,Lists!$A$2:$A$40,0)),"LEVEL UP",""))),"")</f>
        <v/>
      </c>
      <c r="N15" s="20"/>
      <c r="O15" s="19"/>
    </row>
    <row r="16" customFormat="false" ht="15" hidden="false" customHeight="false" outlineLevel="0" collapsed="false">
      <c r="A16" s="17"/>
      <c r="B16" s="18" t="str">
        <f aca="false">IF($A16="","",TEXT($A16,"ddd"))</f>
        <v/>
      </c>
      <c r="C16" s="19"/>
      <c r="D16" s="19"/>
      <c r="E16" s="18" t="str">
        <f aca="false">IF($C16="","",IFERROR(INDEX(Lists!$B$2:$B$40,MATCH($C16,Lists!$A$2:$A$40,0)),""))</f>
        <v/>
      </c>
      <c r="F16" s="20"/>
      <c r="G16" s="20"/>
      <c r="H16" s="20"/>
      <c r="I16" s="20"/>
      <c r="J16" s="20"/>
      <c r="K16" s="18" t="str">
        <f aca="false">IF(COUNT($F16:$J16)=0,"",SUM($F16:$J16))</f>
        <v/>
      </c>
      <c r="L16" s="18" t="str">
        <f aca="false">IF(COUNT($F16:$J16)=0,"",MAX($F16:$J16))</f>
        <v/>
      </c>
      <c r="M16" s="18" t="str">
        <f aca="false">IFERROR(IF(OR($C16="",COUNT($F16:$J16)&lt;3),"",IF(N(INDEX(Lists!$C$2:$C$40,MATCH($C16,Lists!$A$2:$A$40,0)))=0,"",IF(MIN($F16:$J16)&gt;=INDEX(Lists!$C$2:$C$40,MATCH($C16,Lists!$A$2:$A$40,0)),"LEVEL UP",""))),"")</f>
        <v/>
      </c>
      <c r="N16" s="20"/>
      <c r="O16" s="19"/>
    </row>
    <row r="17" customFormat="false" ht="15" hidden="false" customHeight="false" outlineLevel="0" collapsed="false">
      <c r="A17" s="17"/>
      <c r="B17" s="18" t="str">
        <f aca="false">IF($A17="","",TEXT($A17,"ddd"))</f>
        <v/>
      </c>
      <c r="C17" s="19"/>
      <c r="D17" s="19"/>
      <c r="E17" s="18" t="str">
        <f aca="false">IF($C17="","",IFERROR(INDEX(Lists!$B$2:$B$40,MATCH($C17,Lists!$A$2:$A$40,0)),""))</f>
        <v/>
      </c>
      <c r="F17" s="20"/>
      <c r="G17" s="20"/>
      <c r="H17" s="20"/>
      <c r="I17" s="20"/>
      <c r="J17" s="20"/>
      <c r="K17" s="18" t="str">
        <f aca="false">IF(COUNT($F17:$J17)=0,"",SUM($F17:$J17))</f>
        <v/>
      </c>
      <c r="L17" s="18" t="str">
        <f aca="false">IF(COUNT($F17:$J17)=0,"",MAX($F17:$J17))</f>
        <v/>
      </c>
      <c r="M17" s="18" t="str">
        <f aca="false">IFERROR(IF(OR($C17="",COUNT($F17:$J17)&lt;3),"",IF(N(INDEX(Lists!$C$2:$C$40,MATCH($C17,Lists!$A$2:$A$40,0)))=0,"",IF(MIN($F17:$J17)&gt;=INDEX(Lists!$C$2:$C$40,MATCH($C17,Lists!$A$2:$A$40,0)),"LEVEL UP",""))),"")</f>
        <v/>
      </c>
      <c r="N17" s="20"/>
      <c r="O17" s="19"/>
    </row>
    <row r="18" customFormat="false" ht="15" hidden="false" customHeight="false" outlineLevel="0" collapsed="false">
      <c r="A18" s="17"/>
      <c r="B18" s="18" t="str">
        <f aca="false">IF($A18="","",TEXT($A18,"ddd"))</f>
        <v/>
      </c>
      <c r="C18" s="19"/>
      <c r="D18" s="19"/>
      <c r="E18" s="18" t="str">
        <f aca="false">IF($C18="","",IFERROR(INDEX(Lists!$B$2:$B$40,MATCH($C18,Lists!$A$2:$A$40,0)),""))</f>
        <v/>
      </c>
      <c r="F18" s="20"/>
      <c r="G18" s="20"/>
      <c r="H18" s="20"/>
      <c r="I18" s="20"/>
      <c r="J18" s="20"/>
      <c r="K18" s="18" t="str">
        <f aca="false">IF(COUNT($F18:$J18)=0,"",SUM($F18:$J18))</f>
        <v/>
      </c>
      <c r="L18" s="18" t="str">
        <f aca="false">IF(COUNT($F18:$J18)=0,"",MAX($F18:$J18))</f>
        <v/>
      </c>
      <c r="M18" s="18" t="str">
        <f aca="false">IFERROR(IF(OR($C18="",COUNT($F18:$J18)&lt;3),"",IF(N(INDEX(Lists!$C$2:$C$40,MATCH($C18,Lists!$A$2:$A$40,0)))=0,"",IF(MIN($F18:$J18)&gt;=INDEX(Lists!$C$2:$C$40,MATCH($C18,Lists!$A$2:$A$40,0)),"LEVEL UP",""))),"")</f>
        <v/>
      </c>
      <c r="N18" s="20"/>
      <c r="O18" s="19"/>
    </row>
    <row r="19" customFormat="false" ht="15" hidden="false" customHeight="false" outlineLevel="0" collapsed="false">
      <c r="A19" s="17"/>
      <c r="B19" s="18" t="str">
        <f aca="false">IF($A19="","",TEXT($A19,"ddd"))</f>
        <v/>
      </c>
      <c r="C19" s="19"/>
      <c r="D19" s="19"/>
      <c r="E19" s="18" t="str">
        <f aca="false">IF($C19="","",IFERROR(INDEX(Lists!$B$2:$B$40,MATCH($C19,Lists!$A$2:$A$40,0)),""))</f>
        <v/>
      </c>
      <c r="F19" s="20"/>
      <c r="G19" s="20"/>
      <c r="H19" s="20"/>
      <c r="I19" s="20"/>
      <c r="J19" s="20"/>
      <c r="K19" s="18" t="str">
        <f aca="false">IF(COUNT($F19:$J19)=0,"",SUM($F19:$J19))</f>
        <v/>
      </c>
      <c r="L19" s="18" t="str">
        <f aca="false">IF(COUNT($F19:$J19)=0,"",MAX($F19:$J19))</f>
        <v/>
      </c>
      <c r="M19" s="18" t="str">
        <f aca="false">IFERROR(IF(OR($C19="",COUNT($F19:$J19)&lt;3),"",IF(N(INDEX(Lists!$C$2:$C$40,MATCH($C19,Lists!$A$2:$A$40,0)))=0,"",IF(MIN($F19:$J19)&gt;=INDEX(Lists!$C$2:$C$40,MATCH($C19,Lists!$A$2:$A$40,0)),"LEVEL UP",""))),"")</f>
        <v/>
      </c>
      <c r="N19" s="20"/>
      <c r="O19" s="19"/>
    </row>
    <row r="20" customFormat="false" ht="15" hidden="false" customHeight="false" outlineLevel="0" collapsed="false">
      <c r="A20" s="17"/>
      <c r="B20" s="18" t="str">
        <f aca="false">IF($A20="","",TEXT($A20,"ddd"))</f>
        <v/>
      </c>
      <c r="C20" s="19"/>
      <c r="D20" s="19"/>
      <c r="E20" s="18" t="str">
        <f aca="false">IF($C20="","",IFERROR(INDEX(Lists!$B$2:$B$40,MATCH($C20,Lists!$A$2:$A$40,0)),""))</f>
        <v/>
      </c>
      <c r="F20" s="20"/>
      <c r="G20" s="20"/>
      <c r="H20" s="20"/>
      <c r="I20" s="20"/>
      <c r="J20" s="20"/>
      <c r="K20" s="18" t="str">
        <f aca="false">IF(COUNT($F20:$J20)=0,"",SUM($F20:$J20))</f>
        <v/>
      </c>
      <c r="L20" s="18" t="str">
        <f aca="false">IF(COUNT($F20:$J20)=0,"",MAX($F20:$J20))</f>
        <v/>
      </c>
      <c r="M20" s="18" t="str">
        <f aca="false">IFERROR(IF(OR($C20="",COUNT($F20:$J20)&lt;3),"",IF(N(INDEX(Lists!$C$2:$C$40,MATCH($C20,Lists!$A$2:$A$40,0)))=0,"",IF(MIN($F20:$J20)&gt;=INDEX(Lists!$C$2:$C$40,MATCH($C20,Lists!$A$2:$A$40,0)),"LEVEL UP",""))),"")</f>
        <v/>
      </c>
      <c r="N20" s="20"/>
      <c r="O20" s="19"/>
    </row>
    <row r="21" customFormat="false" ht="15" hidden="false" customHeight="false" outlineLevel="0" collapsed="false">
      <c r="A21" s="17"/>
      <c r="B21" s="18" t="str">
        <f aca="false">IF($A21="","",TEXT($A21,"ddd"))</f>
        <v/>
      </c>
      <c r="C21" s="19"/>
      <c r="D21" s="19"/>
      <c r="E21" s="18" t="str">
        <f aca="false">IF($C21="","",IFERROR(INDEX(Lists!$B$2:$B$40,MATCH($C21,Lists!$A$2:$A$40,0)),""))</f>
        <v/>
      </c>
      <c r="F21" s="20"/>
      <c r="G21" s="20"/>
      <c r="H21" s="20"/>
      <c r="I21" s="20"/>
      <c r="J21" s="20"/>
      <c r="K21" s="18" t="str">
        <f aca="false">IF(COUNT($F21:$J21)=0,"",SUM($F21:$J21))</f>
        <v/>
      </c>
      <c r="L21" s="18" t="str">
        <f aca="false">IF(COUNT($F21:$J21)=0,"",MAX($F21:$J21))</f>
        <v/>
      </c>
      <c r="M21" s="18" t="str">
        <f aca="false">IFERROR(IF(OR($C21="",COUNT($F21:$J21)&lt;3),"",IF(N(INDEX(Lists!$C$2:$C$40,MATCH($C21,Lists!$A$2:$A$40,0)))=0,"",IF(MIN($F21:$J21)&gt;=INDEX(Lists!$C$2:$C$40,MATCH($C21,Lists!$A$2:$A$40,0)),"LEVEL UP",""))),"")</f>
        <v/>
      </c>
      <c r="N21" s="20"/>
      <c r="O21" s="19"/>
    </row>
    <row r="22" customFormat="false" ht="15" hidden="false" customHeight="false" outlineLevel="0" collapsed="false">
      <c r="A22" s="17"/>
      <c r="B22" s="18" t="str">
        <f aca="false">IF($A22="","",TEXT($A22,"ddd"))</f>
        <v/>
      </c>
      <c r="C22" s="19"/>
      <c r="D22" s="19"/>
      <c r="E22" s="18" t="str">
        <f aca="false">IF($C22="","",IFERROR(INDEX(Lists!$B$2:$B$40,MATCH($C22,Lists!$A$2:$A$40,0)),""))</f>
        <v/>
      </c>
      <c r="F22" s="20"/>
      <c r="G22" s="20"/>
      <c r="H22" s="20"/>
      <c r="I22" s="20"/>
      <c r="J22" s="20"/>
      <c r="K22" s="18" t="str">
        <f aca="false">IF(COUNT($F22:$J22)=0,"",SUM($F22:$J22))</f>
        <v/>
      </c>
      <c r="L22" s="18" t="str">
        <f aca="false">IF(COUNT($F22:$J22)=0,"",MAX($F22:$J22))</f>
        <v/>
      </c>
      <c r="M22" s="18" t="str">
        <f aca="false">IFERROR(IF(OR($C22="",COUNT($F22:$J22)&lt;3),"",IF(N(INDEX(Lists!$C$2:$C$40,MATCH($C22,Lists!$A$2:$A$40,0)))=0,"",IF(MIN($F22:$J22)&gt;=INDEX(Lists!$C$2:$C$40,MATCH($C22,Lists!$A$2:$A$40,0)),"LEVEL UP",""))),"")</f>
        <v/>
      </c>
      <c r="N22" s="20"/>
      <c r="O22" s="19"/>
    </row>
    <row r="23" customFormat="false" ht="15" hidden="false" customHeight="false" outlineLevel="0" collapsed="false">
      <c r="A23" s="17"/>
      <c r="B23" s="18" t="str">
        <f aca="false">IF($A23="","",TEXT($A23,"ddd"))</f>
        <v/>
      </c>
      <c r="C23" s="19"/>
      <c r="D23" s="19"/>
      <c r="E23" s="18" t="str">
        <f aca="false">IF($C23="","",IFERROR(INDEX(Lists!$B$2:$B$40,MATCH($C23,Lists!$A$2:$A$40,0)),""))</f>
        <v/>
      </c>
      <c r="F23" s="20"/>
      <c r="G23" s="20"/>
      <c r="H23" s="20"/>
      <c r="I23" s="20"/>
      <c r="J23" s="20"/>
      <c r="K23" s="18" t="str">
        <f aca="false">IF(COUNT($F23:$J23)=0,"",SUM($F23:$J23))</f>
        <v/>
      </c>
      <c r="L23" s="18" t="str">
        <f aca="false">IF(COUNT($F23:$J23)=0,"",MAX($F23:$J23))</f>
        <v/>
      </c>
      <c r="M23" s="18" t="str">
        <f aca="false">IFERROR(IF(OR($C23="",COUNT($F23:$J23)&lt;3),"",IF(N(INDEX(Lists!$C$2:$C$40,MATCH($C23,Lists!$A$2:$A$40,0)))=0,"",IF(MIN($F23:$J23)&gt;=INDEX(Lists!$C$2:$C$40,MATCH($C23,Lists!$A$2:$A$40,0)),"LEVEL UP",""))),"")</f>
        <v/>
      </c>
      <c r="N23" s="20"/>
      <c r="O23" s="19"/>
    </row>
    <row r="24" customFormat="false" ht="15" hidden="false" customHeight="false" outlineLevel="0" collapsed="false">
      <c r="A24" s="17"/>
      <c r="B24" s="18" t="str">
        <f aca="false">IF($A24="","",TEXT($A24,"ddd"))</f>
        <v/>
      </c>
      <c r="C24" s="19"/>
      <c r="D24" s="19"/>
      <c r="E24" s="18" t="str">
        <f aca="false">IF($C24="","",IFERROR(INDEX(Lists!$B$2:$B$40,MATCH($C24,Lists!$A$2:$A$40,0)),""))</f>
        <v/>
      </c>
      <c r="F24" s="20"/>
      <c r="G24" s="20"/>
      <c r="H24" s="20"/>
      <c r="I24" s="20"/>
      <c r="J24" s="20"/>
      <c r="K24" s="18" t="str">
        <f aca="false">IF(COUNT($F24:$J24)=0,"",SUM($F24:$J24))</f>
        <v/>
      </c>
      <c r="L24" s="18" t="str">
        <f aca="false">IF(COUNT($F24:$J24)=0,"",MAX($F24:$J24))</f>
        <v/>
      </c>
      <c r="M24" s="18" t="str">
        <f aca="false">IFERROR(IF(OR($C24="",COUNT($F24:$J24)&lt;3),"",IF(N(INDEX(Lists!$C$2:$C$40,MATCH($C24,Lists!$A$2:$A$40,0)))=0,"",IF(MIN($F24:$J24)&gt;=INDEX(Lists!$C$2:$C$40,MATCH($C24,Lists!$A$2:$A$40,0)),"LEVEL UP",""))),"")</f>
        <v/>
      </c>
      <c r="N24" s="20"/>
      <c r="O24" s="19"/>
    </row>
    <row r="25" customFormat="false" ht="15" hidden="false" customHeight="false" outlineLevel="0" collapsed="false">
      <c r="A25" s="17"/>
      <c r="B25" s="18" t="str">
        <f aca="false">IF($A25="","",TEXT($A25,"ddd"))</f>
        <v/>
      </c>
      <c r="C25" s="19"/>
      <c r="D25" s="19"/>
      <c r="E25" s="18" t="str">
        <f aca="false">IF($C25="","",IFERROR(INDEX(Lists!$B$2:$B$40,MATCH($C25,Lists!$A$2:$A$40,0)),""))</f>
        <v/>
      </c>
      <c r="F25" s="20"/>
      <c r="G25" s="20"/>
      <c r="H25" s="20"/>
      <c r="I25" s="20"/>
      <c r="J25" s="20"/>
      <c r="K25" s="18" t="str">
        <f aca="false">IF(COUNT($F25:$J25)=0,"",SUM($F25:$J25))</f>
        <v/>
      </c>
      <c r="L25" s="18" t="str">
        <f aca="false">IF(COUNT($F25:$J25)=0,"",MAX($F25:$J25))</f>
        <v/>
      </c>
      <c r="M25" s="18" t="str">
        <f aca="false">IFERROR(IF(OR($C25="",COUNT($F25:$J25)&lt;3),"",IF(N(INDEX(Lists!$C$2:$C$40,MATCH($C25,Lists!$A$2:$A$40,0)))=0,"",IF(MIN($F25:$J25)&gt;=INDEX(Lists!$C$2:$C$40,MATCH($C25,Lists!$A$2:$A$40,0)),"LEVEL UP",""))),"")</f>
        <v/>
      </c>
      <c r="N25" s="20"/>
      <c r="O25" s="19"/>
    </row>
    <row r="26" customFormat="false" ht="15" hidden="false" customHeight="false" outlineLevel="0" collapsed="false">
      <c r="A26" s="17"/>
      <c r="B26" s="18" t="str">
        <f aca="false">IF($A26="","",TEXT($A26,"ddd"))</f>
        <v/>
      </c>
      <c r="C26" s="19"/>
      <c r="D26" s="19"/>
      <c r="E26" s="18" t="str">
        <f aca="false">IF($C26="","",IFERROR(INDEX(Lists!$B$2:$B$40,MATCH($C26,Lists!$A$2:$A$40,0)),""))</f>
        <v/>
      </c>
      <c r="F26" s="20"/>
      <c r="G26" s="20"/>
      <c r="H26" s="20"/>
      <c r="I26" s="20"/>
      <c r="J26" s="20"/>
      <c r="K26" s="18" t="str">
        <f aca="false">IF(COUNT($F26:$J26)=0,"",SUM($F26:$J26))</f>
        <v/>
      </c>
      <c r="L26" s="18" t="str">
        <f aca="false">IF(COUNT($F26:$J26)=0,"",MAX($F26:$J26))</f>
        <v/>
      </c>
      <c r="M26" s="18" t="str">
        <f aca="false">IFERROR(IF(OR($C26="",COUNT($F26:$J26)&lt;3),"",IF(N(INDEX(Lists!$C$2:$C$40,MATCH($C26,Lists!$A$2:$A$40,0)))=0,"",IF(MIN($F26:$J26)&gt;=INDEX(Lists!$C$2:$C$40,MATCH($C26,Lists!$A$2:$A$40,0)),"LEVEL UP",""))),"")</f>
        <v/>
      </c>
      <c r="N26" s="20"/>
      <c r="O26" s="19"/>
    </row>
    <row r="27" customFormat="false" ht="15" hidden="false" customHeight="false" outlineLevel="0" collapsed="false">
      <c r="A27" s="17"/>
      <c r="B27" s="18" t="str">
        <f aca="false">IF($A27="","",TEXT($A27,"ddd"))</f>
        <v/>
      </c>
      <c r="C27" s="19"/>
      <c r="D27" s="19"/>
      <c r="E27" s="18" t="str">
        <f aca="false">IF($C27="","",IFERROR(INDEX(Lists!$B$2:$B$40,MATCH($C27,Lists!$A$2:$A$40,0)),""))</f>
        <v/>
      </c>
      <c r="F27" s="20"/>
      <c r="G27" s="20"/>
      <c r="H27" s="20"/>
      <c r="I27" s="20"/>
      <c r="J27" s="20"/>
      <c r="K27" s="18" t="str">
        <f aca="false">IF(COUNT($F27:$J27)=0,"",SUM($F27:$J27))</f>
        <v/>
      </c>
      <c r="L27" s="18" t="str">
        <f aca="false">IF(COUNT($F27:$J27)=0,"",MAX($F27:$J27))</f>
        <v/>
      </c>
      <c r="M27" s="18" t="str">
        <f aca="false">IFERROR(IF(OR($C27="",COUNT($F27:$J27)&lt;3),"",IF(N(INDEX(Lists!$C$2:$C$40,MATCH($C27,Lists!$A$2:$A$40,0)))=0,"",IF(MIN($F27:$J27)&gt;=INDEX(Lists!$C$2:$C$40,MATCH($C27,Lists!$A$2:$A$40,0)),"LEVEL UP",""))),"")</f>
        <v/>
      </c>
      <c r="N27" s="20"/>
      <c r="O27" s="19"/>
    </row>
    <row r="28" customFormat="false" ht="15" hidden="false" customHeight="false" outlineLevel="0" collapsed="false">
      <c r="A28" s="17"/>
      <c r="B28" s="18" t="str">
        <f aca="false">IF($A28="","",TEXT($A28,"ddd"))</f>
        <v/>
      </c>
      <c r="C28" s="19"/>
      <c r="D28" s="19"/>
      <c r="E28" s="18" t="str">
        <f aca="false">IF($C28="","",IFERROR(INDEX(Lists!$B$2:$B$40,MATCH($C28,Lists!$A$2:$A$40,0)),""))</f>
        <v/>
      </c>
      <c r="F28" s="20"/>
      <c r="G28" s="20"/>
      <c r="H28" s="20"/>
      <c r="I28" s="20"/>
      <c r="J28" s="20"/>
      <c r="K28" s="18" t="str">
        <f aca="false">IF(COUNT($F28:$J28)=0,"",SUM($F28:$J28))</f>
        <v/>
      </c>
      <c r="L28" s="18" t="str">
        <f aca="false">IF(COUNT($F28:$J28)=0,"",MAX($F28:$J28))</f>
        <v/>
      </c>
      <c r="M28" s="18" t="str">
        <f aca="false">IFERROR(IF(OR($C28="",COUNT($F28:$J28)&lt;3),"",IF(N(INDEX(Lists!$C$2:$C$40,MATCH($C28,Lists!$A$2:$A$40,0)))=0,"",IF(MIN($F28:$J28)&gt;=INDEX(Lists!$C$2:$C$40,MATCH($C28,Lists!$A$2:$A$40,0)),"LEVEL UP",""))),"")</f>
        <v/>
      </c>
      <c r="N28" s="20"/>
      <c r="O28" s="19"/>
    </row>
    <row r="29" customFormat="false" ht="15" hidden="false" customHeight="false" outlineLevel="0" collapsed="false">
      <c r="A29" s="17"/>
      <c r="B29" s="18" t="str">
        <f aca="false">IF($A29="","",TEXT($A29,"ddd"))</f>
        <v/>
      </c>
      <c r="C29" s="19"/>
      <c r="D29" s="19"/>
      <c r="E29" s="18" t="str">
        <f aca="false">IF($C29="","",IFERROR(INDEX(Lists!$B$2:$B$40,MATCH($C29,Lists!$A$2:$A$40,0)),""))</f>
        <v/>
      </c>
      <c r="F29" s="20"/>
      <c r="G29" s="20"/>
      <c r="H29" s="20"/>
      <c r="I29" s="20"/>
      <c r="J29" s="20"/>
      <c r="K29" s="18" t="str">
        <f aca="false">IF(COUNT($F29:$J29)=0,"",SUM($F29:$J29))</f>
        <v/>
      </c>
      <c r="L29" s="18" t="str">
        <f aca="false">IF(COUNT($F29:$J29)=0,"",MAX($F29:$J29))</f>
        <v/>
      </c>
      <c r="M29" s="18" t="str">
        <f aca="false">IFERROR(IF(OR($C29="",COUNT($F29:$J29)&lt;3),"",IF(N(INDEX(Lists!$C$2:$C$40,MATCH($C29,Lists!$A$2:$A$40,0)))=0,"",IF(MIN($F29:$J29)&gt;=INDEX(Lists!$C$2:$C$40,MATCH($C29,Lists!$A$2:$A$40,0)),"LEVEL UP",""))),"")</f>
        <v/>
      </c>
      <c r="N29" s="20"/>
      <c r="O29" s="19"/>
    </row>
    <row r="30" customFormat="false" ht="15" hidden="false" customHeight="false" outlineLevel="0" collapsed="false">
      <c r="A30" s="17"/>
      <c r="B30" s="18" t="str">
        <f aca="false">IF($A30="","",TEXT($A30,"ddd"))</f>
        <v/>
      </c>
      <c r="C30" s="19"/>
      <c r="D30" s="19"/>
      <c r="E30" s="18" t="str">
        <f aca="false">IF($C30="","",IFERROR(INDEX(Lists!$B$2:$B$40,MATCH($C30,Lists!$A$2:$A$40,0)),""))</f>
        <v/>
      </c>
      <c r="F30" s="20"/>
      <c r="G30" s="20"/>
      <c r="H30" s="20"/>
      <c r="I30" s="20"/>
      <c r="J30" s="20"/>
      <c r="K30" s="18" t="str">
        <f aca="false">IF(COUNT($F30:$J30)=0,"",SUM($F30:$J30))</f>
        <v/>
      </c>
      <c r="L30" s="18" t="str">
        <f aca="false">IF(COUNT($F30:$J30)=0,"",MAX($F30:$J30))</f>
        <v/>
      </c>
      <c r="M30" s="18" t="str">
        <f aca="false">IFERROR(IF(OR($C30="",COUNT($F30:$J30)&lt;3),"",IF(N(INDEX(Lists!$C$2:$C$40,MATCH($C30,Lists!$A$2:$A$40,0)))=0,"",IF(MIN($F30:$J30)&gt;=INDEX(Lists!$C$2:$C$40,MATCH($C30,Lists!$A$2:$A$40,0)),"LEVEL UP",""))),"")</f>
        <v/>
      </c>
      <c r="N30" s="20"/>
      <c r="O30" s="19"/>
    </row>
    <row r="31" customFormat="false" ht="15" hidden="false" customHeight="false" outlineLevel="0" collapsed="false">
      <c r="A31" s="17"/>
      <c r="B31" s="18" t="str">
        <f aca="false">IF($A31="","",TEXT($A31,"ddd"))</f>
        <v/>
      </c>
      <c r="C31" s="19"/>
      <c r="D31" s="19"/>
      <c r="E31" s="18" t="str">
        <f aca="false">IF($C31="","",IFERROR(INDEX(Lists!$B$2:$B$40,MATCH($C31,Lists!$A$2:$A$40,0)),""))</f>
        <v/>
      </c>
      <c r="F31" s="20"/>
      <c r="G31" s="20"/>
      <c r="H31" s="20"/>
      <c r="I31" s="20"/>
      <c r="J31" s="20"/>
      <c r="K31" s="18" t="str">
        <f aca="false">IF(COUNT($F31:$J31)=0,"",SUM($F31:$J31))</f>
        <v/>
      </c>
      <c r="L31" s="18" t="str">
        <f aca="false">IF(COUNT($F31:$J31)=0,"",MAX($F31:$J31))</f>
        <v/>
      </c>
      <c r="M31" s="18" t="str">
        <f aca="false">IFERROR(IF(OR($C31="",COUNT($F31:$J31)&lt;3),"",IF(N(INDEX(Lists!$C$2:$C$40,MATCH($C31,Lists!$A$2:$A$40,0)))=0,"",IF(MIN($F31:$J31)&gt;=INDEX(Lists!$C$2:$C$40,MATCH($C31,Lists!$A$2:$A$40,0)),"LEVEL UP",""))),"")</f>
        <v/>
      </c>
      <c r="N31" s="20"/>
      <c r="O31" s="19"/>
    </row>
    <row r="32" customFormat="false" ht="15" hidden="false" customHeight="false" outlineLevel="0" collapsed="false">
      <c r="A32" s="17"/>
      <c r="B32" s="18" t="str">
        <f aca="false">IF($A32="","",TEXT($A32,"ddd"))</f>
        <v/>
      </c>
      <c r="C32" s="19"/>
      <c r="D32" s="19"/>
      <c r="E32" s="18" t="str">
        <f aca="false">IF($C32="","",IFERROR(INDEX(Lists!$B$2:$B$40,MATCH($C32,Lists!$A$2:$A$40,0)),""))</f>
        <v/>
      </c>
      <c r="F32" s="20"/>
      <c r="G32" s="20"/>
      <c r="H32" s="20"/>
      <c r="I32" s="20"/>
      <c r="J32" s="20"/>
      <c r="K32" s="18" t="str">
        <f aca="false">IF(COUNT($F32:$J32)=0,"",SUM($F32:$J32))</f>
        <v/>
      </c>
      <c r="L32" s="18" t="str">
        <f aca="false">IF(COUNT($F32:$J32)=0,"",MAX($F32:$J32))</f>
        <v/>
      </c>
      <c r="M32" s="18" t="str">
        <f aca="false">IFERROR(IF(OR($C32="",COUNT($F32:$J32)&lt;3),"",IF(N(INDEX(Lists!$C$2:$C$40,MATCH($C32,Lists!$A$2:$A$40,0)))=0,"",IF(MIN($F32:$J32)&gt;=INDEX(Lists!$C$2:$C$40,MATCH($C32,Lists!$A$2:$A$40,0)),"LEVEL UP",""))),"")</f>
        <v/>
      </c>
      <c r="N32" s="20"/>
      <c r="O32" s="19"/>
    </row>
    <row r="33" customFormat="false" ht="15" hidden="false" customHeight="false" outlineLevel="0" collapsed="false">
      <c r="A33" s="17"/>
      <c r="B33" s="18" t="str">
        <f aca="false">IF($A33="","",TEXT($A33,"ddd"))</f>
        <v/>
      </c>
      <c r="C33" s="19"/>
      <c r="D33" s="19"/>
      <c r="E33" s="18" t="str">
        <f aca="false">IF($C33="","",IFERROR(INDEX(Lists!$B$2:$B$40,MATCH($C33,Lists!$A$2:$A$40,0)),""))</f>
        <v/>
      </c>
      <c r="F33" s="20"/>
      <c r="G33" s="20"/>
      <c r="H33" s="20"/>
      <c r="I33" s="20"/>
      <c r="J33" s="20"/>
      <c r="K33" s="18" t="str">
        <f aca="false">IF(COUNT($F33:$J33)=0,"",SUM($F33:$J33))</f>
        <v/>
      </c>
      <c r="L33" s="18" t="str">
        <f aca="false">IF(COUNT($F33:$J33)=0,"",MAX($F33:$J33))</f>
        <v/>
      </c>
      <c r="M33" s="18" t="str">
        <f aca="false">IFERROR(IF(OR($C33="",COUNT($F33:$J33)&lt;3),"",IF(N(INDEX(Lists!$C$2:$C$40,MATCH($C33,Lists!$A$2:$A$40,0)))=0,"",IF(MIN($F33:$J33)&gt;=INDEX(Lists!$C$2:$C$40,MATCH($C33,Lists!$A$2:$A$40,0)),"LEVEL UP",""))),"")</f>
        <v/>
      </c>
      <c r="N33" s="20"/>
      <c r="O33" s="19"/>
    </row>
    <row r="34" customFormat="false" ht="15" hidden="false" customHeight="false" outlineLevel="0" collapsed="false">
      <c r="A34" s="17"/>
      <c r="B34" s="18" t="str">
        <f aca="false">IF($A34="","",TEXT($A34,"ddd"))</f>
        <v/>
      </c>
      <c r="C34" s="19"/>
      <c r="D34" s="19"/>
      <c r="E34" s="18" t="str">
        <f aca="false">IF($C34="","",IFERROR(INDEX(Lists!$B$2:$B$40,MATCH($C34,Lists!$A$2:$A$40,0)),""))</f>
        <v/>
      </c>
      <c r="F34" s="20"/>
      <c r="G34" s="20"/>
      <c r="H34" s="20"/>
      <c r="I34" s="20"/>
      <c r="J34" s="20"/>
      <c r="K34" s="18" t="str">
        <f aca="false">IF(COUNT($F34:$J34)=0,"",SUM($F34:$J34))</f>
        <v/>
      </c>
      <c r="L34" s="18" t="str">
        <f aca="false">IF(COUNT($F34:$J34)=0,"",MAX($F34:$J34))</f>
        <v/>
      </c>
      <c r="M34" s="18" t="str">
        <f aca="false">IFERROR(IF(OR($C34="",COUNT($F34:$J34)&lt;3),"",IF(N(INDEX(Lists!$C$2:$C$40,MATCH($C34,Lists!$A$2:$A$40,0)))=0,"",IF(MIN($F34:$J34)&gt;=INDEX(Lists!$C$2:$C$40,MATCH($C34,Lists!$A$2:$A$40,0)),"LEVEL UP",""))),"")</f>
        <v/>
      </c>
      <c r="N34" s="20"/>
      <c r="O34" s="19"/>
    </row>
    <row r="35" customFormat="false" ht="15" hidden="false" customHeight="false" outlineLevel="0" collapsed="false">
      <c r="A35" s="17"/>
      <c r="B35" s="18" t="str">
        <f aca="false">IF($A35="","",TEXT($A35,"ddd"))</f>
        <v/>
      </c>
      <c r="C35" s="19"/>
      <c r="D35" s="19"/>
      <c r="E35" s="18" t="str">
        <f aca="false">IF($C35="","",IFERROR(INDEX(Lists!$B$2:$B$40,MATCH($C35,Lists!$A$2:$A$40,0)),""))</f>
        <v/>
      </c>
      <c r="F35" s="20"/>
      <c r="G35" s="20"/>
      <c r="H35" s="20"/>
      <c r="I35" s="20"/>
      <c r="J35" s="20"/>
      <c r="K35" s="18" t="str">
        <f aca="false">IF(COUNT($F35:$J35)=0,"",SUM($F35:$J35))</f>
        <v/>
      </c>
      <c r="L35" s="18" t="str">
        <f aca="false">IF(COUNT($F35:$J35)=0,"",MAX($F35:$J35))</f>
        <v/>
      </c>
      <c r="M35" s="18" t="str">
        <f aca="false">IFERROR(IF(OR($C35="",COUNT($F35:$J35)&lt;3),"",IF(N(INDEX(Lists!$C$2:$C$40,MATCH($C35,Lists!$A$2:$A$40,0)))=0,"",IF(MIN($F35:$J35)&gt;=INDEX(Lists!$C$2:$C$40,MATCH($C35,Lists!$A$2:$A$40,0)),"LEVEL UP",""))),"")</f>
        <v/>
      </c>
      <c r="N35" s="20"/>
      <c r="O35" s="19"/>
    </row>
    <row r="36" customFormat="false" ht="15" hidden="false" customHeight="false" outlineLevel="0" collapsed="false">
      <c r="A36" s="17"/>
      <c r="B36" s="18" t="str">
        <f aca="false">IF($A36="","",TEXT($A36,"ddd"))</f>
        <v/>
      </c>
      <c r="C36" s="19"/>
      <c r="D36" s="19"/>
      <c r="E36" s="18" t="str">
        <f aca="false">IF($C36="","",IFERROR(INDEX(Lists!$B$2:$B$40,MATCH($C36,Lists!$A$2:$A$40,0)),""))</f>
        <v/>
      </c>
      <c r="F36" s="20"/>
      <c r="G36" s="20"/>
      <c r="H36" s="20"/>
      <c r="I36" s="20"/>
      <c r="J36" s="20"/>
      <c r="K36" s="18" t="str">
        <f aca="false">IF(COUNT($F36:$J36)=0,"",SUM($F36:$J36))</f>
        <v/>
      </c>
      <c r="L36" s="18" t="str">
        <f aca="false">IF(COUNT($F36:$J36)=0,"",MAX($F36:$J36))</f>
        <v/>
      </c>
      <c r="M36" s="18" t="str">
        <f aca="false">IFERROR(IF(OR($C36="",COUNT($F36:$J36)&lt;3),"",IF(N(INDEX(Lists!$C$2:$C$40,MATCH($C36,Lists!$A$2:$A$40,0)))=0,"",IF(MIN($F36:$J36)&gt;=INDEX(Lists!$C$2:$C$40,MATCH($C36,Lists!$A$2:$A$40,0)),"LEVEL UP",""))),"")</f>
        <v/>
      </c>
      <c r="N36" s="20"/>
      <c r="O36" s="19"/>
    </row>
    <row r="37" customFormat="false" ht="15" hidden="false" customHeight="false" outlineLevel="0" collapsed="false">
      <c r="A37" s="17"/>
      <c r="B37" s="18" t="str">
        <f aca="false">IF($A37="","",TEXT($A37,"ddd"))</f>
        <v/>
      </c>
      <c r="C37" s="19"/>
      <c r="D37" s="19"/>
      <c r="E37" s="18" t="str">
        <f aca="false">IF($C37="","",IFERROR(INDEX(Lists!$B$2:$B$40,MATCH($C37,Lists!$A$2:$A$40,0)),""))</f>
        <v/>
      </c>
      <c r="F37" s="20"/>
      <c r="G37" s="20"/>
      <c r="H37" s="20"/>
      <c r="I37" s="20"/>
      <c r="J37" s="20"/>
      <c r="K37" s="18" t="str">
        <f aca="false">IF(COUNT($F37:$J37)=0,"",SUM($F37:$J37))</f>
        <v/>
      </c>
      <c r="L37" s="18" t="str">
        <f aca="false">IF(COUNT($F37:$J37)=0,"",MAX($F37:$J37))</f>
        <v/>
      </c>
      <c r="M37" s="18" t="str">
        <f aca="false">IFERROR(IF(OR($C37="",COUNT($F37:$J37)&lt;3),"",IF(N(INDEX(Lists!$C$2:$C$40,MATCH($C37,Lists!$A$2:$A$40,0)))=0,"",IF(MIN($F37:$J37)&gt;=INDEX(Lists!$C$2:$C$40,MATCH($C37,Lists!$A$2:$A$40,0)),"LEVEL UP",""))),"")</f>
        <v/>
      </c>
      <c r="N37" s="20"/>
      <c r="O37" s="19"/>
    </row>
    <row r="38" customFormat="false" ht="15" hidden="false" customHeight="false" outlineLevel="0" collapsed="false">
      <c r="A38" s="17"/>
      <c r="B38" s="18" t="str">
        <f aca="false">IF($A38="","",TEXT($A38,"ddd"))</f>
        <v/>
      </c>
      <c r="C38" s="19"/>
      <c r="D38" s="19"/>
      <c r="E38" s="18" t="str">
        <f aca="false">IF($C38="","",IFERROR(INDEX(Lists!$B$2:$B$40,MATCH($C38,Lists!$A$2:$A$40,0)),""))</f>
        <v/>
      </c>
      <c r="F38" s="20"/>
      <c r="G38" s="20"/>
      <c r="H38" s="20"/>
      <c r="I38" s="20"/>
      <c r="J38" s="20"/>
      <c r="K38" s="18" t="str">
        <f aca="false">IF(COUNT($F38:$J38)=0,"",SUM($F38:$J38))</f>
        <v/>
      </c>
      <c r="L38" s="18" t="str">
        <f aca="false">IF(COUNT($F38:$J38)=0,"",MAX($F38:$J38))</f>
        <v/>
      </c>
      <c r="M38" s="18" t="str">
        <f aca="false">IFERROR(IF(OR($C38="",COUNT($F38:$J38)&lt;3),"",IF(N(INDEX(Lists!$C$2:$C$40,MATCH($C38,Lists!$A$2:$A$40,0)))=0,"",IF(MIN($F38:$J38)&gt;=INDEX(Lists!$C$2:$C$40,MATCH($C38,Lists!$A$2:$A$40,0)),"LEVEL UP",""))),"")</f>
        <v/>
      </c>
      <c r="N38" s="20"/>
      <c r="O38" s="19"/>
    </row>
    <row r="39" customFormat="false" ht="15" hidden="false" customHeight="false" outlineLevel="0" collapsed="false">
      <c r="A39" s="17"/>
      <c r="B39" s="18" t="str">
        <f aca="false">IF($A39="","",TEXT($A39,"ddd"))</f>
        <v/>
      </c>
      <c r="C39" s="19"/>
      <c r="D39" s="19"/>
      <c r="E39" s="18" t="str">
        <f aca="false">IF($C39="","",IFERROR(INDEX(Lists!$B$2:$B$40,MATCH($C39,Lists!$A$2:$A$40,0)),""))</f>
        <v/>
      </c>
      <c r="F39" s="20"/>
      <c r="G39" s="20"/>
      <c r="H39" s="20"/>
      <c r="I39" s="20"/>
      <c r="J39" s="20"/>
      <c r="K39" s="18" t="str">
        <f aca="false">IF(COUNT($F39:$J39)=0,"",SUM($F39:$J39))</f>
        <v/>
      </c>
      <c r="L39" s="18" t="str">
        <f aca="false">IF(COUNT($F39:$J39)=0,"",MAX($F39:$J39))</f>
        <v/>
      </c>
      <c r="M39" s="18" t="str">
        <f aca="false">IFERROR(IF(OR($C39="",COUNT($F39:$J39)&lt;3),"",IF(N(INDEX(Lists!$C$2:$C$40,MATCH($C39,Lists!$A$2:$A$40,0)))=0,"",IF(MIN($F39:$J39)&gt;=INDEX(Lists!$C$2:$C$40,MATCH($C39,Lists!$A$2:$A$40,0)),"LEVEL UP",""))),"")</f>
        <v/>
      </c>
      <c r="N39" s="20"/>
      <c r="O39" s="19"/>
    </row>
    <row r="40" customFormat="false" ht="15" hidden="false" customHeight="false" outlineLevel="0" collapsed="false">
      <c r="A40" s="17"/>
      <c r="B40" s="18" t="str">
        <f aca="false">IF($A40="","",TEXT($A40,"ddd"))</f>
        <v/>
      </c>
      <c r="C40" s="19"/>
      <c r="D40" s="19"/>
      <c r="E40" s="18" t="str">
        <f aca="false">IF($C40="","",IFERROR(INDEX(Lists!$B$2:$B$40,MATCH($C40,Lists!$A$2:$A$40,0)),""))</f>
        <v/>
      </c>
      <c r="F40" s="20"/>
      <c r="G40" s="20"/>
      <c r="H40" s="20"/>
      <c r="I40" s="20"/>
      <c r="J40" s="20"/>
      <c r="K40" s="18" t="str">
        <f aca="false">IF(COUNT($F40:$J40)=0,"",SUM($F40:$J40))</f>
        <v/>
      </c>
      <c r="L40" s="18" t="str">
        <f aca="false">IF(COUNT($F40:$J40)=0,"",MAX($F40:$J40))</f>
        <v/>
      </c>
      <c r="M40" s="18" t="str">
        <f aca="false">IFERROR(IF(OR($C40="",COUNT($F40:$J40)&lt;3),"",IF(N(INDEX(Lists!$C$2:$C$40,MATCH($C40,Lists!$A$2:$A$40,0)))=0,"",IF(MIN($F40:$J40)&gt;=INDEX(Lists!$C$2:$C$40,MATCH($C40,Lists!$A$2:$A$40,0)),"LEVEL UP",""))),"")</f>
        <v/>
      </c>
      <c r="N40" s="20"/>
      <c r="O40" s="19"/>
    </row>
    <row r="41" customFormat="false" ht="15" hidden="false" customHeight="false" outlineLevel="0" collapsed="false">
      <c r="A41" s="17"/>
      <c r="B41" s="18" t="str">
        <f aca="false">IF($A41="","",TEXT($A41,"ddd"))</f>
        <v/>
      </c>
      <c r="C41" s="19"/>
      <c r="D41" s="19"/>
      <c r="E41" s="18" t="str">
        <f aca="false">IF($C41="","",IFERROR(INDEX(Lists!$B$2:$B$40,MATCH($C41,Lists!$A$2:$A$40,0)),""))</f>
        <v/>
      </c>
      <c r="F41" s="20"/>
      <c r="G41" s="20"/>
      <c r="H41" s="20"/>
      <c r="I41" s="20"/>
      <c r="J41" s="20"/>
      <c r="K41" s="18" t="str">
        <f aca="false">IF(COUNT($F41:$J41)=0,"",SUM($F41:$J41))</f>
        <v/>
      </c>
      <c r="L41" s="18" t="str">
        <f aca="false">IF(COUNT($F41:$J41)=0,"",MAX($F41:$J41))</f>
        <v/>
      </c>
      <c r="M41" s="18" t="str">
        <f aca="false">IFERROR(IF(OR($C41="",COUNT($F41:$J41)&lt;3),"",IF(N(INDEX(Lists!$C$2:$C$40,MATCH($C41,Lists!$A$2:$A$40,0)))=0,"",IF(MIN($F41:$J41)&gt;=INDEX(Lists!$C$2:$C$40,MATCH($C41,Lists!$A$2:$A$40,0)),"LEVEL UP",""))),"")</f>
        <v/>
      </c>
      <c r="N41" s="20"/>
      <c r="O41" s="19"/>
    </row>
    <row r="42" customFormat="false" ht="15" hidden="false" customHeight="false" outlineLevel="0" collapsed="false">
      <c r="A42" s="17"/>
      <c r="B42" s="18" t="str">
        <f aca="false">IF($A42="","",TEXT($A42,"ddd"))</f>
        <v/>
      </c>
      <c r="C42" s="19"/>
      <c r="D42" s="19"/>
      <c r="E42" s="18" t="str">
        <f aca="false">IF($C42="","",IFERROR(INDEX(Lists!$B$2:$B$40,MATCH($C42,Lists!$A$2:$A$40,0)),""))</f>
        <v/>
      </c>
      <c r="F42" s="20"/>
      <c r="G42" s="20"/>
      <c r="H42" s="20"/>
      <c r="I42" s="20"/>
      <c r="J42" s="20"/>
      <c r="K42" s="18" t="str">
        <f aca="false">IF(COUNT($F42:$J42)=0,"",SUM($F42:$J42))</f>
        <v/>
      </c>
      <c r="L42" s="18" t="str">
        <f aca="false">IF(COUNT($F42:$J42)=0,"",MAX($F42:$J42))</f>
        <v/>
      </c>
      <c r="M42" s="18" t="str">
        <f aca="false">IFERROR(IF(OR($C42="",COUNT($F42:$J42)&lt;3),"",IF(N(INDEX(Lists!$C$2:$C$40,MATCH($C42,Lists!$A$2:$A$40,0)))=0,"",IF(MIN($F42:$J42)&gt;=INDEX(Lists!$C$2:$C$40,MATCH($C42,Lists!$A$2:$A$40,0)),"LEVEL UP",""))),"")</f>
        <v/>
      </c>
      <c r="N42" s="20"/>
      <c r="O42" s="19"/>
    </row>
    <row r="43" customFormat="false" ht="15" hidden="false" customHeight="false" outlineLevel="0" collapsed="false">
      <c r="A43" s="17"/>
      <c r="B43" s="18" t="str">
        <f aca="false">IF($A43="","",TEXT($A43,"ddd"))</f>
        <v/>
      </c>
      <c r="C43" s="19"/>
      <c r="D43" s="19"/>
      <c r="E43" s="18" t="str">
        <f aca="false">IF($C43="","",IFERROR(INDEX(Lists!$B$2:$B$40,MATCH($C43,Lists!$A$2:$A$40,0)),""))</f>
        <v/>
      </c>
      <c r="F43" s="20"/>
      <c r="G43" s="20"/>
      <c r="H43" s="20"/>
      <c r="I43" s="20"/>
      <c r="J43" s="20"/>
      <c r="K43" s="18" t="str">
        <f aca="false">IF(COUNT($F43:$J43)=0,"",SUM($F43:$J43))</f>
        <v/>
      </c>
      <c r="L43" s="18" t="str">
        <f aca="false">IF(COUNT($F43:$J43)=0,"",MAX($F43:$J43))</f>
        <v/>
      </c>
      <c r="M43" s="18" t="str">
        <f aca="false">IFERROR(IF(OR($C43="",COUNT($F43:$J43)&lt;3),"",IF(N(INDEX(Lists!$C$2:$C$40,MATCH($C43,Lists!$A$2:$A$40,0)))=0,"",IF(MIN($F43:$J43)&gt;=INDEX(Lists!$C$2:$C$40,MATCH($C43,Lists!$A$2:$A$40,0)),"LEVEL UP",""))),"")</f>
        <v/>
      </c>
      <c r="N43" s="20"/>
      <c r="O43" s="19"/>
    </row>
    <row r="44" customFormat="false" ht="15" hidden="false" customHeight="false" outlineLevel="0" collapsed="false">
      <c r="A44" s="17"/>
      <c r="B44" s="18" t="str">
        <f aca="false">IF($A44="","",TEXT($A44,"ddd"))</f>
        <v/>
      </c>
      <c r="C44" s="19"/>
      <c r="D44" s="19"/>
      <c r="E44" s="18" t="str">
        <f aca="false">IF($C44="","",IFERROR(INDEX(Lists!$B$2:$B$40,MATCH($C44,Lists!$A$2:$A$40,0)),""))</f>
        <v/>
      </c>
      <c r="F44" s="20"/>
      <c r="G44" s="20"/>
      <c r="H44" s="20"/>
      <c r="I44" s="20"/>
      <c r="J44" s="20"/>
      <c r="K44" s="18" t="str">
        <f aca="false">IF(COUNT($F44:$J44)=0,"",SUM($F44:$J44))</f>
        <v/>
      </c>
      <c r="L44" s="18" t="str">
        <f aca="false">IF(COUNT($F44:$J44)=0,"",MAX($F44:$J44))</f>
        <v/>
      </c>
      <c r="M44" s="18" t="str">
        <f aca="false">IFERROR(IF(OR($C44="",COUNT($F44:$J44)&lt;3),"",IF(N(INDEX(Lists!$C$2:$C$40,MATCH($C44,Lists!$A$2:$A$40,0)))=0,"",IF(MIN($F44:$J44)&gt;=INDEX(Lists!$C$2:$C$40,MATCH($C44,Lists!$A$2:$A$40,0)),"LEVEL UP",""))),"")</f>
        <v/>
      </c>
      <c r="N44" s="20"/>
      <c r="O44" s="19"/>
    </row>
    <row r="45" customFormat="false" ht="15" hidden="false" customHeight="false" outlineLevel="0" collapsed="false">
      <c r="A45" s="17"/>
      <c r="B45" s="18" t="str">
        <f aca="false">IF($A45="","",TEXT($A45,"ddd"))</f>
        <v/>
      </c>
      <c r="C45" s="19"/>
      <c r="D45" s="19"/>
      <c r="E45" s="18" t="str">
        <f aca="false">IF($C45="","",IFERROR(INDEX(Lists!$B$2:$B$40,MATCH($C45,Lists!$A$2:$A$40,0)),""))</f>
        <v/>
      </c>
      <c r="F45" s="20"/>
      <c r="G45" s="20"/>
      <c r="H45" s="20"/>
      <c r="I45" s="20"/>
      <c r="J45" s="20"/>
      <c r="K45" s="18" t="str">
        <f aca="false">IF(COUNT($F45:$J45)=0,"",SUM($F45:$J45))</f>
        <v/>
      </c>
      <c r="L45" s="18" t="str">
        <f aca="false">IF(COUNT($F45:$J45)=0,"",MAX($F45:$J45))</f>
        <v/>
      </c>
      <c r="M45" s="18" t="str">
        <f aca="false">IFERROR(IF(OR($C45="",COUNT($F45:$J45)&lt;3),"",IF(N(INDEX(Lists!$C$2:$C$40,MATCH($C45,Lists!$A$2:$A$40,0)))=0,"",IF(MIN($F45:$J45)&gt;=INDEX(Lists!$C$2:$C$40,MATCH($C45,Lists!$A$2:$A$40,0)),"LEVEL UP",""))),"")</f>
        <v/>
      </c>
      <c r="N45" s="20"/>
      <c r="O45" s="19"/>
    </row>
    <row r="46" customFormat="false" ht="15" hidden="false" customHeight="false" outlineLevel="0" collapsed="false">
      <c r="A46" s="17"/>
      <c r="B46" s="18" t="str">
        <f aca="false">IF($A46="","",TEXT($A46,"ddd"))</f>
        <v/>
      </c>
      <c r="C46" s="19"/>
      <c r="D46" s="19"/>
      <c r="E46" s="18" t="str">
        <f aca="false">IF($C46="","",IFERROR(INDEX(Lists!$B$2:$B$40,MATCH($C46,Lists!$A$2:$A$40,0)),""))</f>
        <v/>
      </c>
      <c r="F46" s="20"/>
      <c r="G46" s="20"/>
      <c r="H46" s="20"/>
      <c r="I46" s="20"/>
      <c r="J46" s="20"/>
      <c r="K46" s="18" t="str">
        <f aca="false">IF(COUNT($F46:$J46)=0,"",SUM($F46:$J46))</f>
        <v/>
      </c>
      <c r="L46" s="18" t="str">
        <f aca="false">IF(COUNT($F46:$J46)=0,"",MAX($F46:$J46))</f>
        <v/>
      </c>
      <c r="M46" s="18" t="str">
        <f aca="false">IFERROR(IF(OR($C46="",COUNT($F46:$J46)&lt;3),"",IF(N(INDEX(Lists!$C$2:$C$40,MATCH($C46,Lists!$A$2:$A$40,0)))=0,"",IF(MIN($F46:$J46)&gt;=INDEX(Lists!$C$2:$C$40,MATCH($C46,Lists!$A$2:$A$40,0)),"LEVEL UP",""))),"")</f>
        <v/>
      </c>
      <c r="N46" s="20"/>
      <c r="O46" s="19"/>
    </row>
    <row r="47" customFormat="false" ht="15" hidden="false" customHeight="false" outlineLevel="0" collapsed="false">
      <c r="A47" s="17"/>
      <c r="B47" s="18" t="str">
        <f aca="false">IF($A47="","",TEXT($A47,"ddd"))</f>
        <v/>
      </c>
      <c r="C47" s="19"/>
      <c r="D47" s="19"/>
      <c r="E47" s="18" t="str">
        <f aca="false">IF($C47="","",IFERROR(INDEX(Lists!$B$2:$B$40,MATCH($C47,Lists!$A$2:$A$40,0)),""))</f>
        <v/>
      </c>
      <c r="F47" s="20"/>
      <c r="G47" s="20"/>
      <c r="H47" s="20"/>
      <c r="I47" s="20"/>
      <c r="J47" s="20"/>
      <c r="K47" s="18" t="str">
        <f aca="false">IF(COUNT($F47:$J47)=0,"",SUM($F47:$J47))</f>
        <v/>
      </c>
      <c r="L47" s="18" t="str">
        <f aca="false">IF(COUNT($F47:$J47)=0,"",MAX($F47:$J47))</f>
        <v/>
      </c>
      <c r="M47" s="18" t="str">
        <f aca="false">IFERROR(IF(OR($C47="",COUNT($F47:$J47)&lt;3),"",IF(N(INDEX(Lists!$C$2:$C$40,MATCH($C47,Lists!$A$2:$A$40,0)))=0,"",IF(MIN($F47:$J47)&gt;=INDEX(Lists!$C$2:$C$40,MATCH($C47,Lists!$A$2:$A$40,0)),"LEVEL UP",""))),"")</f>
        <v/>
      </c>
      <c r="N47" s="20"/>
      <c r="O47" s="19"/>
    </row>
    <row r="48" customFormat="false" ht="15" hidden="false" customHeight="false" outlineLevel="0" collapsed="false">
      <c r="A48" s="17"/>
      <c r="B48" s="18" t="str">
        <f aca="false">IF($A48="","",TEXT($A48,"ddd"))</f>
        <v/>
      </c>
      <c r="C48" s="19"/>
      <c r="D48" s="19"/>
      <c r="E48" s="18" t="str">
        <f aca="false">IF($C48="","",IFERROR(INDEX(Lists!$B$2:$B$40,MATCH($C48,Lists!$A$2:$A$40,0)),""))</f>
        <v/>
      </c>
      <c r="F48" s="20"/>
      <c r="G48" s="20"/>
      <c r="H48" s="20"/>
      <c r="I48" s="20"/>
      <c r="J48" s="20"/>
      <c r="K48" s="18" t="str">
        <f aca="false">IF(COUNT($F48:$J48)=0,"",SUM($F48:$J48))</f>
        <v/>
      </c>
      <c r="L48" s="18" t="str">
        <f aca="false">IF(COUNT($F48:$J48)=0,"",MAX($F48:$J48))</f>
        <v/>
      </c>
      <c r="M48" s="18" t="str">
        <f aca="false">IFERROR(IF(OR($C48="",COUNT($F48:$J48)&lt;3),"",IF(N(INDEX(Lists!$C$2:$C$40,MATCH($C48,Lists!$A$2:$A$40,0)))=0,"",IF(MIN($F48:$J48)&gt;=INDEX(Lists!$C$2:$C$40,MATCH($C48,Lists!$A$2:$A$40,0)),"LEVEL UP",""))),"")</f>
        <v/>
      </c>
      <c r="N48" s="20"/>
      <c r="O48" s="19"/>
    </row>
    <row r="49" customFormat="false" ht="15" hidden="false" customHeight="false" outlineLevel="0" collapsed="false">
      <c r="A49" s="17"/>
      <c r="B49" s="18" t="str">
        <f aca="false">IF($A49="","",TEXT($A49,"ddd"))</f>
        <v/>
      </c>
      <c r="C49" s="19"/>
      <c r="D49" s="19"/>
      <c r="E49" s="18" t="str">
        <f aca="false">IF($C49="","",IFERROR(INDEX(Lists!$B$2:$B$40,MATCH($C49,Lists!$A$2:$A$40,0)),""))</f>
        <v/>
      </c>
      <c r="F49" s="20"/>
      <c r="G49" s="20"/>
      <c r="H49" s="20"/>
      <c r="I49" s="20"/>
      <c r="J49" s="20"/>
      <c r="K49" s="18" t="str">
        <f aca="false">IF(COUNT($F49:$J49)=0,"",SUM($F49:$J49))</f>
        <v/>
      </c>
      <c r="L49" s="18" t="str">
        <f aca="false">IF(COUNT($F49:$J49)=0,"",MAX($F49:$J49))</f>
        <v/>
      </c>
      <c r="M49" s="18" t="str">
        <f aca="false">IFERROR(IF(OR($C49="",COUNT($F49:$J49)&lt;3),"",IF(N(INDEX(Lists!$C$2:$C$40,MATCH($C49,Lists!$A$2:$A$40,0)))=0,"",IF(MIN($F49:$J49)&gt;=INDEX(Lists!$C$2:$C$40,MATCH($C49,Lists!$A$2:$A$40,0)),"LEVEL UP",""))),"")</f>
        <v/>
      </c>
      <c r="N49" s="20"/>
      <c r="O49" s="19"/>
    </row>
    <row r="50" customFormat="false" ht="15" hidden="false" customHeight="false" outlineLevel="0" collapsed="false">
      <c r="A50" s="17"/>
      <c r="B50" s="18" t="str">
        <f aca="false">IF($A50="","",TEXT($A50,"ddd"))</f>
        <v/>
      </c>
      <c r="C50" s="19"/>
      <c r="D50" s="19"/>
      <c r="E50" s="18" t="str">
        <f aca="false">IF($C50="","",IFERROR(INDEX(Lists!$B$2:$B$40,MATCH($C50,Lists!$A$2:$A$40,0)),""))</f>
        <v/>
      </c>
      <c r="F50" s="20"/>
      <c r="G50" s="20"/>
      <c r="H50" s="20"/>
      <c r="I50" s="20"/>
      <c r="J50" s="20"/>
      <c r="K50" s="18" t="str">
        <f aca="false">IF(COUNT($F50:$J50)=0,"",SUM($F50:$J50))</f>
        <v/>
      </c>
      <c r="L50" s="18" t="str">
        <f aca="false">IF(COUNT($F50:$J50)=0,"",MAX($F50:$J50))</f>
        <v/>
      </c>
      <c r="M50" s="18" t="str">
        <f aca="false">IFERROR(IF(OR($C50="",COUNT($F50:$J50)&lt;3),"",IF(N(INDEX(Lists!$C$2:$C$40,MATCH($C50,Lists!$A$2:$A$40,0)))=0,"",IF(MIN($F50:$J50)&gt;=INDEX(Lists!$C$2:$C$40,MATCH($C50,Lists!$A$2:$A$40,0)),"LEVEL UP",""))),"")</f>
        <v/>
      </c>
      <c r="N50" s="20"/>
      <c r="O50" s="19"/>
    </row>
    <row r="51" customFormat="false" ht="15" hidden="false" customHeight="false" outlineLevel="0" collapsed="false">
      <c r="A51" s="17"/>
      <c r="B51" s="18" t="str">
        <f aca="false">IF($A51="","",TEXT($A51,"ddd"))</f>
        <v/>
      </c>
      <c r="C51" s="19"/>
      <c r="D51" s="19"/>
      <c r="E51" s="18" t="str">
        <f aca="false">IF($C51="","",IFERROR(INDEX(Lists!$B$2:$B$40,MATCH($C51,Lists!$A$2:$A$40,0)),""))</f>
        <v/>
      </c>
      <c r="F51" s="20"/>
      <c r="G51" s="20"/>
      <c r="H51" s="20"/>
      <c r="I51" s="20"/>
      <c r="J51" s="20"/>
      <c r="K51" s="18" t="str">
        <f aca="false">IF(COUNT($F51:$J51)=0,"",SUM($F51:$J51))</f>
        <v/>
      </c>
      <c r="L51" s="18" t="str">
        <f aca="false">IF(COUNT($F51:$J51)=0,"",MAX($F51:$J51))</f>
        <v/>
      </c>
      <c r="M51" s="18" t="str">
        <f aca="false">IFERROR(IF(OR($C51="",COUNT($F51:$J51)&lt;3),"",IF(N(INDEX(Lists!$C$2:$C$40,MATCH($C51,Lists!$A$2:$A$40,0)))=0,"",IF(MIN($F51:$J51)&gt;=INDEX(Lists!$C$2:$C$40,MATCH($C51,Lists!$A$2:$A$40,0)),"LEVEL UP",""))),"")</f>
        <v/>
      </c>
      <c r="N51" s="20"/>
      <c r="O51" s="19"/>
    </row>
    <row r="52" customFormat="false" ht="15" hidden="false" customHeight="false" outlineLevel="0" collapsed="false">
      <c r="A52" s="17"/>
      <c r="B52" s="18" t="str">
        <f aca="false">IF($A52="","",TEXT($A52,"ddd"))</f>
        <v/>
      </c>
      <c r="C52" s="19"/>
      <c r="D52" s="19"/>
      <c r="E52" s="18" t="str">
        <f aca="false">IF($C52="","",IFERROR(INDEX(Lists!$B$2:$B$40,MATCH($C52,Lists!$A$2:$A$40,0)),""))</f>
        <v/>
      </c>
      <c r="F52" s="20"/>
      <c r="G52" s="20"/>
      <c r="H52" s="20"/>
      <c r="I52" s="20"/>
      <c r="J52" s="20"/>
      <c r="K52" s="18" t="str">
        <f aca="false">IF(COUNT($F52:$J52)=0,"",SUM($F52:$J52))</f>
        <v/>
      </c>
      <c r="L52" s="18" t="str">
        <f aca="false">IF(COUNT($F52:$J52)=0,"",MAX($F52:$J52))</f>
        <v/>
      </c>
      <c r="M52" s="18" t="str">
        <f aca="false">IFERROR(IF(OR($C52="",COUNT($F52:$J52)&lt;3),"",IF(N(INDEX(Lists!$C$2:$C$40,MATCH($C52,Lists!$A$2:$A$40,0)))=0,"",IF(MIN($F52:$J52)&gt;=INDEX(Lists!$C$2:$C$40,MATCH($C52,Lists!$A$2:$A$40,0)),"LEVEL UP",""))),"")</f>
        <v/>
      </c>
      <c r="N52" s="20"/>
      <c r="O52" s="19"/>
    </row>
    <row r="53" customFormat="false" ht="15" hidden="false" customHeight="false" outlineLevel="0" collapsed="false">
      <c r="A53" s="17"/>
      <c r="B53" s="18" t="str">
        <f aca="false">IF($A53="","",TEXT($A53,"ddd"))</f>
        <v/>
      </c>
      <c r="C53" s="19"/>
      <c r="D53" s="19"/>
      <c r="E53" s="18" t="str">
        <f aca="false">IF($C53="","",IFERROR(INDEX(Lists!$B$2:$B$40,MATCH($C53,Lists!$A$2:$A$40,0)),""))</f>
        <v/>
      </c>
      <c r="F53" s="20"/>
      <c r="G53" s="20"/>
      <c r="H53" s="20"/>
      <c r="I53" s="20"/>
      <c r="J53" s="20"/>
      <c r="K53" s="18" t="str">
        <f aca="false">IF(COUNT($F53:$J53)=0,"",SUM($F53:$J53))</f>
        <v/>
      </c>
      <c r="L53" s="18" t="str">
        <f aca="false">IF(COUNT($F53:$J53)=0,"",MAX($F53:$J53))</f>
        <v/>
      </c>
      <c r="M53" s="18" t="str">
        <f aca="false">IFERROR(IF(OR($C53="",COUNT($F53:$J53)&lt;3),"",IF(N(INDEX(Lists!$C$2:$C$40,MATCH($C53,Lists!$A$2:$A$40,0)))=0,"",IF(MIN($F53:$J53)&gt;=INDEX(Lists!$C$2:$C$40,MATCH($C53,Lists!$A$2:$A$40,0)),"LEVEL UP",""))),"")</f>
        <v/>
      </c>
      <c r="N53" s="20"/>
      <c r="O53" s="19"/>
    </row>
    <row r="54" customFormat="false" ht="15" hidden="false" customHeight="false" outlineLevel="0" collapsed="false">
      <c r="A54" s="17"/>
      <c r="B54" s="18" t="str">
        <f aca="false">IF($A54="","",TEXT($A54,"ddd"))</f>
        <v/>
      </c>
      <c r="C54" s="19"/>
      <c r="D54" s="19"/>
      <c r="E54" s="18" t="str">
        <f aca="false">IF($C54="","",IFERROR(INDEX(Lists!$B$2:$B$40,MATCH($C54,Lists!$A$2:$A$40,0)),""))</f>
        <v/>
      </c>
      <c r="F54" s="20"/>
      <c r="G54" s="20"/>
      <c r="H54" s="20"/>
      <c r="I54" s="20"/>
      <c r="J54" s="20"/>
      <c r="K54" s="18" t="str">
        <f aca="false">IF(COUNT($F54:$J54)=0,"",SUM($F54:$J54))</f>
        <v/>
      </c>
      <c r="L54" s="18" t="str">
        <f aca="false">IF(COUNT($F54:$J54)=0,"",MAX($F54:$J54))</f>
        <v/>
      </c>
      <c r="M54" s="18" t="str">
        <f aca="false">IFERROR(IF(OR($C54="",COUNT($F54:$J54)&lt;3),"",IF(N(INDEX(Lists!$C$2:$C$40,MATCH($C54,Lists!$A$2:$A$40,0)))=0,"",IF(MIN($F54:$J54)&gt;=INDEX(Lists!$C$2:$C$40,MATCH($C54,Lists!$A$2:$A$40,0)),"LEVEL UP",""))),"")</f>
        <v/>
      </c>
      <c r="N54" s="20"/>
      <c r="O54" s="19"/>
    </row>
    <row r="55" customFormat="false" ht="15" hidden="false" customHeight="false" outlineLevel="0" collapsed="false">
      <c r="A55" s="17"/>
      <c r="B55" s="18" t="str">
        <f aca="false">IF($A55="","",TEXT($A55,"ddd"))</f>
        <v/>
      </c>
      <c r="C55" s="19"/>
      <c r="D55" s="19"/>
      <c r="E55" s="18" t="str">
        <f aca="false">IF($C55="","",IFERROR(INDEX(Lists!$B$2:$B$40,MATCH($C55,Lists!$A$2:$A$40,0)),""))</f>
        <v/>
      </c>
      <c r="F55" s="20"/>
      <c r="G55" s="20"/>
      <c r="H55" s="20"/>
      <c r="I55" s="20"/>
      <c r="J55" s="20"/>
      <c r="K55" s="18" t="str">
        <f aca="false">IF(COUNT($F55:$J55)=0,"",SUM($F55:$J55))</f>
        <v/>
      </c>
      <c r="L55" s="18" t="str">
        <f aca="false">IF(COUNT($F55:$J55)=0,"",MAX($F55:$J55))</f>
        <v/>
      </c>
      <c r="M55" s="18" t="str">
        <f aca="false">IFERROR(IF(OR($C55="",COUNT($F55:$J55)&lt;3),"",IF(N(INDEX(Lists!$C$2:$C$40,MATCH($C55,Lists!$A$2:$A$40,0)))=0,"",IF(MIN($F55:$J55)&gt;=INDEX(Lists!$C$2:$C$40,MATCH($C55,Lists!$A$2:$A$40,0)),"LEVEL UP",""))),"")</f>
        <v/>
      </c>
      <c r="N55" s="20"/>
      <c r="O55" s="19"/>
    </row>
    <row r="56" customFormat="false" ht="15" hidden="false" customHeight="false" outlineLevel="0" collapsed="false">
      <c r="A56" s="17"/>
      <c r="B56" s="18" t="str">
        <f aca="false">IF($A56="","",TEXT($A56,"ddd"))</f>
        <v/>
      </c>
      <c r="C56" s="19"/>
      <c r="D56" s="19"/>
      <c r="E56" s="18" t="str">
        <f aca="false">IF($C56="","",IFERROR(INDEX(Lists!$B$2:$B$40,MATCH($C56,Lists!$A$2:$A$40,0)),""))</f>
        <v/>
      </c>
      <c r="F56" s="20"/>
      <c r="G56" s="20"/>
      <c r="H56" s="20"/>
      <c r="I56" s="20"/>
      <c r="J56" s="20"/>
      <c r="K56" s="18" t="str">
        <f aca="false">IF(COUNT($F56:$J56)=0,"",SUM($F56:$J56))</f>
        <v/>
      </c>
      <c r="L56" s="18" t="str">
        <f aca="false">IF(COUNT($F56:$J56)=0,"",MAX($F56:$J56))</f>
        <v/>
      </c>
      <c r="M56" s="18" t="str">
        <f aca="false">IFERROR(IF(OR($C56="",COUNT($F56:$J56)&lt;3),"",IF(N(INDEX(Lists!$C$2:$C$40,MATCH($C56,Lists!$A$2:$A$40,0)))=0,"",IF(MIN($F56:$J56)&gt;=INDEX(Lists!$C$2:$C$40,MATCH($C56,Lists!$A$2:$A$40,0)),"LEVEL UP",""))),"")</f>
        <v/>
      </c>
      <c r="N56" s="20"/>
      <c r="O56" s="19"/>
    </row>
    <row r="57" customFormat="false" ht="15" hidden="false" customHeight="false" outlineLevel="0" collapsed="false">
      <c r="A57" s="17"/>
      <c r="B57" s="18" t="str">
        <f aca="false">IF($A57="","",TEXT($A57,"ddd"))</f>
        <v/>
      </c>
      <c r="C57" s="19"/>
      <c r="D57" s="19"/>
      <c r="E57" s="18" t="str">
        <f aca="false">IF($C57="","",IFERROR(INDEX(Lists!$B$2:$B$40,MATCH($C57,Lists!$A$2:$A$40,0)),""))</f>
        <v/>
      </c>
      <c r="F57" s="20"/>
      <c r="G57" s="20"/>
      <c r="H57" s="20"/>
      <c r="I57" s="20"/>
      <c r="J57" s="20"/>
      <c r="K57" s="18" t="str">
        <f aca="false">IF(COUNT($F57:$J57)=0,"",SUM($F57:$J57))</f>
        <v/>
      </c>
      <c r="L57" s="18" t="str">
        <f aca="false">IF(COUNT($F57:$J57)=0,"",MAX($F57:$J57))</f>
        <v/>
      </c>
      <c r="M57" s="18" t="str">
        <f aca="false">IFERROR(IF(OR($C57="",COUNT($F57:$J57)&lt;3),"",IF(N(INDEX(Lists!$C$2:$C$40,MATCH($C57,Lists!$A$2:$A$40,0)))=0,"",IF(MIN($F57:$J57)&gt;=INDEX(Lists!$C$2:$C$40,MATCH($C57,Lists!$A$2:$A$40,0)),"LEVEL UP",""))),"")</f>
        <v/>
      </c>
      <c r="N57" s="20"/>
      <c r="O57" s="19"/>
    </row>
    <row r="58" customFormat="false" ht="15" hidden="false" customHeight="false" outlineLevel="0" collapsed="false">
      <c r="A58" s="17"/>
      <c r="B58" s="18" t="str">
        <f aca="false">IF($A58="","",TEXT($A58,"ddd"))</f>
        <v/>
      </c>
      <c r="C58" s="19"/>
      <c r="D58" s="19"/>
      <c r="E58" s="18" t="str">
        <f aca="false">IF($C58="","",IFERROR(INDEX(Lists!$B$2:$B$40,MATCH($C58,Lists!$A$2:$A$40,0)),""))</f>
        <v/>
      </c>
      <c r="F58" s="20"/>
      <c r="G58" s="20"/>
      <c r="H58" s="20"/>
      <c r="I58" s="20"/>
      <c r="J58" s="20"/>
      <c r="K58" s="18" t="str">
        <f aca="false">IF(COUNT($F58:$J58)=0,"",SUM($F58:$J58))</f>
        <v/>
      </c>
      <c r="L58" s="18" t="str">
        <f aca="false">IF(COUNT($F58:$J58)=0,"",MAX($F58:$J58))</f>
        <v/>
      </c>
      <c r="M58" s="18" t="str">
        <f aca="false">IFERROR(IF(OR($C58="",COUNT($F58:$J58)&lt;3),"",IF(N(INDEX(Lists!$C$2:$C$40,MATCH($C58,Lists!$A$2:$A$40,0)))=0,"",IF(MIN($F58:$J58)&gt;=INDEX(Lists!$C$2:$C$40,MATCH($C58,Lists!$A$2:$A$40,0)),"LEVEL UP",""))),"")</f>
        <v/>
      </c>
      <c r="N58" s="20"/>
      <c r="O58" s="19"/>
    </row>
    <row r="59" customFormat="false" ht="15" hidden="false" customHeight="false" outlineLevel="0" collapsed="false">
      <c r="A59" s="17"/>
      <c r="B59" s="18" t="str">
        <f aca="false">IF($A59="","",TEXT($A59,"ddd"))</f>
        <v/>
      </c>
      <c r="C59" s="19"/>
      <c r="D59" s="19"/>
      <c r="E59" s="18" t="str">
        <f aca="false">IF($C59="","",IFERROR(INDEX(Lists!$B$2:$B$40,MATCH($C59,Lists!$A$2:$A$40,0)),""))</f>
        <v/>
      </c>
      <c r="F59" s="20"/>
      <c r="G59" s="20"/>
      <c r="H59" s="20"/>
      <c r="I59" s="20"/>
      <c r="J59" s="20"/>
      <c r="K59" s="18" t="str">
        <f aca="false">IF(COUNT($F59:$J59)=0,"",SUM($F59:$J59))</f>
        <v/>
      </c>
      <c r="L59" s="18" t="str">
        <f aca="false">IF(COUNT($F59:$J59)=0,"",MAX($F59:$J59))</f>
        <v/>
      </c>
      <c r="M59" s="18" t="str">
        <f aca="false">IFERROR(IF(OR($C59="",COUNT($F59:$J59)&lt;3),"",IF(N(INDEX(Lists!$C$2:$C$40,MATCH($C59,Lists!$A$2:$A$40,0)))=0,"",IF(MIN($F59:$J59)&gt;=INDEX(Lists!$C$2:$C$40,MATCH($C59,Lists!$A$2:$A$40,0)),"LEVEL UP",""))),"")</f>
        <v/>
      </c>
      <c r="N59" s="20"/>
      <c r="O59" s="19"/>
    </row>
    <row r="60" customFormat="false" ht="15" hidden="false" customHeight="false" outlineLevel="0" collapsed="false">
      <c r="A60" s="17"/>
      <c r="B60" s="18" t="str">
        <f aca="false">IF($A60="","",TEXT($A60,"ddd"))</f>
        <v/>
      </c>
      <c r="C60" s="19"/>
      <c r="D60" s="19"/>
      <c r="E60" s="18" t="str">
        <f aca="false">IF($C60="","",IFERROR(INDEX(Lists!$B$2:$B$40,MATCH($C60,Lists!$A$2:$A$40,0)),""))</f>
        <v/>
      </c>
      <c r="F60" s="20"/>
      <c r="G60" s="20"/>
      <c r="H60" s="20"/>
      <c r="I60" s="20"/>
      <c r="J60" s="20"/>
      <c r="K60" s="18" t="str">
        <f aca="false">IF(COUNT($F60:$J60)=0,"",SUM($F60:$J60))</f>
        <v/>
      </c>
      <c r="L60" s="18" t="str">
        <f aca="false">IF(COUNT($F60:$J60)=0,"",MAX($F60:$J60))</f>
        <v/>
      </c>
      <c r="M60" s="18" t="str">
        <f aca="false">IFERROR(IF(OR($C60="",COUNT($F60:$J60)&lt;3),"",IF(N(INDEX(Lists!$C$2:$C$40,MATCH($C60,Lists!$A$2:$A$40,0)))=0,"",IF(MIN($F60:$J60)&gt;=INDEX(Lists!$C$2:$C$40,MATCH($C60,Lists!$A$2:$A$40,0)),"LEVEL UP",""))),"")</f>
        <v/>
      </c>
      <c r="N60" s="20"/>
      <c r="O60" s="19"/>
    </row>
    <row r="61" customFormat="false" ht="15" hidden="false" customHeight="false" outlineLevel="0" collapsed="false">
      <c r="A61" s="17"/>
      <c r="B61" s="18" t="str">
        <f aca="false">IF($A61="","",TEXT($A61,"ddd"))</f>
        <v/>
      </c>
      <c r="C61" s="19"/>
      <c r="D61" s="19"/>
      <c r="E61" s="18" t="str">
        <f aca="false">IF($C61="","",IFERROR(INDEX(Lists!$B$2:$B$40,MATCH($C61,Lists!$A$2:$A$40,0)),""))</f>
        <v/>
      </c>
      <c r="F61" s="20"/>
      <c r="G61" s="20"/>
      <c r="H61" s="20"/>
      <c r="I61" s="20"/>
      <c r="J61" s="20"/>
      <c r="K61" s="18" t="str">
        <f aca="false">IF(COUNT($F61:$J61)=0,"",SUM($F61:$J61))</f>
        <v/>
      </c>
      <c r="L61" s="18" t="str">
        <f aca="false">IF(COUNT($F61:$J61)=0,"",MAX($F61:$J61))</f>
        <v/>
      </c>
      <c r="M61" s="18" t="str">
        <f aca="false">IFERROR(IF(OR($C61="",COUNT($F61:$J61)&lt;3),"",IF(N(INDEX(Lists!$C$2:$C$40,MATCH($C61,Lists!$A$2:$A$40,0)))=0,"",IF(MIN($F61:$J61)&gt;=INDEX(Lists!$C$2:$C$40,MATCH($C61,Lists!$A$2:$A$40,0)),"LEVEL UP",""))),"")</f>
        <v/>
      </c>
      <c r="N61" s="20"/>
      <c r="O61" s="19"/>
    </row>
    <row r="62" customFormat="false" ht="15" hidden="false" customHeight="false" outlineLevel="0" collapsed="false">
      <c r="A62" s="17"/>
      <c r="B62" s="18" t="str">
        <f aca="false">IF($A62="","",TEXT($A62,"ddd"))</f>
        <v/>
      </c>
      <c r="C62" s="19"/>
      <c r="D62" s="19"/>
      <c r="E62" s="18" t="str">
        <f aca="false">IF($C62="","",IFERROR(INDEX(Lists!$B$2:$B$40,MATCH($C62,Lists!$A$2:$A$40,0)),""))</f>
        <v/>
      </c>
      <c r="F62" s="20"/>
      <c r="G62" s="20"/>
      <c r="H62" s="20"/>
      <c r="I62" s="20"/>
      <c r="J62" s="20"/>
      <c r="K62" s="18" t="str">
        <f aca="false">IF(COUNT($F62:$J62)=0,"",SUM($F62:$J62))</f>
        <v/>
      </c>
      <c r="L62" s="18" t="str">
        <f aca="false">IF(COUNT($F62:$J62)=0,"",MAX($F62:$J62))</f>
        <v/>
      </c>
      <c r="M62" s="18" t="str">
        <f aca="false">IFERROR(IF(OR($C62="",COUNT($F62:$J62)&lt;3),"",IF(N(INDEX(Lists!$C$2:$C$40,MATCH($C62,Lists!$A$2:$A$40,0)))=0,"",IF(MIN($F62:$J62)&gt;=INDEX(Lists!$C$2:$C$40,MATCH($C62,Lists!$A$2:$A$40,0)),"LEVEL UP",""))),"")</f>
        <v/>
      </c>
      <c r="N62" s="20"/>
      <c r="O62" s="19"/>
    </row>
    <row r="63" customFormat="false" ht="15" hidden="false" customHeight="false" outlineLevel="0" collapsed="false">
      <c r="A63" s="17"/>
      <c r="B63" s="18" t="str">
        <f aca="false">IF($A63="","",TEXT($A63,"ddd"))</f>
        <v/>
      </c>
      <c r="C63" s="19"/>
      <c r="D63" s="19"/>
      <c r="E63" s="18" t="str">
        <f aca="false">IF($C63="","",IFERROR(INDEX(Lists!$B$2:$B$40,MATCH($C63,Lists!$A$2:$A$40,0)),""))</f>
        <v/>
      </c>
      <c r="F63" s="20"/>
      <c r="G63" s="20"/>
      <c r="H63" s="20"/>
      <c r="I63" s="20"/>
      <c r="J63" s="20"/>
      <c r="K63" s="18" t="str">
        <f aca="false">IF(COUNT($F63:$J63)=0,"",SUM($F63:$J63))</f>
        <v/>
      </c>
      <c r="L63" s="18" t="str">
        <f aca="false">IF(COUNT($F63:$J63)=0,"",MAX($F63:$J63))</f>
        <v/>
      </c>
      <c r="M63" s="18" t="str">
        <f aca="false">IFERROR(IF(OR($C63="",COUNT($F63:$J63)&lt;3),"",IF(N(INDEX(Lists!$C$2:$C$40,MATCH($C63,Lists!$A$2:$A$40,0)))=0,"",IF(MIN($F63:$J63)&gt;=INDEX(Lists!$C$2:$C$40,MATCH($C63,Lists!$A$2:$A$40,0)),"LEVEL UP",""))),"")</f>
        <v/>
      </c>
      <c r="N63" s="20"/>
      <c r="O63" s="19"/>
    </row>
    <row r="64" customFormat="false" ht="15" hidden="false" customHeight="false" outlineLevel="0" collapsed="false">
      <c r="A64" s="17"/>
      <c r="B64" s="18" t="str">
        <f aca="false">IF($A64="","",TEXT($A64,"ddd"))</f>
        <v/>
      </c>
      <c r="C64" s="19"/>
      <c r="D64" s="19"/>
      <c r="E64" s="18" t="str">
        <f aca="false">IF($C64="","",IFERROR(INDEX(Lists!$B$2:$B$40,MATCH($C64,Lists!$A$2:$A$40,0)),""))</f>
        <v/>
      </c>
      <c r="F64" s="20"/>
      <c r="G64" s="20"/>
      <c r="H64" s="20"/>
      <c r="I64" s="20"/>
      <c r="J64" s="20"/>
      <c r="K64" s="18" t="str">
        <f aca="false">IF(COUNT($F64:$J64)=0,"",SUM($F64:$J64))</f>
        <v/>
      </c>
      <c r="L64" s="18" t="str">
        <f aca="false">IF(COUNT($F64:$J64)=0,"",MAX($F64:$J64))</f>
        <v/>
      </c>
      <c r="M64" s="18" t="str">
        <f aca="false">IFERROR(IF(OR($C64="",COUNT($F64:$J64)&lt;3),"",IF(N(INDEX(Lists!$C$2:$C$40,MATCH($C64,Lists!$A$2:$A$40,0)))=0,"",IF(MIN($F64:$J64)&gt;=INDEX(Lists!$C$2:$C$40,MATCH($C64,Lists!$A$2:$A$40,0)),"LEVEL UP",""))),"")</f>
        <v/>
      </c>
      <c r="N64" s="20"/>
      <c r="O64" s="19"/>
    </row>
    <row r="65" customFormat="false" ht="15" hidden="false" customHeight="false" outlineLevel="0" collapsed="false">
      <c r="A65" s="17"/>
      <c r="B65" s="18" t="str">
        <f aca="false">IF($A65="","",TEXT($A65,"ddd"))</f>
        <v/>
      </c>
      <c r="C65" s="19"/>
      <c r="D65" s="19"/>
      <c r="E65" s="18" t="str">
        <f aca="false">IF($C65="","",IFERROR(INDEX(Lists!$B$2:$B$40,MATCH($C65,Lists!$A$2:$A$40,0)),""))</f>
        <v/>
      </c>
      <c r="F65" s="20"/>
      <c r="G65" s="20"/>
      <c r="H65" s="20"/>
      <c r="I65" s="20"/>
      <c r="J65" s="20"/>
      <c r="K65" s="18" t="str">
        <f aca="false">IF(COUNT($F65:$J65)=0,"",SUM($F65:$J65))</f>
        <v/>
      </c>
      <c r="L65" s="18" t="str">
        <f aca="false">IF(COUNT($F65:$J65)=0,"",MAX($F65:$J65))</f>
        <v/>
      </c>
      <c r="M65" s="18" t="str">
        <f aca="false">IFERROR(IF(OR($C65="",COUNT($F65:$J65)&lt;3),"",IF(N(INDEX(Lists!$C$2:$C$40,MATCH($C65,Lists!$A$2:$A$40,0)))=0,"",IF(MIN($F65:$J65)&gt;=INDEX(Lists!$C$2:$C$40,MATCH($C65,Lists!$A$2:$A$40,0)),"LEVEL UP",""))),"")</f>
        <v/>
      </c>
      <c r="N65" s="20"/>
      <c r="O65" s="19"/>
    </row>
    <row r="66" customFormat="false" ht="15" hidden="false" customHeight="false" outlineLevel="0" collapsed="false">
      <c r="A66" s="17"/>
      <c r="B66" s="18" t="str">
        <f aca="false">IF($A66="","",TEXT($A66,"ddd"))</f>
        <v/>
      </c>
      <c r="C66" s="19"/>
      <c r="D66" s="19"/>
      <c r="E66" s="18" t="str">
        <f aca="false">IF($C66="","",IFERROR(INDEX(Lists!$B$2:$B$40,MATCH($C66,Lists!$A$2:$A$40,0)),""))</f>
        <v/>
      </c>
      <c r="F66" s="20"/>
      <c r="G66" s="20"/>
      <c r="H66" s="20"/>
      <c r="I66" s="20"/>
      <c r="J66" s="20"/>
      <c r="K66" s="18" t="str">
        <f aca="false">IF(COUNT($F66:$J66)=0,"",SUM($F66:$J66))</f>
        <v/>
      </c>
      <c r="L66" s="18" t="str">
        <f aca="false">IF(COUNT($F66:$J66)=0,"",MAX($F66:$J66))</f>
        <v/>
      </c>
      <c r="M66" s="18" t="str">
        <f aca="false">IFERROR(IF(OR($C66="",COUNT($F66:$J66)&lt;3),"",IF(N(INDEX(Lists!$C$2:$C$40,MATCH($C66,Lists!$A$2:$A$40,0)))=0,"",IF(MIN($F66:$J66)&gt;=INDEX(Lists!$C$2:$C$40,MATCH($C66,Lists!$A$2:$A$40,0)),"LEVEL UP",""))),"")</f>
        <v/>
      </c>
      <c r="N66" s="20"/>
      <c r="O66" s="19"/>
    </row>
    <row r="67" customFormat="false" ht="15" hidden="false" customHeight="false" outlineLevel="0" collapsed="false">
      <c r="A67" s="17"/>
      <c r="B67" s="18" t="str">
        <f aca="false">IF($A67="","",TEXT($A67,"ddd"))</f>
        <v/>
      </c>
      <c r="C67" s="19"/>
      <c r="D67" s="19"/>
      <c r="E67" s="18" t="str">
        <f aca="false">IF($C67="","",IFERROR(INDEX(Lists!$B$2:$B$40,MATCH($C67,Lists!$A$2:$A$40,0)),""))</f>
        <v/>
      </c>
      <c r="F67" s="20"/>
      <c r="G67" s="20"/>
      <c r="H67" s="20"/>
      <c r="I67" s="20"/>
      <c r="J67" s="20"/>
      <c r="K67" s="18" t="str">
        <f aca="false">IF(COUNT($F67:$J67)=0,"",SUM($F67:$J67))</f>
        <v/>
      </c>
      <c r="L67" s="18" t="str">
        <f aca="false">IF(COUNT($F67:$J67)=0,"",MAX($F67:$J67))</f>
        <v/>
      </c>
      <c r="M67" s="18" t="str">
        <f aca="false">IFERROR(IF(OR($C67="",COUNT($F67:$J67)&lt;3),"",IF(N(INDEX(Lists!$C$2:$C$40,MATCH($C67,Lists!$A$2:$A$40,0)))=0,"",IF(MIN($F67:$J67)&gt;=INDEX(Lists!$C$2:$C$40,MATCH($C67,Lists!$A$2:$A$40,0)),"LEVEL UP",""))),"")</f>
        <v/>
      </c>
      <c r="N67" s="20"/>
      <c r="O67" s="19"/>
    </row>
    <row r="68" customFormat="false" ht="15" hidden="false" customHeight="false" outlineLevel="0" collapsed="false">
      <c r="A68" s="17"/>
      <c r="B68" s="18" t="str">
        <f aca="false">IF($A68="","",TEXT($A68,"ddd"))</f>
        <v/>
      </c>
      <c r="C68" s="19"/>
      <c r="D68" s="19"/>
      <c r="E68" s="18" t="str">
        <f aca="false">IF($C68="","",IFERROR(INDEX(Lists!$B$2:$B$40,MATCH($C68,Lists!$A$2:$A$40,0)),""))</f>
        <v/>
      </c>
      <c r="F68" s="20"/>
      <c r="G68" s="20"/>
      <c r="H68" s="20"/>
      <c r="I68" s="20"/>
      <c r="J68" s="20"/>
      <c r="K68" s="18" t="str">
        <f aca="false">IF(COUNT($F68:$J68)=0,"",SUM($F68:$J68))</f>
        <v/>
      </c>
      <c r="L68" s="18" t="str">
        <f aca="false">IF(COUNT($F68:$J68)=0,"",MAX($F68:$J68))</f>
        <v/>
      </c>
      <c r="M68" s="18" t="str">
        <f aca="false">IFERROR(IF(OR($C68="",COUNT($F68:$J68)&lt;3),"",IF(N(INDEX(Lists!$C$2:$C$40,MATCH($C68,Lists!$A$2:$A$40,0)))=0,"",IF(MIN($F68:$J68)&gt;=INDEX(Lists!$C$2:$C$40,MATCH($C68,Lists!$A$2:$A$40,0)),"LEVEL UP",""))),"")</f>
        <v/>
      </c>
      <c r="N68" s="20"/>
      <c r="O68" s="19"/>
    </row>
    <row r="69" customFormat="false" ht="15" hidden="false" customHeight="false" outlineLevel="0" collapsed="false">
      <c r="A69" s="17"/>
      <c r="B69" s="18" t="str">
        <f aca="false">IF($A69="","",TEXT($A69,"ddd"))</f>
        <v/>
      </c>
      <c r="C69" s="19"/>
      <c r="D69" s="19"/>
      <c r="E69" s="18" t="str">
        <f aca="false">IF($C69="","",IFERROR(INDEX(Lists!$B$2:$B$40,MATCH($C69,Lists!$A$2:$A$40,0)),""))</f>
        <v/>
      </c>
      <c r="F69" s="20"/>
      <c r="G69" s="20"/>
      <c r="H69" s="20"/>
      <c r="I69" s="20"/>
      <c r="J69" s="20"/>
      <c r="K69" s="18" t="str">
        <f aca="false">IF(COUNT($F69:$J69)=0,"",SUM($F69:$J69))</f>
        <v/>
      </c>
      <c r="L69" s="18" t="str">
        <f aca="false">IF(COUNT($F69:$J69)=0,"",MAX($F69:$J69))</f>
        <v/>
      </c>
      <c r="M69" s="18" t="str">
        <f aca="false">IFERROR(IF(OR($C69="",COUNT($F69:$J69)&lt;3),"",IF(N(INDEX(Lists!$C$2:$C$40,MATCH($C69,Lists!$A$2:$A$40,0)))=0,"",IF(MIN($F69:$J69)&gt;=INDEX(Lists!$C$2:$C$40,MATCH($C69,Lists!$A$2:$A$40,0)),"LEVEL UP",""))),"")</f>
        <v/>
      </c>
      <c r="N69" s="20"/>
      <c r="O69" s="19"/>
    </row>
    <row r="70" customFormat="false" ht="15" hidden="false" customHeight="false" outlineLevel="0" collapsed="false">
      <c r="A70" s="17"/>
      <c r="B70" s="18" t="str">
        <f aca="false">IF($A70="","",TEXT($A70,"ddd"))</f>
        <v/>
      </c>
      <c r="C70" s="19"/>
      <c r="D70" s="19"/>
      <c r="E70" s="18" t="str">
        <f aca="false">IF($C70="","",IFERROR(INDEX(Lists!$B$2:$B$40,MATCH($C70,Lists!$A$2:$A$40,0)),""))</f>
        <v/>
      </c>
      <c r="F70" s="20"/>
      <c r="G70" s="20"/>
      <c r="H70" s="20"/>
      <c r="I70" s="20"/>
      <c r="J70" s="20"/>
      <c r="K70" s="18" t="str">
        <f aca="false">IF(COUNT($F70:$J70)=0,"",SUM($F70:$J70))</f>
        <v/>
      </c>
      <c r="L70" s="18" t="str">
        <f aca="false">IF(COUNT($F70:$J70)=0,"",MAX($F70:$J70))</f>
        <v/>
      </c>
      <c r="M70" s="18" t="str">
        <f aca="false">IFERROR(IF(OR($C70="",COUNT($F70:$J70)&lt;3),"",IF(N(INDEX(Lists!$C$2:$C$40,MATCH($C70,Lists!$A$2:$A$40,0)))=0,"",IF(MIN($F70:$J70)&gt;=INDEX(Lists!$C$2:$C$40,MATCH($C70,Lists!$A$2:$A$40,0)),"LEVEL UP",""))),"")</f>
        <v/>
      </c>
      <c r="N70" s="20"/>
      <c r="O70" s="19"/>
    </row>
    <row r="71" customFormat="false" ht="15" hidden="false" customHeight="false" outlineLevel="0" collapsed="false">
      <c r="A71" s="17"/>
      <c r="B71" s="18" t="str">
        <f aca="false">IF($A71="","",TEXT($A71,"ddd"))</f>
        <v/>
      </c>
      <c r="C71" s="19"/>
      <c r="D71" s="19"/>
      <c r="E71" s="18" t="str">
        <f aca="false">IF($C71="","",IFERROR(INDEX(Lists!$B$2:$B$40,MATCH($C71,Lists!$A$2:$A$40,0)),""))</f>
        <v/>
      </c>
      <c r="F71" s="20"/>
      <c r="G71" s="20"/>
      <c r="H71" s="20"/>
      <c r="I71" s="20"/>
      <c r="J71" s="20"/>
      <c r="K71" s="18" t="str">
        <f aca="false">IF(COUNT($F71:$J71)=0,"",SUM($F71:$J71))</f>
        <v/>
      </c>
      <c r="L71" s="18" t="str">
        <f aca="false">IF(COUNT($F71:$J71)=0,"",MAX($F71:$J71))</f>
        <v/>
      </c>
      <c r="M71" s="18" t="str">
        <f aca="false">IFERROR(IF(OR($C71="",COUNT($F71:$J71)&lt;3),"",IF(N(INDEX(Lists!$C$2:$C$40,MATCH($C71,Lists!$A$2:$A$40,0)))=0,"",IF(MIN($F71:$J71)&gt;=INDEX(Lists!$C$2:$C$40,MATCH($C71,Lists!$A$2:$A$40,0)),"LEVEL UP",""))),"")</f>
        <v/>
      </c>
      <c r="N71" s="20"/>
      <c r="O71" s="19"/>
    </row>
    <row r="72" customFormat="false" ht="15" hidden="false" customHeight="false" outlineLevel="0" collapsed="false">
      <c r="A72" s="17"/>
      <c r="B72" s="18" t="str">
        <f aca="false">IF($A72="","",TEXT($A72,"ddd"))</f>
        <v/>
      </c>
      <c r="C72" s="19"/>
      <c r="D72" s="19"/>
      <c r="E72" s="18" t="str">
        <f aca="false">IF($C72="","",IFERROR(INDEX(Lists!$B$2:$B$40,MATCH($C72,Lists!$A$2:$A$40,0)),""))</f>
        <v/>
      </c>
      <c r="F72" s="20"/>
      <c r="G72" s="20"/>
      <c r="H72" s="20"/>
      <c r="I72" s="20"/>
      <c r="J72" s="20"/>
      <c r="K72" s="18" t="str">
        <f aca="false">IF(COUNT($F72:$J72)=0,"",SUM($F72:$J72))</f>
        <v/>
      </c>
      <c r="L72" s="18" t="str">
        <f aca="false">IF(COUNT($F72:$J72)=0,"",MAX($F72:$J72))</f>
        <v/>
      </c>
      <c r="M72" s="18" t="str">
        <f aca="false">IFERROR(IF(OR($C72="",COUNT($F72:$J72)&lt;3),"",IF(N(INDEX(Lists!$C$2:$C$40,MATCH($C72,Lists!$A$2:$A$40,0)))=0,"",IF(MIN($F72:$J72)&gt;=INDEX(Lists!$C$2:$C$40,MATCH($C72,Lists!$A$2:$A$40,0)),"LEVEL UP",""))),"")</f>
        <v/>
      </c>
      <c r="N72" s="20"/>
      <c r="O72" s="19"/>
    </row>
    <row r="73" customFormat="false" ht="15" hidden="false" customHeight="false" outlineLevel="0" collapsed="false">
      <c r="A73" s="17"/>
      <c r="B73" s="18" t="str">
        <f aca="false">IF($A73="","",TEXT($A73,"ddd"))</f>
        <v/>
      </c>
      <c r="C73" s="19"/>
      <c r="D73" s="19"/>
      <c r="E73" s="18" t="str">
        <f aca="false">IF($C73="","",IFERROR(INDEX(Lists!$B$2:$B$40,MATCH($C73,Lists!$A$2:$A$40,0)),""))</f>
        <v/>
      </c>
      <c r="F73" s="20"/>
      <c r="G73" s="20"/>
      <c r="H73" s="20"/>
      <c r="I73" s="20"/>
      <c r="J73" s="20"/>
      <c r="K73" s="18" t="str">
        <f aca="false">IF(COUNT($F73:$J73)=0,"",SUM($F73:$J73))</f>
        <v/>
      </c>
      <c r="L73" s="18" t="str">
        <f aca="false">IF(COUNT($F73:$J73)=0,"",MAX($F73:$J73))</f>
        <v/>
      </c>
      <c r="M73" s="18" t="str">
        <f aca="false">IFERROR(IF(OR($C73="",COUNT($F73:$J73)&lt;3),"",IF(N(INDEX(Lists!$C$2:$C$40,MATCH($C73,Lists!$A$2:$A$40,0)))=0,"",IF(MIN($F73:$J73)&gt;=INDEX(Lists!$C$2:$C$40,MATCH($C73,Lists!$A$2:$A$40,0)),"LEVEL UP",""))),"")</f>
        <v/>
      </c>
      <c r="N73" s="20"/>
      <c r="O73" s="19"/>
    </row>
    <row r="74" customFormat="false" ht="15" hidden="false" customHeight="false" outlineLevel="0" collapsed="false">
      <c r="A74" s="17"/>
      <c r="B74" s="18" t="str">
        <f aca="false">IF($A74="","",TEXT($A74,"ddd"))</f>
        <v/>
      </c>
      <c r="C74" s="19"/>
      <c r="D74" s="19"/>
      <c r="E74" s="18" t="str">
        <f aca="false">IF($C74="","",IFERROR(INDEX(Lists!$B$2:$B$40,MATCH($C74,Lists!$A$2:$A$40,0)),""))</f>
        <v/>
      </c>
      <c r="F74" s="20"/>
      <c r="G74" s="20"/>
      <c r="H74" s="20"/>
      <c r="I74" s="20"/>
      <c r="J74" s="20"/>
      <c r="K74" s="18" t="str">
        <f aca="false">IF(COUNT($F74:$J74)=0,"",SUM($F74:$J74))</f>
        <v/>
      </c>
      <c r="L74" s="18" t="str">
        <f aca="false">IF(COUNT($F74:$J74)=0,"",MAX($F74:$J74))</f>
        <v/>
      </c>
      <c r="M74" s="18" t="str">
        <f aca="false">IFERROR(IF(OR($C74="",COUNT($F74:$J74)&lt;3),"",IF(N(INDEX(Lists!$C$2:$C$40,MATCH($C74,Lists!$A$2:$A$40,0)))=0,"",IF(MIN($F74:$J74)&gt;=INDEX(Lists!$C$2:$C$40,MATCH($C74,Lists!$A$2:$A$40,0)),"LEVEL UP",""))),"")</f>
        <v/>
      </c>
      <c r="N74" s="20"/>
      <c r="O74" s="19"/>
    </row>
    <row r="75" customFormat="false" ht="15" hidden="false" customHeight="false" outlineLevel="0" collapsed="false">
      <c r="A75" s="17"/>
      <c r="B75" s="18" t="str">
        <f aca="false">IF($A75="","",TEXT($A75,"ddd"))</f>
        <v/>
      </c>
      <c r="C75" s="19"/>
      <c r="D75" s="19"/>
      <c r="E75" s="18" t="str">
        <f aca="false">IF($C75="","",IFERROR(INDEX(Lists!$B$2:$B$40,MATCH($C75,Lists!$A$2:$A$40,0)),""))</f>
        <v/>
      </c>
      <c r="F75" s="20"/>
      <c r="G75" s="20"/>
      <c r="H75" s="20"/>
      <c r="I75" s="20"/>
      <c r="J75" s="20"/>
      <c r="K75" s="18" t="str">
        <f aca="false">IF(COUNT($F75:$J75)=0,"",SUM($F75:$J75))</f>
        <v/>
      </c>
      <c r="L75" s="18" t="str">
        <f aca="false">IF(COUNT($F75:$J75)=0,"",MAX($F75:$J75))</f>
        <v/>
      </c>
      <c r="M75" s="18" t="str">
        <f aca="false">IFERROR(IF(OR($C75="",COUNT($F75:$J75)&lt;3),"",IF(N(INDEX(Lists!$C$2:$C$40,MATCH($C75,Lists!$A$2:$A$40,0)))=0,"",IF(MIN($F75:$J75)&gt;=INDEX(Lists!$C$2:$C$40,MATCH($C75,Lists!$A$2:$A$40,0)),"LEVEL UP",""))),"")</f>
        <v/>
      </c>
      <c r="N75" s="20"/>
      <c r="O75" s="19"/>
    </row>
    <row r="76" customFormat="false" ht="15" hidden="false" customHeight="false" outlineLevel="0" collapsed="false">
      <c r="A76" s="17"/>
      <c r="B76" s="18" t="str">
        <f aca="false">IF($A76="","",TEXT($A76,"ddd"))</f>
        <v/>
      </c>
      <c r="C76" s="19"/>
      <c r="D76" s="19"/>
      <c r="E76" s="18" t="str">
        <f aca="false">IF($C76="","",IFERROR(INDEX(Lists!$B$2:$B$40,MATCH($C76,Lists!$A$2:$A$40,0)),""))</f>
        <v/>
      </c>
      <c r="F76" s="20"/>
      <c r="G76" s="20"/>
      <c r="H76" s="20"/>
      <c r="I76" s="20"/>
      <c r="J76" s="20"/>
      <c r="K76" s="18" t="str">
        <f aca="false">IF(COUNT($F76:$J76)=0,"",SUM($F76:$J76))</f>
        <v/>
      </c>
      <c r="L76" s="18" t="str">
        <f aca="false">IF(COUNT($F76:$J76)=0,"",MAX($F76:$J76))</f>
        <v/>
      </c>
      <c r="M76" s="18" t="str">
        <f aca="false">IFERROR(IF(OR($C76="",COUNT($F76:$J76)&lt;3),"",IF(N(INDEX(Lists!$C$2:$C$40,MATCH($C76,Lists!$A$2:$A$40,0)))=0,"",IF(MIN($F76:$J76)&gt;=INDEX(Lists!$C$2:$C$40,MATCH($C76,Lists!$A$2:$A$40,0)),"LEVEL UP",""))),"")</f>
        <v/>
      </c>
      <c r="N76" s="20"/>
      <c r="O76" s="19"/>
    </row>
    <row r="77" customFormat="false" ht="15" hidden="false" customHeight="false" outlineLevel="0" collapsed="false">
      <c r="A77" s="17"/>
      <c r="B77" s="18" t="str">
        <f aca="false">IF($A77="","",TEXT($A77,"ddd"))</f>
        <v/>
      </c>
      <c r="C77" s="19"/>
      <c r="D77" s="19"/>
      <c r="E77" s="18" t="str">
        <f aca="false">IF($C77="","",IFERROR(INDEX(Lists!$B$2:$B$40,MATCH($C77,Lists!$A$2:$A$40,0)),""))</f>
        <v/>
      </c>
      <c r="F77" s="20"/>
      <c r="G77" s="20"/>
      <c r="H77" s="20"/>
      <c r="I77" s="20"/>
      <c r="J77" s="20"/>
      <c r="K77" s="18" t="str">
        <f aca="false">IF(COUNT($F77:$J77)=0,"",SUM($F77:$J77))</f>
        <v/>
      </c>
      <c r="L77" s="18" t="str">
        <f aca="false">IF(COUNT($F77:$J77)=0,"",MAX($F77:$J77))</f>
        <v/>
      </c>
      <c r="M77" s="18" t="str">
        <f aca="false">IFERROR(IF(OR($C77="",COUNT($F77:$J77)&lt;3),"",IF(N(INDEX(Lists!$C$2:$C$40,MATCH($C77,Lists!$A$2:$A$40,0)))=0,"",IF(MIN($F77:$J77)&gt;=INDEX(Lists!$C$2:$C$40,MATCH($C77,Lists!$A$2:$A$40,0)),"LEVEL UP",""))),"")</f>
        <v/>
      </c>
      <c r="N77" s="20"/>
      <c r="O77" s="19"/>
    </row>
    <row r="78" customFormat="false" ht="15" hidden="false" customHeight="false" outlineLevel="0" collapsed="false">
      <c r="A78" s="17"/>
      <c r="B78" s="18" t="str">
        <f aca="false">IF($A78="","",TEXT($A78,"ddd"))</f>
        <v/>
      </c>
      <c r="C78" s="19"/>
      <c r="D78" s="19"/>
      <c r="E78" s="18" t="str">
        <f aca="false">IF($C78="","",IFERROR(INDEX(Lists!$B$2:$B$40,MATCH($C78,Lists!$A$2:$A$40,0)),""))</f>
        <v/>
      </c>
      <c r="F78" s="20"/>
      <c r="G78" s="20"/>
      <c r="H78" s="20"/>
      <c r="I78" s="20"/>
      <c r="J78" s="20"/>
      <c r="K78" s="18" t="str">
        <f aca="false">IF(COUNT($F78:$J78)=0,"",SUM($F78:$J78))</f>
        <v/>
      </c>
      <c r="L78" s="18" t="str">
        <f aca="false">IF(COUNT($F78:$J78)=0,"",MAX($F78:$J78))</f>
        <v/>
      </c>
      <c r="M78" s="18" t="str">
        <f aca="false">IFERROR(IF(OR($C78="",COUNT($F78:$J78)&lt;3),"",IF(N(INDEX(Lists!$C$2:$C$40,MATCH($C78,Lists!$A$2:$A$40,0)))=0,"",IF(MIN($F78:$J78)&gt;=INDEX(Lists!$C$2:$C$40,MATCH($C78,Lists!$A$2:$A$40,0)),"LEVEL UP",""))),"")</f>
        <v/>
      </c>
      <c r="N78" s="20"/>
      <c r="O78" s="19"/>
    </row>
    <row r="79" customFormat="false" ht="15" hidden="false" customHeight="false" outlineLevel="0" collapsed="false">
      <c r="A79" s="17"/>
      <c r="B79" s="18" t="str">
        <f aca="false">IF($A79="","",TEXT($A79,"ddd"))</f>
        <v/>
      </c>
      <c r="C79" s="19"/>
      <c r="D79" s="19"/>
      <c r="E79" s="18" t="str">
        <f aca="false">IF($C79="","",IFERROR(INDEX(Lists!$B$2:$B$40,MATCH($C79,Lists!$A$2:$A$40,0)),""))</f>
        <v/>
      </c>
      <c r="F79" s="20"/>
      <c r="G79" s="20"/>
      <c r="H79" s="20"/>
      <c r="I79" s="20"/>
      <c r="J79" s="20"/>
      <c r="K79" s="18" t="str">
        <f aca="false">IF(COUNT($F79:$J79)=0,"",SUM($F79:$J79))</f>
        <v/>
      </c>
      <c r="L79" s="18" t="str">
        <f aca="false">IF(COUNT($F79:$J79)=0,"",MAX($F79:$J79))</f>
        <v/>
      </c>
      <c r="M79" s="18" t="str">
        <f aca="false">IFERROR(IF(OR($C79="",COUNT($F79:$J79)&lt;3),"",IF(N(INDEX(Lists!$C$2:$C$40,MATCH($C79,Lists!$A$2:$A$40,0)))=0,"",IF(MIN($F79:$J79)&gt;=INDEX(Lists!$C$2:$C$40,MATCH($C79,Lists!$A$2:$A$40,0)),"LEVEL UP",""))),"")</f>
        <v/>
      </c>
      <c r="N79" s="20"/>
      <c r="O79" s="19"/>
    </row>
    <row r="80" customFormat="false" ht="15" hidden="false" customHeight="false" outlineLevel="0" collapsed="false">
      <c r="A80" s="17"/>
      <c r="B80" s="18" t="str">
        <f aca="false">IF($A80="","",TEXT($A80,"ddd"))</f>
        <v/>
      </c>
      <c r="C80" s="19"/>
      <c r="D80" s="19"/>
      <c r="E80" s="18" t="str">
        <f aca="false">IF($C80="","",IFERROR(INDEX(Lists!$B$2:$B$40,MATCH($C80,Lists!$A$2:$A$40,0)),""))</f>
        <v/>
      </c>
      <c r="F80" s="20"/>
      <c r="G80" s="20"/>
      <c r="H80" s="20"/>
      <c r="I80" s="20"/>
      <c r="J80" s="20"/>
      <c r="K80" s="18" t="str">
        <f aca="false">IF(COUNT($F80:$J80)=0,"",SUM($F80:$J80))</f>
        <v/>
      </c>
      <c r="L80" s="18" t="str">
        <f aca="false">IF(COUNT($F80:$J80)=0,"",MAX($F80:$J80))</f>
        <v/>
      </c>
      <c r="M80" s="18" t="str">
        <f aca="false">IFERROR(IF(OR($C80="",COUNT($F80:$J80)&lt;3),"",IF(N(INDEX(Lists!$C$2:$C$40,MATCH($C80,Lists!$A$2:$A$40,0)))=0,"",IF(MIN($F80:$J80)&gt;=INDEX(Lists!$C$2:$C$40,MATCH($C80,Lists!$A$2:$A$40,0)),"LEVEL UP",""))),"")</f>
        <v/>
      </c>
      <c r="N80" s="20"/>
      <c r="O80" s="19"/>
    </row>
    <row r="81" customFormat="false" ht="15" hidden="false" customHeight="false" outlineLevel="0" collapsed="false">
      <c r="A81" s="17"/>
      <c r="B81" s="18" t="str">
        <f aca="false">IF($A81="","",TEXT($A81,"ddd"))</f>
        <v/>
      </c>
      <c r="C81" s="19"/>
      <c r="D81" s="19"/>
      <c r="E81" s="18" t="str">
        <f aca="false">IF($C81="","",IFERROR(INDEX(Lists!$B$2:$B$40,MATCH($C81,Lists!$A$2:$A$40,0)),""))</f>
        <v/>
      </c>
      <c r="F81" s="20"/>
      <c r="G81" s="20"/>
      <c r="H81" s="20"/>
      <c r="I81" s="20"/>
      <c r="J81" s="20"/>
      <c r="K81" s="18" t="str">
        <f aca="false">IF(COUNT($F81:$J81)=0,"",SUM($F81:$J81))</f>
        <v/>
      </c>
      <c r="L81" s="18" t="str">
        <f aca="false">IF(COUNT($F81:$J81)=0,"",MAX($F81:$J81))</f>
        <v/>
      </c>
      <c r="M81" s="18" t="str">
        <f aca="false">IFERROR(IF(OR($C81="",COUNT($F81:$J81)&lt;3),"",IF(N(INDEX(Lists!$C$2:$C$40,MATCH($C81,Lists!$A$2:$A$40,0)))=0,"",IF(MIN($F81:$J81)&gt;=INDEX(Lists!$C$2:$C$40,MATCH($C81,Lists!$A$2:$A$40,0)),"LEVEL UP",""))),"")</f>
        <v/>
      </c>
      <c r="N81" s="20"/>
      <c r="O81" s="19"/>
    </row>
    <row r="82" customFormat="false" ht="15" hidden="false" customHeight="false" outlineLevel="0" collapsed="false">
      <c r="A82" s="17"/>
      <c r="B82" s="18" t="str">
        <f aca="false">IF($A82="","",TEXT($A82,"ddd"))</f>
        <v/>
      </c>
      <c r="C82" s="19"/>
      <c r="D82" s="19"/>
      <c r="E82" s="18" t="str">
        <f aca="false">IF($C82="","",IFERROR(INDEX(Lists!$B$2:$B$40,MATCH($C82,Lists!$A$2:$A$40,0)),""))</f>
        <v/>
      </c>
      <c r="F82" s="20"/>
      <c r="G82" s="20"/>
      <c r="H82" s="20"/>
      <c r="I82" s="20"/>
      <c r="J82" s="20"/>
      <c r="K82" s="18" t="str">
        <f aca="false">IF(COUNT($F82:$J82)=0,"",SUM($F82:$J82))</f>
        <v/>
      </c>
      <c r="L82" s="18" t="str">
        <f aca="false">IF(COUNT($F82:$J82)=0,"",MAX($F82:$J82))</f>
        <v/>
      </c>
      <c r="M82" s="18" t="str">
        <f aca="false">IFERROR(IF(OR($C82="",COUNT($F82:$J82)&lt;3),"",IF(N(INDEX(Lists!$C$2:$C$40,MATCH($C82,Lists!$A$2:$A$40,0)))=0,"",IF(MIN($F82:$J82)&gt;=INDEX(Lists!$C$2:$C$40,MATCH($C82,Lists!$A$2:$A$40,0)),"LEVEL UP",""))),"")</f>
        <v/>
      </c>
      <c r="N82" s="20"/>
      <c r="O82" s="19"/>
    </row>
    <row r="83" customFormat="false" ht="15" hidden="false" customHeight="false" outlineLevel="0" collapsed="false">
      <c r="A83" s="17"/>
      <c r="B83" s="18" t="str">
        <f aca="false">IF($A83="","",TEXT($A83,"ddd"))</f>
        <v/>
      </c>
      <c r="C83" s="19"/>
      <c r="D83" s="19"/>
      <c r="E83" s="18" t="str">
        <f aca="false">IF($C83="","",IFERROR(INDEX(Lists!$B$2:$B$40,MATCH($C83,Lists!$A$2:$A$40,0)),""))</f>
        <v/>
      </c>
      <c r="F83" s="20"/>
      <c r="G83" s="20"/>
      <c r="H83" s="20"/>
      <c r="I83" s="20"/>
      <c r="J83" s="20"/>
      <c r="K83" s="18" t="str">
        <f aca="false">IF(COUNT($F83:$J83)=0,"",SUM($F83:$J83))</f>
        <v/>
      </c>
      <c r="L83" s="18" t="str">
        <f aca="false">IF(COUNT($F83:$J83)=0,"",MAX($F83:$J83))</f>
        <v/>
      </c>
      <c r="M83" s="18" t="str">
        <f aca="false">IFERROR(IF(OR($C83="",COUNT($F83:$J83)&lt;3),"",IF(N(INDEX(Lists!$C$2:$C$40,MATCH($C83,Lists!$A$2:$A$40,0)))=0,"",IF(MIN($F83:$J83)&gt;=INDEX(Lists!$C$2:$C$40,MATCH($C83,Lists!$A$2:$A$40,0)),"LEVEL UP",""))),"")</f>
        <v/>
      </c>
      <c r="N83" s="20"/>
      <c r="O83" s="19"/>
    </row>
    <row r="84" customFormat="false" ht="15" hidden="false" customHeight="false" outlineLevel="0" collapsed="false">
      <c r="A84" s="17"/>
      <c r="B84" s="18" t="str">
        <f aca="false">IF($A84="","",TEXT($A84,"ddd"))</f>
        <v/>
      </c>
      <c r="C84" s="19"/>
      <c r="D84" s="19"/>
      <c r="E84" s="18" t="str">
        <f aca="false">IF($C84="","",IFERROR(INDEX(Lists!$B$2:$B$40,MATCH($C84,Lists!$A$2:$A$40,0)),""))</f>
        <v/>
      </c>
      <c r="F84" s="20"/>
      <c r="G84" s="20"/>
      <c r="H84" s="20"/>
      <c r="I84" s="20"/>
      <c r="J84" s="20"/>
      <c r="K84" s="18" t="str">
        <f aca="false">IF(COUNT($F84:$J84)=0,"",SUM($F84:$J84))</f>
        <v/>
      </c>
      <c r="L84" s="18" t="str">
        <f aca="false">IF(COUNT($F84:$J84)=0,"",MAX($F84:$J84))</f>
        <v/>
      </c>
      <c r="M84" s="18" t="str">
        <f aca="false">IFERROR(IF(OR($C84="",COUNT($F84:$J84)&lt;3),"",IF(N(INDEX(Lists!$C$2:$C$40,MATCH($C84,Lists!$A$2:$A$40,0)))=0,"",IF(MIN($F84:$J84)&gt;=INDEX(Lists!$C$2:$C$40,MATCH($C84,Lists!$A$2:$A$40,0)),"LEVEL UP",""))),"")</f>
        <v/>
      </c>
      <c r="N84" s="20"/>
      <c r="O84" s="19"/>
    </row>
    <row r="85" customFormat="false" ht="15" hidden="false" customHeight="false" outlineLevel="0" collapsed="false">
      <c r="A85" s="17"/>
      <c r="B85" s="18" t="str">
        <f aca="false">IF($A85="","",TEXT($A85,"ddd"))</f>
        <v/>
      </c>
      <c r="C85" s="19"/>
      <c r="D85" s="19"/>
      <c r="E85" s="18" t="str">
        <f aca="false">IF($C85="","",IFERROR(INDEX(Lists!$B$2:$B$40,MATCH($C85,Lists!$A$2:$A$40,0)),""))</f>
        <v/>
      </c>
      <c r="F85" s="20"/>
      <c r="G85" s="20"/>
      <c r="H85" s="20"/>
      <c r="I85" s="20"/>
      <c r="J85" s="20"/>
      <c r="K85" s="18" t="str">
        <f aca="false">IF(COUNT($F85:$J85)=0,"",SUM($F85:$J85))</f>
        <v/>
      </c>
      <c r="L85" s="18" t="str">
        <f aca="false">IF(COUNT($F85:$J85)=0,"",MAX($F85:$J85))</f>
        <v/>
      </c>
      <c r="M85" s="18" t="str">
        <f aca="false">IFERROR(IF(OR($C85="",COUNT($F85:$J85)&lt;3),"",IF(N(INDEX(Lists!$C$2:$C$40,MATCH($C85,Lists!$A$2:$A$40,0)))=0,"",IF(MIN($F85:$J85)&gt;=INDEX(Lists!$C$2:$C$40,MATCH($C85,Lists!$A$2:$A$40,0)),"LEVEL UP",""))),"")</f>
        <v/>
      </c>
      <c r="N85" s="20"/>
      <c r="O85" s="19"/>
    </row>
    <row r="86" customFormat="false" ht="15" hidden="false" customHeight="false" outlineLevel="0" collapsed="false">
      <c r="A86" s="17"/>
      <c r="B86" s="18" t="str">
        <f aca="false">IF($A86="","",TEXT($A86,"ddd"))</f>
        <v/>
      </c>
      <c r="C86" s="19"/>
      <c r="D86" s="19"/>
      <c r="E86" s="18" t="str">
        <f aca="false">IF($C86="","",IFERROR(INDEX(Lists!$B$2:$B$40,MATCH($C86,Lists!$A$2:$A$40,0)),""))</f>
        <v/>
      </c>
      <c r="F86" s="20"/>
      <c r="G86" s="20"/>
      <c r="H86" s="20"/>
      <c r="I86" s="20"/>
      <c r="J86" s="20"/>
      <c r="K86" s="18" t="str">
        <f aca="false">IF(COUNT($F86:$J86)=0,"",SUM($F86:$J86))</f>
        <v/>
      </c>
      <c r="L86" s="18" t="str">
        <f aca="false">IF(COUNT($F86:$J86)=0,"",MAX($F86:$J86))</f>
        <v/>
      </c>
      <c r="M86" s="18" t="str">
        <f aca="false">IFERROR(IF(OR($C86="",COUNT($F86:$J86)&lt;3),"",IF(N(INDEX(Lists!$C$2:$C$40,MATCH($C86,Lists!$A$2:$A$40,0)))=0,"",IF(MIN($F86:$J86)&gt;=INDEX(Lists!$C$2:$C$40,MATCH($C86,Lists!$A$2:$A$40,0)),"LEVEL UP",""))),"")</f>
        <v/>
      </c>
      <c r="N86" s="20"/>
      <c r="O86" s="19"/>
    </row>
    <row r="87" customFormat="false" ht="15" hidden="false" customHeight="false" outlineLevel="0" collapsed="false">
      <c r="A87" s="17"/>
      <c r="B87" s="18" t="str">
        <f aca="false">IF($A87="","",TEXT($A87,"ddd"))</f>
        <v/>
      </c>
      <c r="C87" s="19"/>
      <c r="D87" s="19"/>
      <c r="E87" s="18" t="str">
        <f aca="false">IF($C87="","",IFERROR(INDEX(Lists!$B$2:$B$40,MATCH($C87,Lists!$A$2:$A$40,0)),""))</f>
        <v/>
      </c>
      <c r="F87" s="20"/>
      <c r="G87" s="20"/>
      <c r="H87" s="20"/>
      <c r="I87" s="20"/>
      <c r="J87" s="20"/>
      <c r="K87" s="18" t="str">
        <f aca="false">IF(COUNT($F87:$J87)=0,"",SUM($F87:$J87))</f>
        <v/>
      </c>
      <c r="L87" s="18" t="str">
        <f aca="false">IF(COUNT($F87:$J87)=0,"",MAX($F87:$J87))</f>
        <v/>
      </c>
      <c r="M87" s="18" t="str">
        <f aca="false">IFERROR(IF(OR($C87="",COUNT($F87:$J87)&lt;3),"",IF(N(INDEX(Lists!$C$2:$C$40,MATCH($C87,Lists!$A$2:$A$40,0)))=0,"",IF(MIN($F87:$J87)&gt;=INDEX(Lists!$C$2:$C$40,MATCH($C87,Lists!$A$2:$A$40,0)),"LEVEL UP",""))),"")</f>
        <v/>
      </c>
      <c r="N87" s="20"/>
      <c r="O87" s="19"/>
    </row>
    <row r="88" customFormat="false" ht="15" hidden="false" customHeight="false" outlineLevel="0" collapsed="false">
      <c r="A88" s="17"/>
      <c r="B88" s="18" t="str">
        <f aca="false">IF($A88="","",TEXT($A88,"ddd"))</f>
        <v/>
      </c>
      <c r="C88" s="19"/>
      <c r="D88" s="19"/>
      <c r="E88" s="18" t="str">
        <f aca="false">IF($C88="","",IFERROR(INDEX(Lists!$B$2:$B$40,MATCH($C88,Lists!$A$2:$A$40,0)),""))</f>
        <v/>
      </c>
      <c r="F88" s="20"/>
      <c r="G88" s="20"/>
      <c r="H88" s="20"/>
      <c r="I88" s="20"/>
      <c r="J88" s="20"/>
      <c r="K88" s="18" t="str">
        <f aca="false">IF(COUNT($F88:$J88)=0,"",SUM($F88:$J88))</f>
        <v/>
      </c>
      <c r="L88" s="18" t="str">
        <f aca="false">IF(COUNT($F88:$J88)=0,"",MAX($F88:$J88))</f>
        <v/>
      </c>
      <c r="M88" s="18" t="str">
        <f aca="false">IFERROR(IF(OR($C88="",COUNT($F88:$J88)&lt;3),"",IF(N(INDEX(Lists!$C$2:$C$40,MATCH($C88,Lists!$A$2:$A$40,0)))=0,"",IF(MIN($F88:$J88)&gt;=INDEX(Lists!$C$2:$C$40,MATCH($C88,Lists!$A$2:$A$40,0)),"LEVEL UP",""))),"")</f>
        <v/>
      </c>
      <c r="N88" s="20"/>
      <c r="O88" s="19"/>
    </row>
    <row r="89" customFormat="false" ht="15" hidden="false" customHeight="false" outlineLevel="0" collapsed="false">
      <c r="A89" s="17"/>
      <c r="B89" s="18" t="str">
        <f aca="false">IF($A89="","",TEXT($A89,"ddd"))</f>
        <v/>
      </c>
      <c r="C89" s="19"/>
      <c r="D89" s="19"/>
      <c r="E89" s="18" t="str">
        <f aca="false">IF($C89="","",IFERROR(INDEX(Lists!$B$2:$B$40,MATCH($C89,Lists!$A$2:$A$40,0)),""))</f>
        <v/>
      </c>
      <c r="F89" s="20"/>
      <c r="G89" s="20"/>
      <c r="H89" s="20"/>
      <c r="I89" s="20"/>
      <c r="J89" s="20"/>
      <c r="K89" s="18" t="str">
        <f aca="false">IF(COUNT($F89:$J89)=0,"",SUM($F89:$J89))</f>
        <v/>
      </c>
      <c r="L89" s="18" t="str">
        <f aca="false">IF(COUNT($F89:$J89)=0,"",MAX($F89:$J89))</f>
        <v/>
      </c>
      <c r="M89" s="18" t="str">
        <f aca="false">IFERROR(IF(OR($C89="",COUNT($F89:$J89)&lt;3),"",IF(N(INDEX(Lists!$C$2:$C$40,MATCH($C89,Lists!$A$2:$A$40,0)))=0,"",IF(MIN($F89:$J89)&gt;=INDEX(Lists!$C$2:$C$40,MATCH($C89,Lists!$A$2:$A$40,0)),"LEVEL UP",""))),"")</f>
        <v/>
      </c>
      <c r="N89" s="20"/>
      <c r="O89" s="19"/>
    </row>
    <row r="90" customFormat="false" ht="15" hidden="false" customHeight="false" outlineLevel="0" collapsed="false">
      <c r="A90" s="17"/>
      <c r="B90" s="18" t="str">
        <f aca="false">IF($A90="","",TEXT($A90,"ddd"))</f>
        <v/>
      </c>
      <c r="C90" s="19"/>
      <c r="D90" s="19"/>
      <c r="E90" s="18" t="str">
        <f aca="false">IF($C90="","",IFERROR(INDEX(Lists!$B$2:$B$40,MATCH($C90,Lists!$A$2:$A$40,0)),""))</f>
        <v/>
      </c>
      <c r="F90" s="20"/>
      <c r="G90" s="20"/>
      <c r="H90" s="20"/>
      <c r="I90" s="20"/>
      <c r="J90" s="20"/>
      <c r="K90" s="18" t="str">
        <f aca="false">IF(COUNT($F90:$J90)=0,"",SUM($F90:$J90))</f>
        <v/>
      </c>
      <c r="L90" s="18" t="str">
        <f aca="false">IF(COUNT($F90:$J90)=0,"",MAX($F90:$J90))</f>
        <v/>
      </c>
      <c r="M90" s="18" t="str">
        <f aca="false">IFERROR(IF(OR($C90="",COUNT($F90:$J90)&lt;3),"",IF(N(INDEX(Lists!$C$2:$C$40,MATCH($C90,Lists!$A$2:$A$40,0)))=0,"",IF(MIN($F90:$J90)&gt;=INDEX(Lists!$C$2:$C$40,MATCH($C90,Lists!$A$2:$A$40,0)),"LEVEL UP",""))),"")</f>
        <v/>
      </c>
      <c r="N90" s="20"/>
      <c r="O90" s="19"/>
    </row>
    <row r="91" customFormat="false" ht="15" hidden="false" customHeight="false" outlineLevel="0" collapsed="false">
      <c r="A91" s="17"/>
      <c r="B91" s="18" t="str">
        <f aca="false">IF($A91="","",TEXT($A91,"ddd"))</f>
        <v/>
      </c>
      <c r="C91" s="19"/>
      <c r="D91" s="19"/>
      <c r="E91" s="18" t="str">
        <f aca="false">IF($C91="","",IFERROR(INDEX(Lists!$B$2:$B$40,MATCH($C91,Lists!$A$2:$A$40,0)),""))</f>
        <v/>
      </c>
      <c r="F91" s="20"/>
      <c r="G91" s="20"/>
      <c r="H91" s="20"/>
      <c r="I91" s="20"/>
      <c r="J91" s="20"/>
      <c r="K91" s="18" t="str">
        <f aca="false">IF(COUNT($F91:$J91)=0,"",SUM($F91:$J91))</f>
        <v/>
      </c>
      <c r="L91" s="18" t="str">
        <f aca="false">IF(COUNT($F91:$J91)=0,"",MAX($F91:$J91))</f>
        <v/>
      </c>
      <c r="M91" s="18" t="str">
        <f aca="false">IFERROR(IF(OR($C91="",COUNT($F91:$J91)&lt;3),"",IF(N(INDEX(Lists!$C$2:$C$40,MATCH($C91,Lists!$A$2:$A$40,0)))=0,"",IF(MIN($F91:$J91)&gt;=INDEX(Lists!$C$2:$C$40,MATCH($C91,Lists!$A$2:$A$40,0)),"LEVEL UP",""))),"")</f>
        <v/>
      </c>
      <c r="N91" s="20"/>
      <c r="O91" s="19"/>
    </row>
    <row r="92" customFormat="false" ht="15" hidden="false" customHeight="false" outlineLevel="0" collapsed="false">
      <c r="A92" s="17"/>
      <c r="B92" s="18" t="str">
        <f aca="false">IF($A92="","",TEXT($A92,"ddd"))</f>
        <v/>
      </c>
      <c r="C92" s="19"/>
      <c r="D92" s="19"/>
      <c r="E92" s="18" t="str">
        <f aca="false">IF($C92="","",IFERROR(INDEX(Lists!$B$2:$B$40,MATCH($C92,Lists!$A$2:$A$40,0)),""))</f>
        <v/>
      </c>
      <c r="F92" s="20"/>
      <c r="G92" s="20"/>
      <c r="H92" s="20"/>
      <c r="I92" s="20"/>
      <c r="J92" s="20"/>
      <c r="K92" s="18" t="str">
        <f aca="false">IF(COUNT($F92:$J92)=0,"",SUM($F92:$J92))</f>
        <v/>
      </c>
      <c r="L92" s="18" t="str">
        <f aca="false">IF(COUNT($F92:$J92)=0,"",MAX($F92:$J92))</f>
        <v/>
      </c>
      <c r="M92" s="18" t="str">
        <f aca="false">IFERROR(IF(OR($C92="",COUNT($F92:$J92)&lt;3),"",IF(N(INDEX(Lists!$C$2:$C$40,MATCH($C92,Lists!$A$2:$A$40,0)))=0,"",IF(MIN($F92:$J92)&gt;=INDEX(Lists!$C$2:$C$40,MATCH($C92,Lists!$A$2:$A$40,0)),"LEVEL UP",""))),"")</f>
        <v/>
      </c>
      <c r="N92" s="20"/>
      <c r="O92" s="19"/>
    </row>
    <row r="93" customFormat="false" ht="15" hidden="false" customHeight="false" outlineLevel="0" collapsed="false">
      <c r="A93" s="17"/>
      <c r="B93" s="18" t="str">
        <f aca="false">IF($A93="","",TEXT($A93,"ddd"))</f>
        <v/>
      </c>
      <c r="C93" s="19"/>
      <c r="D93" s="19"/>
      <c r="E93" s="18" t="str">
        <f aca="false">IF($C93="","",IFERROR(INDEX(Lists!$B$2:$B$40,MATCH($C93,Lists!$A$2:$A$40,0)),""))</f>
        <v/>
      </c>
      <c r="F93" s="20"/>
      <c r="G93" s="20"/>
      <c r="H93" s="20"/>
      <c r="I93" s="20"/>
      <c r="J93" s="20"/>
      <c r="K93" s="18" t="str">
        <f aca="false">IF(COUNT($F93:$J93)=0,"",SUM($F93:$J93))</f>
        <v/>
      </c>
      <c r="L93" s="18" t="str">
        <f aca="false">IF(COUNT($F93:$J93)=0,"",MAX($F93:$J93))</f>
        <v/>
      </c>
      <c r="M93" s="18" t="str">
        <f aca="false">IFERROR(IF(OR($C93="",COUNT($F93:$J93)&lt;3),"",IF(N(INDEX(Lists!$C$2:$C$40,MATCH($C93,Lists!$A$2:$A$40,0)))=0,"",IF(MIN($F93:$J93)&gt;=INDEX(Lists!$C$2:$C$40,MATCH($C93,Lists!$A$2:$A$40,0)),"LEVEL UP",""))),"")</f>
        <v/>
      </c>
      <c r="N93" s="20"/>
      <c r="O93" s="19"/>
    </row>
    <row r="94" customFormat="false" ht="15" hidden="false" customHeight="false" outlineLevel="0" collapsed="false">
      <c r="A94" s="17"/>
      <c r="B94" s="18" t="str">
        <f aca="false">IF($A94="","",TEXT($A94,"ddd"))</f>
        <v/>
      </c>
      <c r="C94" s="19"/>
      <c r="D94" s="19"/>
      <c r="E94" s="18" t="str">
        <f aca="false">IF($C94="","",IFERROR(INDEX(Lists!$B$2:$B$40,MATCH($C94,Lists!$A$2:$A$40,0)),""))</f>
        <v/>
      </c>
      <c r="F94" s="20"/>
      <c r="G94" s="20"/>
      <c r="H94" s="20"/>
      <c r="I94" s="20"/>
      <c r="J94" s="20"/>
      <c r="K94" s="18" t="str">
        <f aca="false">IF(COUNT($F94:$J94)=0,"",SUM($F94:$J94))</f>
        <v/>
      </c>
      <c r="L94" s="18" t="str">
        <f aca="false">IF(COUNT($F94:$J94)=0,"",MAX($F94:$J94))</f>
        <v/>
      </c>
      <c r="M94" s="18" t="str">
        <f aca="false">IFERROR(IF(OR($C94="",COUNT($F94:$J94)&lt;3),"",IF(N(INDEX(Lists!$C$2:$C$40,MATCH($C94,Lists!$A$2:$A$40,0)))=0,"",IF(MIN($F94:$J94)&gt;=INDEX(Lists!$C$2:$C$40,MATCH($C94,Lists!$A$2:$A$40,0)),"LEVEL UP",""))),"")</f>
        <v/>
      </c>
      <c r="N94" s="20"/>
      <c r="O94" s="19"/>
    </row>
    <row r="95" customFormat="false" ht="15" hidden="false" customHeight="false" outlineLevel="0" collapsed="false">
      <c r="A95" s="17"/>
      <c r="B95" s="18" t="str">
        <f aca="false">IF($A95="","",TEXT($A95,"ddd"))</f>
        <v/>
      </c>
      <c r="C95" s="19"/>
      <c r="D95" s="19"/>
      <c r="E95" s="18" t="str">
        <f aca="false">IF($C95="","",IFERROR(INDEX(Lists!$B$2:$B$40,MATCH($C95,Lists!$A$2:$A$40,0)),""))</f>
        <v/>
      </c>
      <c r="F95" s="20"/>
      <c r="G95" s="20"/>
      <c r="H95" s="20"/>
      <c r="I95" s="20"/>
      <c r="J95" s="20"/>
      <c r="K95" s="18" t="str">
        <f aca="false">IF(COUNT($F95:$J95)=0,"",SUM($F95:$J95))</f>
        <v/>
      </c>
      <c r="L95" s="18" t="str">
        <f aca="false">IF(COUNT($F95:$J95)=0,"",MAX($F95:$J95))</f>
        <v/>
      </c>
      <c r="M95" s="18" t="str">
        <f aca="false">IFERROR(IF(OR($C95="",COUNT($F95:$J95)&lt;3),"",IF(N(INDEX(Lists!$C$2:$C$40,MATCH($C95,Lists!$A$2:$A$40,0)))=0,"",IF(MIN($F95:$J95)&gt;=INDEX(Lists!$C$2:$C$40,MATCH($C95,Lists!$A$2:$A$40,0)),"LEVEL UP",""))),"")</f>
        <v/>
      </c>
      <c r="N95" s="20"/>
      <c r="O95" s="19"/>
    </row>
    <row r="96" customFormat="false" ht="15" hidden="false" customHeight="false" outlineLevel="0" collapsed="false">
      <c r="A96" s="17"/>
      <c r="B96" s="18" t="str">
        <f aca="false">IF($A96="","",TEXT($A96,"ddd"))</f>
        <v/>
      </c>
      <c r="C96" s="19"/>
      <c r="D96" s="19"/>
      <c r="E96" s="18" t="str">
        <f aca="false">IF($C96="","",IFERROR(INDEX(Lists!$B$2:$B$40,MATCH($C96,Lists!$A$2:$A$40,0)),""))</f>
        <v/>
      </c>
      <c r="F96" s="20"/>
      <c r="G96" s="20"/>
      <c r="H96" s="20"/>
      <c r="I96" s="20"/>
      <c r="J96" s="20"/>
      <c r="K96" s="18" t="str">
        <f aca="false">IF(COUNT($F96:$J96)=0,"",SUM($F96:$J96))</f>
        <v/>
      </c>
      <c r="L96" s="18" t="str">
        <f aca="false">IF(COUNT($F96:$J96)=0,"",MAX($F96:$J96))</f>
        <v/>
      </c>
      <c r="M96" s="18" t="str">
        <f aca="false">IFERROR(IF(OR($C96="",COUNT($F96:$J96)&lt;3),"",IF(N(INDEX(Lists!$C$2:$C$40,MATCH($C96,Lists!$A$2:$A$40,0)))=0,"",IF(MIN($F96:$J96)&gt;=INDEX(Lists!$C$2:$C$40,MATCH($C96,Lists!$A$2:$A$40,0)),"LEVEL UP",""))),"")</f>
        <v/>
      </c>
      <c r="N96" s="20"/>
      <c r="O96" s="19"/>
    </row>
    <row r="97" customFormat="false" ht="15" hidden="false" customHeight="false" outlineLevel="0" collapsed="false">
      <c r="A97" s="17"/>
      <c r="B97" s="18" t="str">
        <f aca="false">IF($A97="","",TEXT($A97,"ddd"))</f>
        <v/>
      </c>
      <c r="C97" s="19"/>
      <c r="D97" s="19"/>
      <c r="E97" s="18" t="str">
        <f aca="false">IF($C97="","",IFERROR(INDEX(Lists!$B$2:$B$40,MATCH($C97,Lists!$A$2:$A$40,0)),""))</f>
        <v/>
      </c>
      <c r="F97" s="20"/>
      <c r="G97" s="20"/>
      <c r="H97" s="20"/>
      <c r="I97" s="20"/>
      <c r="J97" s="20"/>
      <c r="K97" s="18" t="str">
        <f aca="false">IF(COUNT($F97:$J97)=0,"",SUM($F97:$J97))</f>
        <v/>
      </c>
      <c r="L97" s="18" t="str">
        <f aca="false">IF(COUNT($F97:$J97)=0,"",MAX($F97:$J97))</f>
        <v/>
      </c>
      <c r="M97" s="18" t="str">
        <f aca="false">IFERROR(IF(OR($C97="",COUNT($F97:$J97)&lt;3),"",IF(N(INDEX(Lists!$C$2:$C$40,MATCH($C97,Lists!$A$2:$A$40,0)))=0,"",IF(MIN($F97:$J97)&gt;=INDEX(Lists!$C$2:$C$40,MATCH($C97,Lists!$A$2:$A$40,0)),"LEVEL UP",""))),"")</f>
        <v/>
      </c>
      <c r="N97" s="20"/>
      <c r="O97" s="19"/>
    </row>
    <row r="98" customFormat="false" ht="15" hidden="false" customHeight="false" outlineLevel="0" collapsed="false">
      <c r="A98" s="17"/>
      <c r="B98" s="18" t="str">
        <f aca="false">IF($A98="","",TEXT($A98,"ddd"))</f>
        <v/>
      </c>
      <c r="C98" s="19"/>
      <c r="D98" s="19"/>
      <c r="E98" s="18" t="str">
        <f aca="false">IF($C98="","",IFERROR(INDEX(Lists!$B$2:$B$40,MATCH($C98,Lists!$A$2:$A$40,0)),""))</f>
        <v/>
      </c>
      <c r="F98" s="20"/>
      <c r="G98" s="20"/>
      <c r="H98" s="20"/>
      <c r="I98" s="20"/>
      <c r="J98" s="20"/>
      <c r="K98" s="18" t="str">
        <f aca="false">IF(COUNT($F98:$J98)=0,"",SUM($F98:$J98))</f>
        <v/>
      </c>
      <c r="L98" s="18" t="str">
        <f aca="false">IF(COUNT($F98:$J98)=0,"",MAX($F98:$J98))</f>
        <v/>
      </c>
      <c r="M98" s="18" t="str">
        <f aca="false">IFERROR(IF(OR($C98="",COUNT($F98:$J98)&lt;3),"",IF(N(INDEX(Lists!$C$2:$C$40,MATCH($C98,Lists!$A$2:$A$40,0)))=0,"",IF(MIN($F98:$J98)&gt;=INDEX(Lists!$C$2:$C$40,MATCH($C98,Lists!$A$2:$A$40,0)),"LEVEL UP",""))),"")</f>
        <v/>
      </c>
      <c r="N98" s="20"/>
      <c r="O98" s="19"/>
    </row>
    <row r="99" customFormat="false" ht="15" hidden="false" customHeight="false" outlineLevel="0" collapsed="false">
      <c r="A99" s="17"/>
      <c r="B99" s="18" t="str">
        <f aca="false">IF($A99="","",TEXT($A99,"ddd"))</f>
        <v/>
      </c>
      <c r="C99" s="19"/>
      <c r="D99" s="19"/>
      <c r="E99" s="18" t="str">
        <f aca="false">IF($C99="","",IFERROR(INDEX(Lists!$B$2:$B$40,MATCH($C99,Lists!$A$2:$A$40,0)),""))</f>
        <v/>
      </c>
      <c r="F99" s="20"/>
      <c r="G99" s="20"/>
      <c r="H99" s="20"/>
      <c r="I99" s="20"/>
      <c r="J99" s="20"/>
      <c r="K99" s="18" t="str">
        <f aca="false">IF(COUNT($F99:$J99)=0,"",SUM($F99:$J99))</f>
        <v/>
      </c>
      <c r="L99" s="18" t="str">
        <f aca="false">IF(COUNT($F99:$J99)=0,"",MAX($F99:$J99))</f>
        <v/>
      </c>
      <c r="M99" s="18" t="str">
        <f aca="false">IFERROR(IF(OR($C99="",COUNT($F99:$J99)&lt;3),"",IF(N(INDEX(Lists!$C$2:$C$40,MATCH($C99,Lists!$A$2:$A$40,0)))=0,"",IF(MIN($F99:$J99)&gt;=INDEX(Lists!$C$2:$C$40,MATCH($C99,Lists!$A$2:$A$40,0)),"LEVEL UP",""))),"")</f>
        <v/>
      </c>
      <c r="N99" s="20"/>
      <c r="O99" s="19"/>
    </row>
    <row r="100" customFormat="false" ht="15" hidden="false" customHeight="false" outlineLevel="0" collapsed="false">
      <c r="A100" s="17"/>
      <c r="B100" s="18" t="str">
        <f aca="false">IF($A100="","",TEXT($A100,"ddd"))</f>
        <v/>
      </c>
      <c r="C100" s="19"/>
      <c r="D100" s="19"/>
      <c r="E100" s="18" t="str">
        <f aca="false">IF($C100="","",IFERROR(INDEX(Lists!$B$2:$B$40,MATCH($C100,Lists!$A$2:$A$40,0)),""))</f>
        <v/>
      </c>
      <c r="F100" s="20"/>
      <c r="G100" s="20"/>
      <c r="H100" s="20"/>
      <c r="I100" s="20"/>
      <c r="J100" s="20"/>
      <c r="K100" s="18" t="str">
        <f aca="false">IF(COUNT($F100:$J100)=0,"",SUM($F100:$J100))</f>
        <v/>
      </c>
      <c r="L100" s="18" t="str">
        <f aca="false">IF(COUNT($F100:$J100)=0,"",MAX($F100:$J100))</f>
        <v/>
      </c>
      <c r="M100" s="18" t="str">
        <f aca="false">IFERROR(IF(OR($C100="",COUNT($F100:$J100)&lt;3),"",IF(N(INDEX(Lists!$C$2:$C$40,MATCH($C100,Lists!$A$2:$A$40,0)))=0,"",IF(MIN($F100:$J100)&gt;=INDEX(Lists!$C$2:$C$40,MATCH($C100,Lists!$A$2:$A$40,0)),"LEVEL UP",""))),"")</f>
        <v/>
      </c>
      <c r="N100" s="20"/>
      <c r="O100" s="19"/>
    </row>
    <row r="101" customFormat="false" ht="15" hidden="false" customHeight="false" outlineLevel="0" collapsed="false">
      <c r="A101" s="17"/>
      <c r="B101" s="18" t="str">
        <f aca="false">IF($A101="","",TEXT($A101,"ddd"))</f>
        <v/>
      </c>
      <c r="C101" s="19"/>
      <c r="D101" s="19"/>
      <c r="E101" s="18" t="str">
        <f aca="false">IF($C101="","",IFERROR(INDEX(Lists!$B$2:$B$40,MATCH($C101,Lists!$A$2:$A$40,0)),""))</f>
        <v/>
      </c>
      <c r="F101" s="20"/>
      <c r="G101" s="20"/>
      <c r="H101" s="20"/>
      <c r="I101" s="20"/>
      <c r="J101" s="20"/>
      <c r="K101" s="18" t="str">
        <f aca="false">IF(COUNT($F101:$J101)=0,"",SUM($F101:$J101))</f>
        <v/>
      </c>
      <c r="L101" s="18" t="str">
        <f aca="false">IF(COUNT($F101:$J101)=0,"",MAX($F101:$J101))</f>
        <v/>
      </c>
      <c r="M101" s="18" t="str">
        <f aca="false">IFERROR(IF(OR($C101="",COUNT($F101:$J101)&lt;3),"",IF(N(INDEX(Lists!$C$2:$C$40,MATCH($C101,Lists!$A$2:$A$40,0)))=0,"",IF(MIN($F101:$J101)&gt;=INDEX(Lists!$C$2:$C$40,MATCH($C101,Lists!$A$2:$A$40,0)),"LEVEL UP",""))),"")</f>
        <v/>
      </c>
      <c r="N101" s="20"/>
      <c r="O101" s="19"/>
    </row>
    <row r="102" customFormat="false" ht="15" hidden="false" customHeight="false" outlineLevel="0" collapsed="false">
      <c r="A102" s="17"/>
      <c r="B102" s="18" t="str">
        <f aca="false">IF($A102="","",TEXT($A102,"ddd"))</f>
        <v/>
      </c>
      <c r="C102" s="19"/>
      <c r="D102" s="19"/>
      <c r="E102" s="18" t="str">
        <f aca="false">IF($C102="","",IFERROR(INDEX(Lists!$B$2:$B$40,MATCH($C102,Lists!$A$2:$A$40,0)),""))</f>
        <v/>
      </c>
      <c r="F102" s="20"/>
      <c r="G102" s="20"/>
      <c r="H102" s="20"/>
      <c r="I102" s="20"/>
      <c r="J102" s="20"/>
      <c r="K102" s="18" t="str">
        <f aca="false">IF(COUNT($F102:$J102)=0,"",SUM($F102:$J102))</f>
        <v/>
      </c>
      <c r="L102" s="18" t="str">
        <f aca="false">IF(COUNT($F102:$J102)=0,"",MAX($F102:$J102))</f>
        <v/>
      </c>
      <c r="M102" s="18" t="str">
        <f aca="false">IFERROR(IF(OR($C102="",COUNT($F102:$J102)&lt;3),"",IF(N(INDEX(Lists!$C$2:$C$40,MATCH($C102,Lists!$A$2:$A$40,0)))=0,"",IF(MIN($F102:$J102)&gt;=INDEX(Lists!$C$2:$C$40,MATCH($C102,Lists!$A$2:$A$40,0)),"LEVEL UP",""))),"")</f>
        <v/>
      </c>
      <c r="N102" s="20"/>
      <c r="O102" s="19"/>
    </row>
    <row r="103" customFormat="false" ht="15" hidden="false" customHeight="false" outlineLevel="0" collapsed="false">
      <c r="A103" s="17"/>
      <c r="B103" s="18" t="str">
        <f aca="false">IF($A103="","",TEXT($A103,"ddd"))</f>
        <v/>
      </c>
      <c r="C103" s="19"/>
      <c r="D103" s="19"/>
      <c r="E103" s="18" t="str">
        <f aca="false">IF($C103="","",IFERROR(INDEX(Lists!$B$2:$B$40,MATCH($C103,Lists!$A$2:$A$40,0)),""))</f>
        <v/>
      </c>
      <c r="F103" s="20"/>
      <c r="G103" s="20"/>
      <c r="H103" s="20"/>
      <c r="I103" s="20"/>
      <c r="J103" s="20"/>
      <c r="K103" s="18" t="str">
        <f aca="false">IF(COUNT($F103:$J103)=0,"",SUM($F103:$J103))</f>
        <v/>
      </c>
      <c r="L103" s="18" t="str">
        <f aca="false">IF(COUNT($F103:$J103)=0,"",MAX($F103:$J103))</f>
        <v/>
      </c>
      <c r="M103" s="18" t="str">
        <f aca="false">IFERROR(IF(OR($C103="",COUNT($F103:$J103)&lt;3),"",IF(N(INDEX(Lists!$C$2:$C$40,MATCH($C103,Lists!$A$2:$A$40,0)))=0,"",IF(MIN($F103:$J103)&gt;=INDEX(Lists!$C$2:$C$40,MATCH($C103,Lists!$A$2:$A$40,0)),"LEVEL UP",""))),"")</f>
        <v/>
      </c>
      <c r="N103" s="20"/>
      <c r="O103" s="19"/>
    </row>
    <row r="104" customFormat="false" ht="15" hidden="false" customHeight="false" outlineLevel="0" collapsed="false">
      <c r="A104" s="17"/>
      <c r="B104" s="18" t="str">
        <f aca="false">IF($A104="","",TEXT($A104,"ddd"))</f>
        <v/>
      </c>
      <c r="C104" s="19"/>
      <c r="D104" s="19"/>
      <c r="E104" s="18" t="str">
        <f aca="false">IF($C104="","",IFERROR(INDEX(Lists!$B$2:$B$40,MATCH($C104,Lists!$A$2:$A$40,0)),""))</f>
        <v/>
      </c>
      <c r="F104" s="20"/>
      <c r="G104" s="20"/>
      <c r="H104" s="20"/>
      <c r="I104" s="20"/>
      <c r="J104" s="20"/>
      <c r="K104" s="18" t="str">
        <f aca="false">IF(COUNT($F104:$J104)=0,"",SUM($F104:$J104))</f>
        <v/>
      </c>
      <c r="L104" s="18" t="str">
        <f aca="false">IF(COUNT($F104:$J104)=0,"",MAX($F104:$J104))</f>
        <v/>
      </c>
      <c r="M104" s="18" t="str">
        <f aca="false">IFERROR(IF(OR($C104="",COUNT($F104:$J104)&lt;3),"",IF(N(INDEX(Lists!$C$2:$C$40,MATCH($C104,Lists!$A$2:$A$40,0)))=0,"",IF(MIN($F104:$J104)&gt;=INDEX(Lists!$C$2:$C$40,MATCH($C104,Lists!$A$2:$A$40,0)),"LEVEL UP",""))),"")</f>
        <v/>
      </c>
      <c r="N104" s="20"/>
      <c r="O104" s="19"/>
    </row>
    <row r="105" customFormat="false" ht="15" hidden="false" customHeight="false" outlineLevel="0" collapsed="false">
      <c r="A105" s="17"/>
      <c r="B105" s="18" t="str">
        <f aca="false">IF($A105="","",TEXT($A105,"ddd"))</f>
        <v/>
      </c>
      <c r="C105" s="19"/>
      <c r="D105" s="19"/>
      <c r="E105" s="18" t="str">
        <f aca="false">IF($C105="","",IFERROR(INDEX(Lists!$B$2:$B$40,MATCH($C105,Lists!$A$2:$A$40,0)),""))</f>
        <v/>
      </c>
      <c r="F105" s="20"/>
      <c r="G105" s="20"/>
      <c r="H105" s="20"/>
      <c r="I105" s="20"/>
      <c r="J105" s="20"/>
      <c r="K105" s="18" t="str">
        <f aca="false">IF(COUNT($F105:$J105)=0,"",SUM($F105:$J105))</f>
        <v/>
      </c>
      <c r="L105" s="18" t="str">
        <f aca="false">IF(COUNT($F105:$J105)=0,"",MAX($F105:$J105))</f>
        <v/>
      </c>
      <c r="M105" s="18" t="str">
        <f aca="false">IFERROR(IF(OR($C105="",COUNT($F105:$J105)&lt;3),"",IF(N(INDEX(Lists!$C$2:$C$40,MATCH($C105,Lists!$A$2:$A$40,0)))=0,"",IF(MIN($F105:$J105)&gt;=INDEX(Lists!$C$2:$C$40,MATCH($C105,Lists!$A$2:$A$40,0)),"LEVEL UP",""))),"")</f>
        <v/>
      </c>
      <c r="N105" s="20"/>
      <c r="O105" s="19"/>
    </row>
    <row r="106" customFormat="false" ht="15" hidden="false" customHeight="false" outlineLevel="0" collapsed="false">
      <c r="A106" s="17"/>
      <c r="B106" s="18" t="str">
        <f aca="false">IF($A106="","",TEXT($A106,"ddd"))</f>
        <v/>
      </c>
      <c r="C106" s="19"/>
      <c r="D106" s="19"/>
      <c r="E106" s="18" t="str">
        <f aca="false">IF($C106="","",IFERROR(INDEX(Lists!$B$2:$B$40,MATCH($C106,Lists!$A$2:$A$40,0)),""))</f>
        <v/>
      </c>
      <c r="F106" s="20"/>
      <c r="G106" s="20"/>
      <c r="H106" s="20"/>
      <c r="I106" s="20"/>
      <c r="J106" s="20"/>
      <c r="K106" s="18" t="str">
        <f aca="false">IF(COUNT($F106:$J106)=0,"",SUM($F106:$J106))</f>
        <v/>
      </c>
      <c r="L106" s="18" t="str">
        <f aca="false">IF(COUNT($F106:$J106)=0,"",MAX($F106:$J106))</f>
        <v/>
      </c>
      <c r="M106" s="18" t="str">
        <f aca="false">IFERROR(IF(OR($C106="",COUNT($F106:$J106)&lt;3),"",IF(N(INDEX(Lists!$C$2:$C$40,MATCH($C106,Lists!$A$2:$A$40,0)))=0,"",IF(MIN($F106:$J106)&gt;=INDEX(Lists!$C$2:$C$40,MATCH($C106,Lists!$A$2:$A$40,0)),"LEVEL UP",""))),"")</f>
        <v/>
      </c>
      <c r="N106" s="20"/>
      <c r="O106" s="19"/>
    </row>
    <row r="107" customFormat="false" ht="15" hidden="false" customHeight="false" outlineLevel="0" collapsed="false">
      <c r="A107" s="17"/>
      <c r="B107" s="18" t="str">
        <f aca="false">IF($A107="","",TEXT($A107,"ddd"))</f>
        <v/>
      </c>
      <c r="C107" s="19"/>
      <c r="D107" s="19"/>
      <c r="E107" s="18" t="str">
        <f aca="false">IF($C107="","",IFERROR(INDEX(Lists!$B$2:$B$40,MATCH($C107,Lists!$A$2:$A$40,0)),""))</f>
        <v/>
      </c>
      <c r="F107" s="20"/>
      <c r="G107" s="20"/>
      <c r="H107" s="20"/>
      <c r="I107" s="20"/>
      <c r="J107" s="20"/>
      <c r="K107" s="18" t="str">
        <f aca="false">IF(COUNT($F107:$J107)=0,"",SUM($F107:$J107))</f>
        <v/>
      </c>
      <c r="L107" s="18" t="str">
        <f aca="false">IF(COUNT($F107:$J107)=0,"",MAX($F107:$J107))</f>
        <v/>
      </c>
      <c r="M107" s="18" t="str">
        <f aca="false">IFERROR(IF(OR($C107="",COUNT($F107:$J107)&lt;3),"",IF(N(INDEX(Lists!$C$2:$C$40,MATCH($C107,Lists!$A$2:$A$40,0)))=0,"",IF(MIN($F107:$J107)&gt;=INDEX(Lists!$C$2:$C$40,MATCH($C107,Lists!$A$2:$A$40,0)),"LEVEL UP",""))),"")</f>
        <v/>
      </c>
      <c r="N107" s="20"/>
      <c r="O107" s="19"/>
    </row>
    <row r="108" customFormat="false" ht="15" hidden="false" customHeight="false" outlineLevel="0" collapsed="false">
      <c r="A108" s="17"/>
      <c r="B108" s="18" t="str">
        <f aca="false">IF($A108="","",TEXT($A108,"ddd"))</f>
        <v/>
      </c>
      <c r="C108" s="19"/>
      <c r="D108" s="19"/>
      <c r="E108" s="18" t="str">
        <f aca="false">IF($C108="","",IFERROR(INDEX(Lists!$B$2:$B$40,MATCH($C108,Lists!$A$2:$A$40,0)),""))</f>
        <v/>
      </c>
      <c r="F108" s="20"/>
      <c r="G108" s="20"/>
      <c r="H108" s="20"/>
      <c r="I108" s="20"/>
      <c r="J108" s="20"/>
      <c r="K108" s="18" t="str">
        <f aca="false">IF(COUNT($F108:$J108)=0,"",SUM($F108:$J108))</f>
        <v/>
      </c>
      <c r="L108" s="18" t="str">
        <f aca="false">IF(COUNT($F108:$J108)=0,"",MAX($F108:$J108))</f>
        <v/>
      </c>
      <c r="M108" s="18" t="str">
        <f aca="false">IFERROR(IF(OR($C108="",COUNT($F108:$J108)&lt;3),"",IF(N(INDEX(Lists!$C$2:$C$40,MATCH($C108,Lists!$A$2:$A$40,0)))=0,"",IF(MIN($F108:$J108)&gt;=INDEX(Lists!$C$2:$C$40,MATCH($C108,Lists!$A$2:$A$40,0)),"LEVEL UP",""))),"")</f>
        <v/>
      </c>
      <c r="N108" s="20"/>
      <c r="O108" s="19"/>
    </row>
    <row r="109" customFormat="false" ht="15" hidden="false" customHeight="false" outlineLevel="0" collapsed="false">
      <c r="A109" s="17"/>
      <c r="B109" s="18" t="str">
        <f aca="false">IF($A109="","",TEXT($A109,"ddd"))</f>
        <v/>
      </c>
      <c r="C109" s="19"/>
      <c r="D109" s="19"/>
      <c r="E109" s="18" t="str">
        <f aca="false">IF($C109="","",IFERROR(INDEX(Lists!$B$2:$B$40,MATCH($C109,Lists!$A$2:$A$40,0)),""))</f>
        <v/>
      </c>
      <c r="F109" s="20"/>
      <c r="G109" s="20"/>
      <c r="H109" s="20"/>
      <c r="I109" s="20"/>
      <c r="J109" s="20"/>
      <c r="K109" s="18" t="str">
        <f aca="false">IF(COUNT($F109:$J109)=0,"",SUM($F109:$J109))</f>
        <v/>
      </c>
      <c r="L109" s="18" t="str">
        <f aca="false">IF(COUNT($F109:$J109)=0,"",MAX($F109:$J109))</f>
        <v/>
      </c>
      <c r="M109" s="18" t="str">
        <f aca="false">IFERROR(IF(OR($C109="",COUNT($F109:$J109)&lt;3),"",IF(N(INDEX(Lists!$C$2:$C$40,MATCH($C109,Lists!$A$2:$A$40,0)))=0,"",IF(MIN($F109:$J109)&gt;=INDEX(Lists!$C$2:$C$40,MATCH($C109,Lists!$A$2:$A$40,0)),"LEVEL UP",""))),"")</f>
        <v/>
      </c>
      <c r="N109" s="20"/>
      <c r="O109" s="19"/>
    </row>
    <row r="110" customFormat="false" ht="15" hidden="false" customHeight="false" outlineLevel="0" collapsed="false">
      <c r="A110" s="17"/>
      <c r="B110" s="18" t="str">
        <f aca="false">IF($A110="","",TEXT($A110,"ddd"))</f>
        <v/>
      </c>
      <c r="C110" s="19"/>
      <c r="D110" s="19"/>
      <c r="E110" s="18" t="str">
        <f aca="false">IF($C110="","",IFERROR(INDEX(Lists!$B$2:$B$40,MATCH($C110,Lists!$A$2:$A$40,0)),""))</f>
        <v/>
      </c>
      <c r="F110" s="20"/>
      <c r="G110" s="20"/>
      <c r="H110" s="20"/>
      <c r="I110" s="20"/>
      <c r="J110" s="20"/>
      <c r="K110" s="18" t="str">
        <f aca="false">IF(COUNT($F110:$J110)=0,"",SUM($F110:$J110))</f>
        <v/>
      </c>
      <c r="L110" s="18" t="str">
        <f aca="false">IF(COUNT($F110:$J110)=0,"",MAX($F110:$J110))</f>
        <v/>
      </c>
      <c r="M110" s="18" t="str">
        <f aca="false">IFERROR(IF(OR($C110="",COUNT($F110:$J110)&lt;3),"",IF(N(INDEX(Lists!$C$2:$C$40,MATCH($C110,Lists!$A$2:$A$40,0)))=0,"",IF(MIN($F110:$J110)&gt;=INDEX(Lists!$C$2:$C$40,MATCH($C110,Lists!$A$2:$A$40,0)),"LEVEL UP",""))),"")</f>
        <v/>
      </c>
      <c r="N110" s="20"/>
      <c r="O110" s="19"/>
    </row>
    <row r="111" customFormat="false" ht="15" hidden="false" customHeight="false" outlineLevel="0" collapsed="false">
      <c r="A111" s="17"/>
      <c r="B111" s="18" t="str">
        <f aca="false">IF($A111="","",TEXT($A111,"ddd"))</f>
        <v/>
      </c>
      <c r="C111" s="19"/>
      <c r="D111" s="19"/>
      <c r="E111" s="18" t="str">
        <f aca="false">IF($C111="","",IFERROR(INDEX(Lists!$B$2:$B$40,MATCH($C111,Lists!$A$2:$A$40,0)),""))</f>
        <v/>
      </c>
      <c r="F111" s="20"/>
      <c r="G111" s="20"/>
      <c r="H111" s="20"/>
      <c r="I111" s="20"/>
      <c r="J111" s="20"/>
      <c r="K111" s="18" t="str">
        <f aca="false">IF(COUNT($F111:$J111)=0,"",SUM($F111:$J111))</f>
        <v/>
      </c>
      <c r="L111" s="18" t="str">
        <f aca="false">IF(COUNT($F111:$J111)=0,"",MAX($F111:$J111))</f>
        <v/>
      </c>
      <c r="M111" s="18" t="str">
        <f aca="false">IFERROR(IF(OR($C111="",COUNT($F111:$J111)&lt;3),"",IF(N(INDEX(Lists!$C$2:$C$40,MATCH($C111,Lists!$A$2:$A$40,0)))=0,"",IF(MIN($F111:$J111)&gt;=INDEX(Lists!$C$2:$C$40,MATCH($C111,Lists!$A$2:$A$40,0)),"LEVEL UP",""))),"")</f>
        <v/>
      </c>
      <c r="N111" s="20"/>
      <c r="O111" s="19"/>
    </row>
    <row r="112" customFormat="false" ht="15" hidden="false" customHeight="false" outlineLevel="0" collapsed="false">
      <c r="A112" s="17"/>
      <c r="B112" s="18" t="str">
        <f aca="false">IF($A112="","",TEXT($A112,"ddd"))</f>
        <v/>
      </c>
      <c r="C112" s="19"/>
      <c r="D112" s="19"/>
      <c r="E112" s="18" t="str">
        <f aca="false">IF($C112="","",IFERROR(INDEX(Lists!$B$2:$B$40,MATCH($C112,Lists!$A$2:$A$40,0)),""))</f>
        <v/>
      </c>
      <c r="F112" s="20"/>
      <c r="G112" s="20"/>
      <c r="H112" s="20"/>
      <c r="I112" s="20"/>
      <c r="J112" s="20"/>
      <c r="K112" s="18" t="str">
        <f aca="false">IF(COUNT($F112:$J112)=0,"",SUM($F112:$J112))</f>
        <v/>
      </c>
      <c r="L112" s="18" t="str">
        <f aca="false">IF(COUNT($F112:$J112)=0,"",MAX($F112:$J112))</f>
        <v/>
      </c>
      <c r="M112" s="18" t="str">
        <f aca="false">IFERROR(IF(OR($C112="",COUNT($F112:$J112)&lt;3),"",IF(N(INDEX(Lists!$C$2:$C$40,MATCH($C112,Lists!$A$2:$A$40,0)))=0,"",IF(MIN($F112:$J112)&gt;=INDEX(Lists!$C$2:$C$40,MATCH($C112,Lists!$A$2:$A$40,0)),"LEVEL UP",""))),"")</f>
        <v/>
      </c>
      <c r="N112" s="20"/>
      <c r="O112" s="19"/>
    </row>
    <row r="113" customFormat="false" ht="15" hidden="false" customHeight="false" outlineLevel="0" collapsed="false">
      <c r="A113" s="17"/>
      <c r="B113" s="18" t="str">
        <f aca="false">IF($A113="","",TEXT($A113,"ddd"))</f>
        <v/>
      </c>
      <c r="C113" s="19"/>
      <c r="D113" s="19"/>
      <c r="E113" s="18" t="str">
        <f aca="false">IF($C113="","",IFERROR(INDEX(Lists!$B$2:$B$40,MATCH($C113,Lists!$A$2:$A$40,0)),""))</f>
        <v/>
      </c>
      <c r="F113" s="20"/>
      <c r="G113" s="20"/>
      <c r="H113" s="20"/>
      <c r="I113" s="20"/>
      <c r="J113" s="20"/>
      <c r="K113" s="18" t="str">
        <f aca="false">IF(COUNT($F113:$J113)=0,"",SUM($F113:$J113))</f>
        <v/>
      </c>
      <c r="L113" s="18" t="str">
        <f aca="false">IF(COUNT($F113:$J113)=0,"",MAX($F113:$J113))</f>
        <v/>
      </c>
      <c r="M113" s="18" t="str">
        <f aca="false">IFERROR(IF(OR($C113="",COUNT($F113:$J113)&lt;3),"",IF(N(INDEX(Lists!$C$2:$C$40,MATCH($C113,Lists!$A$2:$A$40,0)))=0,"",IF(MIN($F113:$J113)&gt;=INDEX(Lists!$C$2:$C$40,MATCH($C113,Lists!$A$2:$A$40,0)),"LEVEL UP",""))),"")</f>
        <v/>
      </c>
      <c r="N113" s="20"/>
      <c r="O113" s="19"/>
    </row>
    <row r="114" customFormat="false" ht="15" hidden="false" customHeight="false" outlineLevel="0" collapsed="false">
      <c r="A114" s="17"/>
      <c r="B114" s="18" t="str">
        <f aca="false">IF($A114="","",TEXT($A114,"ddd"))</f>
        <v/>
      </c>
      <c r="C114" s="19"/>
      <c r="D114" s="19"/>
      <c r="E114" s="18" t="str">
        <f aca="false">IF($C114="","",IFERROR(INDEX(Lists!$B$2:$B$40,MATCH($C114,Lists!$A$2:$A$40,0)),""))</f>
        <v/>
      </c>
      <c r="F114" s="20"/>
      <c r="G114" s="20"/>
      <c r="H114" s="20"/>
      <c r="I114" s="20"/>
      <c r="J114" s="20"/>
      <c r="K114" s="18" t="str">
        <f aca="false">IF(COUNT($F114:$J114)=0,"",SUM($F114:$J114))</f>
        <v/>
      </c>
      <c r="L114" s="18" t="str">
        <f aca="false">IF(COUNT($F114:$J114)=0,"",MAX($F114:$J114))</f>
        <v/>
      </c>
      <c r="M114" s="18" t="str">
        <f aca="false">IFERROR(IF(OR($C114="",COUNT($F114:$J114)&lt;3),"",IF(N(INDEX(Lists!$C$2:$C$40,MATCH($C114,Lists!$A$2:$A$40,0)))=0,"",IF(MIN($F114:$J114)&gt;=INDEX(Lists!$C$2:$C$40,MATCH($C114,Lists!$A$2:$A$40,0)),"LEVEL UP",""))),"")</f>
        <v/>
      </c>
      <c r="N114" s="20"/>
      <c r="O114" s="19"/>
    </row>
    <row r="115" customFormat="false" ht="15" hidden="false" customHeight="false" outlineLevel="0" collapsed="false">
      <c r="A115" s="17"/>
      <c r="B115" s="18" t="str">
        <f aca="false">IF($A115="","",TEXT($A115,"ddd"))</f>
        <v/>
      </c>
      <c r="C115" s="19"/>
      <c r="D115" s="19"/>
      <c r="E115" s="18" t="str">
        <f aca="false">IF($C115="","",IFERROR(INDEX(Lists!$B$2:$B$40,MATCH($C115,Lists!$A$2:$A$40,0)),""))</f>
        <v/>
      </c>
      <c r="F115" s="20"/>
      <c r="G115" s="20"/>
      <c r="H115" s="20"/>
      <c r="I115" s="20"/>
      <c r="J115" s="20"/>
      <c r="K115" s="18" t="str">
        <f aca="false">IF(COUNT($F115:$J115)=0,"",SUM($F115:$J115))</f>
        <v/>
      </c>
      <c r="L115" s="18" t="str">
        <f aca="false">IF(COUNT($F115:$J115)=0,"",MAX($F115:$J115))</f>
        <v/>
      </c>
      <c r="M115" s="18" t="str">
        <f aca="false">IFERROR(IF(OR($C115="",COUNT($F115:$J115)&lt;3),"",IF(N(INDEX(Lists!$C$2:$C$40,MATCH($C115,Lists!$A$2:$A$40,0)))=0,"",IF(MIN($F115:$J115)&gt;=INDEX(Lists!$C$2:$C$40,MATCH($C115,Lists!$A$2:$A$40,0)),"LEVEL UP",""))),"")</f>
        <v/>
      </c>
      <c r="N115" s="20"/>
      <c r="O115" s="19"/>
    </row>
    <row r="116" customFormat="false" ht="15" hidden="false" customHeight="false" outlineLevel="0" collapsed="false">
      <c r="A116" s="17"/>
      <c r="B116" s="18" t="str">
        <f aca="false">IF($A116="","",TEXT($A116,"ddd"))</f>
        <v/>
      </c>
      <c r="C116" s="19"/>
      <c r="D116" s="19"/>
      <c r="E116" s="18" t="str">
        <f aca="false">IF($C116="","",IFERROR(INDEX(Lists!$B$2:$B$40,MATCH($C116,Lists!$A$2:$A$40,0)),""))</f>
        <v/>
      </c>
      <c r="F116" s="20"/>
      <c r="G116" s="20"/>
      <c r="H116" s="20"/>
      <c r="I116" s="20"/>
      <c r="J116" s="20"/>
      <c r="K116" s="18" t="str">
        <f aca="false">IF(COUNT($F116:$J116)=0,"",SUM($F116:$J116))</f>
        <v/>
      </c>
      <c r="L116" s="18" t="str">
        <f aca="false">IF(COUNT($F116:$J116)=0,"",MAX($F116:$J116))</f>
        <v/>
      </c>
      <c r="M116" s="18" t="str">
        <f aca="false">IFERROR(IF(OR($C116="",COUNT($F116:$J116)&lt;3),"",IF(N(INDEX(Lists!$C$2:$C$40,MATCH($C116,Lists!$A$2:$A$40,0)))=0,"",IF(MIN($F116:$J116)&gt;=INDEX(Lists!$C$2:$C$40,MATCH($C116,Lists!$A$2:$A$40,0)),"LEVEL UP",""))),"")</f>
        <v/>
      </c>
      <c r="N116" s="20"/>
      <c r="O116" s="19"/>
    </row>
    <row r="117" customFormat="false" ht="15" hidden="false" customHeight="false" outlineLevel="0" collapsed="false">
      <c r="A117" s="17"/>
      <c r="B117" s="18" t="str">
        <f aca="false">IF($A117="","",TEXT($A117,"ddd"))</f>
        <v/>
      </c>
      <c r="C117" s="19"/>
      <c r="D117" s="19"/>
      <c r="E117" s="18" t="str">
        <f aca="false">IF($C117="","",IFERROR(INDEX(Lists!$B$2:$B$40,MATCH($C117,Lists!$A$2:$A$40,0)),""))</f>
        <v/>
      </c>
      <c r="F117" s="20"/>
      <c r="G117" s="20"/>
      <c r="H117" s="20"/>
      <c r="I117" s="20"/>
      <c r="J117" s="20"/>
      <c r="K117" s="18" t="str">
        <f aca="false">IF(COUNT($F117:$J117)=0,"",SUM($F117:$J117))</f>
        <v/>
      </c>
      <c r="L117" s="18" t="str">
        <f aca="false">IF(COUNT($F117:$J117)=0,"",MAX($F117:$J117))</f>
        <v/>
      </c>
      <c r="M117" s="18" t="str">
        <f aca="false">IFERROR(IF(OR($C117="",COUNT($F117:$J117)&lt;3),"",IF(N(INDEX(Lists!$C$2:$C$40,MATCH($C117,Lists!$A$2:$A$40,0)))=0,"",IF(MIN($F117:$J117)&gt;=INDEX(Lists!$C$2:$C$40,MATCH($C117,Lists!$A$2:$A$40,0)),"LEVEL UP",""))),"")</f>
        <v/>
      </c>
      <c r="N117" s="20"/>
      <c r="O117" s="19"/>
    </row>
    <row r="118" customFormat="false" ht="15" hidden="false" customHeight="false" outlineLevel="0" collapsed="false">
      <c r="A118" s="17"/>
      <c r="B118" s="18" t="str">
        <f aca="false">IF($A118="","",TEXT($A118,"ddd"))</f>
        <v/>
      </c>
      <c r="C118" s="19"/>
      <c r="D118" s="19"/>
      <c r="E118" s="18" t="str">
        <f aca="false">IF($C118="","",IFERROR(INDEX(Lists!$B$2:$B$40,MATCH($C118,Lists!$A$2:$A$40,0)),""))</f>
        <v/>
      </c>
      <c r="F118" s="20"/>
      <c r="G118" s="20"/>
      <c r="H118" s="20"/>
      <c r="I118" s="20"/>
      <c r="J118" s="20"/>
      <c r="K118" s="18" t="str">
        <f aca="false">IF(COUNT($F118:$J118)=0,"",SUM($F118:$J118))</f>
        <v/>
      </c>
      <c r="L118" s="18" t="str">
        <f aca="false">IF(COUNT($F118:$J118)=0,"",MAX($F118:$J118))</f>
        <v/>
      </c>
      <c r="M118" s="18" t="str">
        <f aca="false">IFERROR(IF(OR($C118="",COUNT($F118:$J118)&lt;3),"",IF(N(INDEX(Lists!$C$2:$C$40,MATCH($C118,Lists!$A$2:$A$40,0)))=0,"",IF(MIN($F118:$J118)&gt;=INDEX(Lists!$C$2:$C$40,MATCH($C118,Lists!$A$2:$A$40,0)),"LEVEL UP",""))),"")</f>
        <v/>
      </c>
      <c r="N118" s="20"/>
      <c r="O118" s="19"/>
    </row>
    <row r="119" customFormat="false" ht="15" hidden="false" customHeight="false" outlineLevel="0" collapsed="false">
      <c r="A119" s="17"/>
      <c r="B119" s="18" t="str">
        <f aca="false">IF($A119="","",TEXT($A119,"ddd"))</f>
        <v/>
      </c>
      <c r="C119" s="19"/>
      <c r="D119" s="19"/>
      <c r="E119" s="18" t="str">
        <f aca="false">IF($C119="","",IFERROR(INDEX(Lists!$B$2:$B$40,MATCH($C119,Lists!$A$2:$A$40,0)),""))</f>
        <v/>
      </c>
      <c r="F119" s="20"/>
      <c r="G119" s="20"/>
      <c r="H119" s="20"/>
      <c r="I119" s="20"/>
      <c r="J119" s="20"/>
      <c r="K119" s="18" t="str">
        <f aca="false">IF(COUNT($F119:$J119)=0,"",SUM($F119:$J119))</f>
        <v/>
      </c>
      <c r="L119" s="18" t="str">
        <f aca="false">IF(COUNT($F119:$J119)=0,"",MAX($F119:$J119))</f>
        <v/>
      </c>
      <c r="M119" s="18" t="str">
        <f aca="false">IFERROR(IF(OR($C119="",COUNT($F119:$J119)&lt;3),"",IF(N(INDEX(Lists!$C$2:$C$40,MATCH($C119,Lists!$A$2:$A$40,0)))=0,"",IF(MIN($F119:$J119)&gt;=INDEX(Lists!$C$2:$C$40,MATCH($C119,Lists!$A$2:$A$40,0)),"LEVEL UP",""))),"")</f>
        <v/>
      </c>
      <c r="N119" s="20"/>
      <c r="O119" s="19"/>
    </row>
    <row r="120" customFormat="false" ht="15" hidden="false" customHeight="false" outlineLevel="0" collapsed="false">
      <c r="A120" s="17"/>
      <c r="B120" s="18" t="str">
        <f aca="false">IF($A120="","",TEXT($A120,"ddd"))</f>
        <v/>
      </c>
      <c r="C120" s="19"/>
      <c r="D120" s="19"/>
      <c r="E120" s="18" t="str">
        <f aca="false">IF($C120="","",IFERROR(INDEX(Lists!$B$2:$B$40,MATCH($C120,Lists!$A$2:$A$40,0)),""))</f>
        <v/>
      </c>
      <c r="F120" s="20"/>
      <c r="G120" s="20"/>
      <c r="H120" s="20"/>
      <c r="I120" s="20"/>
      <c r="J120" s="20"/>
      <c r="K120" s="18" t="str">
        <f aca="false">IF(COUNT($F120:$J120)=0,"",SUM($F120:$J120))</f>
        <v/>
      </c>
      <c r="L120" s="18" t="str">
        <f aca="false">IF(COUNT($F120:$J120)=0,"",MAX($F120:$J120))</f>
        <v/>
      </c>
      <c r="M120" s="18" t="str">
        <f aca="false">IFERROR(IF(OR($C120="",COUNT($F120:$J120)&lt;3),"",IF(N(INDEX(Lists!$C$2:$C$40,MATCH($C120,Lists!$A$2:$A$40,0)))=0,"",IF(MIN($F120:$J120)&gt;=INDEX(Lists!$C$2:$C$40,MATCH($C120,Lists!$A$2:$A$40,0)),"LEVEL UP",""))),"")</f>
        <v/>
      </c>
      <c r="N120" s="20"/>
      <c r="O120" s="19"/>
    </row>
    <row r="121" customFormat="false" ht="15" hidden="false" customHeight="false" outlineLevel="0" collapsed="false">
      <c r="A121" s="17"/>
      <c r="B121" s="18" t="str">
        <f aca="false">IF($A121="","",TEXT($A121,"ddd"))</f>
        <v/>
      </c>
      <c r="C121" s="19"/>
      <c r="D121" s="19"/>
      <c r="E121" s="18" t="str">
        <f aca="false">IF($C121="","",IFERROR(INDEX(Lists!$B$2:$B$40,MATCH($C121,Lists!$A$2:$A$40,0)),""))</f>
        <v/>
      </c>
      <c r="F121" s="20"/>
      <c r="G121" s="20"/>
      <c r="H121" s="20"/>
      <c r="I121" s="20"/>
      <c r="J121" s="20"/>
      <c r="K121" s="18" t="str">
        <f aca="false">IF(COUNT($F121:$J121)=0,"",SUM($F121:$J121))</f>
        <v/>
      </c>
      <c r="L121" s="18" t="str">
        <f aca="false">IF(COUNT($F121:$J121)=0,"",MAX($F121:$J121))</f>
        <v/>
      </c>
      <c r="M121" s="18" t="str">
        <f aca="false">IFERROR(IF(OR($C121="",COUNT($F121:$J121)&lt;3),"",IF(N(INDEX(Lists!$C$2:$C$40,MATCH($C121,Lists!$A$2:$A$40,0)))=0,"",IF(MIN($F121:$J121)&gt;=INDEX(Lists!$C$2:$C$40,MATCH($C121,Lists!$A$2:$A$40,0)),"LEVEL UP",""))),"")</f>
        <v/>
      </c>
      <c r="N121" s="20"/>
      <c r="O121" s="19"/>
    </row>
    <row r="122" customFormat="false" ht="15" hidden="false" customHeight="false" outlineLevel="0" collapsed="false">
      <c r="A122" s="17"/>
      <c r="B122" s="18" t="str">
        <f aca="false">IF($A122="","",TEXT($A122,"ddd"))</f>
        <v/>
      </c>
      <c r="C122" s="19"/>
      <c r="D122" s="19"/>
      <c r="E122" s="18" t="str">
        <f aca="false">IF($C122="","",IFERROR(INDEX(Lists!$B$2:$B$40,MATCH($C122,Lists!$A$2:$A$40,0)),""))</f>
        <v/>
      </c>
      <c r="F122" s="20"/>
      <c r="G122" s="20"/>
      <c r="H122" s="20"/>
      <c r="I122" s="20"/>
      <c r="J122" s="20"/>
      <c r="K122" s="18" t="str">
        <f aca="false">IF(COUNT($F122:$J122)=0,"",SUM($F122:$J122))</f>
        <v/>
      </c>
      <c r="L122" s="18" t="str">
        <f aca="false">IF(COUNT($F122:$J122)=0,"",MAX($F122:$J122))</f>
        <v/>
      </c>
      <c r="M122" s="18" t="str">
        <f aca="false">IFERROR(IF(OR($C122="",COUNT($F122:$J122)&lt;3),"",IF(N(INDEX(Lists!$C$2:$C$40,MATCH($C122,Lists!$A$2:$A$40,0)))=0,"",IF(MIN($F122:$J122)&gt;=INDEX(Lists!$C$2:$C$40,MATCH($C122,Lists!$A$2:$A$40,0)),"LEVEL UP",""))),"")</f>
        <v/>
      </c>
      <c r="N122" s="20"/>
      <c r="O122" s="19"/>
    </row>
    <row r="123" customFormat="false" ht="15" hidden="false" customHeight="false" outlineLevel="0" collapsed="false">
      <c r="A123" s="17"/>
      <c r="B123" s="18" t="str">
        <f aca="false">IF($A123="","",TEXT($A123,"ddd"))</f>
        <v/>
      </c>
      <c r="C123" s="19"/>
      <c r="D123" s="19"/>
      <c r="E123" s="18" t="str">
        <f aca="false">IF($C123="","",IFERROR(INDEX(Lists!$B$2:$B$40,MATCH($C123,Lists!$A$2:$A$40,0)),""))</f>
        <v/>
      </c>
      <c r="F123" s="20"/>
      <c r="G123" s="20"/>
      <c r="H123" s="20"/>
      <c r="I123" s="20"/>
      <c r="J123" s="20"/>
      <c r="K123" s="18" t="str">
        <f aca="false">IF(COUNT($F123:$J123)=0,"",SUM($F123:$J123))</f>
        <v/>
      </c>
      <c r="L123" s="18" t="str">
        <f aca="false">IF(COUNT($F123:$J123)=0,"",MAX($F123:$J123))</f>
        <v/>
      </c>
      <c r="M123" s="18" t="str">
        <f aca="false">IFERROR(IF(OR($C123="",COUNT($F123:$J123)&lt;3),"",IF(N(INDEX(Lists!$C$2:$C$40,MATCH($C123,Lists!$A$2:$A$40,0)))=0,"",IF(MIN($F123:$J123)&gt;=INDEX(Lists!$C$2:$C$40,MATCH($C123,Lists!$A$2:$A$40,0)),"LEVEL UP",""))),"")</f>
        <v/>
      </c>
      <c r="N123" s="20"/>
      <c r="O123" s="19"/>
    </row>
    <row r="124" customFormat="false" ht="15" hidden="false" customHeight="false" outlineLevel="0" collapsed="false">
      <c r="A124" s="17"/>
      <c r="B124" s="18" t="str">
        <f aca="false">IF($A124="","",TEXT($A124,"ddd"))</f>
        <v/>
      </c>
      <c r="C124" s="19"/>
      <c r="D124" s="19"/>
      <c r="E124" s="18" t="str">
        <f aca="false">IF($C124="","",IFERROR(INDEX(Lists!$B$2:$B$40,MATCH($C124,Lists!$A$2:$A$40,0)),""))</f>
        <v/>
      </c>
      <c r="F124" s="20"/>
      <c r="G124" s="20"/>
      <c r="H124" s="20"/>
      <c r="I124" s="20"/>
      <c r="J124" s="20"/>
      <c r="K124" s="18" t="str">
        <f aca="false">IF(COUNT($F124:$J124)=0,"",SUM($F124:$J124))</f>
        <v/>
      </c>
      <c r="L124" s="18" t="str">
        <f aca="false">IF(COUNT($F124:$J124)=0,"",MAX($F124:$J124))</f>
        <v/>
      </c>
      <c r="M124" s="18" t="str">
        <f aca="false">IFERROR(IF(OR($C124="",COUNT($F124:$J124)&lt;3),"",IF(N(INDEX(Lists!$C$2:$C$40,MATCH($C124,Lists!$A$2:$A$40,0)))=0,"",IF(MIN($F124:$J124)&gt;=INDEX(Lists!$C$2:$C$40,MATCH($C124,Lists!$A$2:$A$40,0)),"LEVEL UP",""))),"")</f>
        <v/>
      </c>
      <c r="N124" s="20"/>
      <c r="O124" s="19"/>
    </row>
    <row r="125" customFormat="false" ht="15" hidden="false" customHeight="false" outlineLevel="0" collapsed="false">
      <c r="A125" s="17"/>
      <c r="B125" s="18" t="str">
        <f aca="false">IF($A125="","",TEXT($A125,"ddd"))</f>
        <v/>
      </c>
      <c r="C125" s="19"/>
      <c r="D125" s="19"/>
      <c r="E125" s="18" t="str">
        <f aca="false">IF($C125="","",IFERROR(INDEX(Lists!$B$2:$B$40,MATCH($C125,Lists!$A$2:$A$40,0)),""))</f>
        <v/>
      </c>
      <c r="F125" s="20"/>
      <c r="G125" s="20"/>
      <c r="H125" s="20"/>
      <c r="I125" s="20"/>
      <c r="J125" s="20"/>
      <c r="K125" s="18" t="str">
        <f aca="false">IF(COUNT($F125:$J125)=0,"",SUM($F125:$J125))</f>
        <v/>
      </c>
      <c r="L125" s="18" t="str">
        <f aca="false">IF(COUNT($F125:$J125)=0,"",MAX($F125:$J125))</f>
        <v/>
      </c>
      <c r="M125" s="18" t="str">
        <f aca="false">IFERROR(IF(OR($C125="",COUNT($F125:$J125)&lt;3),"",IF(N(INDEX(Lists!$C$2:$C$40,MATCH($C125,Lists!$A$2:$A$40,0)))=0,"",IF(MIN($F125:$J125)&gt;=INDEX(Lists!$C$2:$C$40,MATCH($C125,Lists!$A$2:$A$40,0)),"LEVEL UP",""))),"")</f>
        <v/>
      </c>
      <c r="N125" s="20"/>
      <c r="O125" s="19"/>
    </row>
    <row r="126" customFormat="false" ht="15" hidden="false" customHeight="false" outlineLevel="0" collapsed="false">
      <c r="A126" s="17"/>
      <c r="B126" s="18" t="str">
        <f aca="false">IF($A126="","",TEXT($A126,"ddd"))</f>
        <v/>
      </c>
      <c r="C126" s="19"/>
      <c r="D126" s="19"/>
      <c r="E126" s="18" t="str">
        <f aca="false">IF($C126="","",IFERROR(INDEX(Lists!$B$2:$B$40,MATCH($C126,Lists!$A$2:$A$40,0)),""))</f>
        <v/>
      </c>
      <c r="F126" s="20"/>
      <c r="G126" s="20"/>
      <c r="H126" s="20"/>
      <c r="I126" s="20"/>
      <c r="J126" s="20"/>
      <c r="K126" s="18" t="str">
        <f aca="false">IF(COUNT($F126:$J126)=0,"",SUM($F126:$J126))</f>
        <v/>
      </c>
      <c r="L126" s="18" t="str">
        <f aca="false">IF(COUNT($F126:$J126)=0,"",MAX($F126:$J126))</f>
        <v/>
      </c>
      <c r="M126" s="18" t="str">
        <f aca="false">IFERROR(IF(OR($C126="",COUNT($F126:$J126)&lt;3),"",IF(N(INDEX(Lists!$C$2:$C$40,MATCH($C126,Lists!$A$2:$A$40,0)))=0,"",IF(MIN($F126:$J126)&gt;=INDEX(Lists!$C$2:$C$40,MATCH($C126,Lists!$A$2:$A$40,0)),"LEVEL UP",""))),"")</f>
        <v/>
      </c>
      <c r="N126" s="20"/>
      <c r="O126" s="19"/>
    </row>
    <row r="127" customFormat="false" ht="15" hidden="false" customHeight="false" outlineLevel="0" collapsed="false">
      <c r="A127" s="17"/>
      <c r="B127" s="18" t="str">
        <f aca="false">IF($A127="","",TEXT($A127,"ddd"))</f>
        <v/>
      </c>
      <c r="C127" s="19"/>
      <c r="D127" s="19"/>
      <c r="E127" s="18" t="str">
        <f aca="false">IF($C127="","",IFERROR(INDEX(Lists!$B$2:$B$40,MATCH($C127,Lists!$A$2:$A$40,0)),""))</f>
        <v/>
      </c>
      <c r="F127" s="20"/>
      <c r="G127" s="20"/>
      <c r="H127" s="20"/>
      <c r="I127" s="20"/>
      <c r="J127" s="20"/>
      <c r="K127" s="18" t="str">
        <f aca="false">IF(COUNT($F127:$J127)=0,"",SUM($F127:$J127))</f>
        <v/>
      </c>
      <c r="L127" s="18" t="str">
        <f aca="false">IF(COUNT($F127:$J127)=0,"",MAX($F127:$J127))</f>
        <v/>
      </c>
      <c r="M127" s="18" t="str">
        <f aca="false">IFERROR(IF(OR($C127="",COUNT($F127:$J127)&lt;3),"",IF(N(INDEX(Lists!$C$2:$C$40,MATCH($C127,Lists!$A$2:$A$40,0)))=0,"",IF(MIN($F127:$J127)&gt;=INDEX(Lists!$C$2:$C$40,MATCH($C127,Lists!$A$2:$A$40,0)),"LEVEL UP",""))),"")</f>
        <v/>
      </c>
      <c r="N127" s="20"/>
      <c r="O127" s="19"/>
    </row>
    <row r="128" customFormat="false" ht="15" hidden="false" customHeight="false" outlineLevel="0" collapsed="false">
      <c r="A128" s="17"/>
      <c r="B128" s="18" t="str">
        <f aca="false">IF($A128="","",TEXT($A128,"ddd"))</f>
        <v/>
      </c>
      <c r="C128" s="19"/>
      <c r="D128" s="19"/>
      <c r="E128" s="18" t="str">
        <f aca="false">IF($C128="","",IFERROR(INDEX(Lists!$B$2:$B$40,MATCH($C128,Lists!$A$2:$A$40,0)),""))</f>
        <v/>
      </c>
      <c r="F128" s="20"/>
      <c r="G128" s="20"/>
      <c r="H128" s="20"/>
      <c r="I128" s="20"/>
      <c r="J128" s="20"/>
      <c r="K128" s="18" t="str">
        <f aca="false">IF(COUNT($F128:$J128)=0,"",SUM($F128:$J128))</f>
        <v/>
      </c>
      <c r="L128" s="18" t="str">
        <f aca="false">IF(COUNT($F128:$J128)=0,"",MAX($F128:$J128))</f>
        <v/>
      </c>
      <c r="M128" s="18" t="str">
        <f aca="false">IFERROR(IF(OR($C128="",COUNT($F128:$J128)&lt;3),"",IF(N(INDEX(Lists!$C$2:$C$40,MATCH($C128,Lists!$A$2:$A$40,0)))=0,"",IF(MIN($F128:$J128)&gt;=INDEX(Lists!$C$2:$C$40,MATCH($C128,Lists!$A$2:$A$40,0)),"LEVEL UP",""))),"")</f>
        <v/>
      </c>
      <c r="N128" s="20"/>
      <c r="O128" s="19"/>
    </row>
    <row r="129" customFormat="false" ht="15" hidden="false" customHeight="false" outlineLevel="0" collapsed="false">
      <c r="A129" s="17"/>
      <c r="B129" s="18" t="str">
        <f aca="false">IF($A129="","",TEXT($A129,"ddd"))</f>
        <v/>
      </c>
      <c r="C129" s="19"/>
      <c r="D129" s="19"/>
      <c r="E129" s="18" t="str">
        <f aca="false">IF($C129="","",IFERROR(INDEX(Lists!$B$2:$B$40,MATCH($C129,Lists!$A$2:$A$40,0)),""))</f>
        <v/>
      </c>
      <c r="F129" s="20"/>
      <c r="G129" s="20"/>
      <c r="H129" s="20"/>
      <c r="I129" s="20"/>
      <c r="J129" s="20"/>
      <c r="K129" s="18" t="str">
        <f aca="false">IF(COUNT($F129:$J129)=0,"",SUM($F129:$J129))</f>
        <v/>
      </c>
      <c r="L129" s="18" t="str">
        <f aca="false">IF(COUNT($F129:$J129)=0,"",MAX($F129:$J129))</f>
        <v/>
      </c>
      <c r="M129" s="18" t="str">
        <f aca="false">IFERROR(IF(OR($C129="",COUNT($F129:$J129)&lt;3),"",IF(N(INDEX(Lists!$C$2:$C$40,MATCH($C129,Lists!$A$2:$A$40,0)))=0,"",IF(MIN($F129:$J129)&gt;=INDEX(Lists!$C$2:$C$40,MATCH($C129,Lists!$A$2:$A$40,0)),"LEVEL UP",""))),"")</f>
        <v/>
      </c>
      <c r="N129" s="20"/>
      <c r="O129" s="19"/>
    </row>
    <row r="130" customFormat="false" ht="15" hidden="false" customHeight="false" outlineLevel="0" collapsed="false">
      <c r="A130" s="17"/>
      <c r="B130" s="18" t="str">
        <f aca="false">IF($A130="","",TEXT($A130,"ddd"))</f>
        <v/>
      </c>
      <c r="C130" s="19"/>
      <c r="D130" s="19"/>
      <c r="E130" s="18" t="str">
        <f aca="false">IF($C130="","",IFERROR(INDEX(Lists!$B$2:$B$40,MATCH($C130,Lists!$A$2:$A$40,0)),""))</f>
        <v/>
      </c>
      <c r="F130" s="20"/>
      <c r="G130" s="20"/>
      <c r="H130" s="20"/>
      <c r="I130" s="20"/>
      <c r="J130" s="20"/>
      <c r="K130" s="18" t="str">
        <f aca="false">IF(COUNT($F130:$J130)=0,"",SUM($F130:$J130))</f>
        <v/>
      </c>
      <c r="L130" s="18" t="str">
        <f aca="false">IF(COUNT($F130:$J130)=0,"",MAX($F130:$J130))</f>
        <v/>
      </c>
      <c r="M130" s="18" t="str">
        <f aca="false">IFERROR(IF(OR($C130="",COUNT($F130:$J130)&lt;3),"",IF(N(INDEX(Lists!$C$2:$C$40,MATCH($C130,Lists!$A$2:$A$40,0)))=0,"",IF(MIN($F130:$J130)&gt;=INDEX(Lists!$C$2:$C$40,MATCH($C130,Lists!$A$2:$A$40,0)),"LEVEL UP",""))),"")</f>
        <v/>
      </c>
      <c r="N130" s="20"/>
      <c r="O130" s="19"/>
    </row>
    <row r="131" customFormat="false" ht="15" hidden="false" customHeight="false" outlineLevel="0" collapsed="false">
      <c r="A131" s="17"/>
      <c r="B131" s="18" t="str">
        <f aca="false">IF($A131="","",TEXT($A131,"ddd"))</f>
        <v/>
      </c>
      <c r="C131" s="19"/>
      <c r="D131" s="19"/>
      <c r="E131" s="18" t="str">
        <f aca="false">IF($C131="","",IFERROR(INDEX(Lists!$B$2:$B$40,MATCH($C131,Lists!$A$2:$A$40,0)),""))</f>
        <v/>
      </c>
      <c r="F131" s="20"/>
      <c r="G131" s="20"/>
      <c r="H131" s="20"/>
      <c r="I131" s="20"/>
      <c r="J131" s="20"/>
      <c r="K131" s="18" t="str">
        <f aca="false">IF(COUNT($F131:$J131)=0,"",SUM($F131:$J131))</f>
        <v/>
      </c>
      <c r="L131" s="18" t="str">
        <f aca="false">IF(COUNT($F131:$J131)=0,"",MAX($F131:$J131))</f>
        <v/>
      </c>
      <c r="M131" s="18" t="str">
        <f aca="false">IFERROR(IF(OR($C131="",COUNT($F131:$J131)&lt;3),"",IF(N(INDEX(Lists!$C$2:$C$40,MATCH($C131,Lists!$A$2:$A$40,0)))=0,"",IF(MIN($F131:$J131)&gt;=INDEX(Lists!$C$2:$C$40,MATCH($C131,Lists!$A$2:$A$40,0)),"LEVEL UP",""))),"")</f>
        <v/>
      </c>
      <c r="N131" s="20"/>
      <c r="O131" s="19"/>
    </row>
    <row r="132" customFormat="false" ht="15" hidden="false" customHeight="false" outlineLevel="0" collapsed="false">
      <c r="A132" s="17"/>
      <c r="B132" s="18" t="str">
        <f aca="false">IF($A132="","",TEXT($A132,"ddd"))</f>
        <v/>
      </c>
      <c r="C132" s="19"/>
      <c r="D132" s="19"/>
      <c r="E132" s="18" t="str">
        <f aca="false">IF($C132="","",IFERROR(INDEX(Lists!$B$2:$B$40,MATCH($C132,Lists!$A$2:$A$40,0)),""))</f>
        <v/>
      </c>
      <c r="F132" s="20"/>
      <c r="G132" s="20"/>
      <c r="H132" s="20"/>
      <c r="I132" s="20"/>
      <c r="J132" s="20"/>
      <c r="K132" s="18" t="str">
        <f aca="false">IF(COUNT($F132:$J132)=0,"",SUM($F132:$J132))</f>
        <v/>
      </c>
      <c r="L132" s="18" t="str">
        <f aca="false">IF(COUNT($F132:$J132)=0,"",MAX($F132:$J132))</f>
        <v/>
      </c>
      <c r="M132" s="18" t="str">
        <f aca="false">IFERROR(IF(OR($C132="",COUNT($F132:$J132)&lt;3),"",IF(N(INDEX(Lists!$C$2:$C$40,MATCH($C132,Lists!$A$2:$A$40,0)))=0,"",IF(MIN($F132:$J132)&gt;=INDEX(Lists!$C$2:$C$40,MATCH($C132,Lists!$A$2:$A$40,0)),"LEVEL UP",""))),"")</f>
        <v/>
      </c>
      <c r="N132" s="20"/>
      <c r="O132" s="19"/>
    </row>
    <row r="133" customFormat="false" ht="15" hidden="false" customHeight="false" outlineLevel="0" collapsed="false">
      <c r="A133" s="17"/>
      <c r="B133" s="18" t="str">
        <f aca="false">IF($A133="","",TEXT($A133,"ddd"))</f>
        <v/>
      </c>
      <c r="C133" s="19"/>
      <c r="D133" s="19"/>
      <c r="E133" s="18" t="str">
        <f aca="false">IF($C133="","",IFERROR(INDEX(Lists!$B$2:$B$40,MATCH($C133,Lists!$A$2:$A$40,0)),""))</f>
        <v/>
      </c>
      <c r="F133" s="20"/>
      <c r="G133" s="20"/>
      <c r="H133" s="20"/>
      <c r="I133" s="20"/>
      <c r="J133" s="20"/>
      <c r="K133" s="18" t="str">
        <f aca="false">IF(COUNT($F133:$J133)=0,"",SUM($F133:$J133))</f>
        <v/>
      </c>
      <c r="L133" s="18" t="str">
        <f aca="false">IF(COUNT($F133:$J133)=0,"",MAX($F133:$J133))</f>
        <v/>
      </c>
      <c r="M133" s="18" t="str">
        <f aca="false">IFERROR(IF(OR($C133="",COUNT($F133:$J133)&lt;3),"",IF(N(INDEX(Lists!$C$2:$C$40,MATCH($C133,Lists!$A$2:$A$40,0)))=0,"",IF(MIN($F133:$J133)&gt;=INDEX(Lists!$C$2:$C$40,MATCH($C133,Lists!$A$2:$A$40,0)),"LEVEL UP",""))),"")</f>
        <v/>
      </c>
      <c r="N133" s="20"/>
      <c r="O133" s="19"/>
    </row>
    <row r="134" customFormat="false" ht="15" hidden="false" customHeight="false" outlineLevel="0" collapsed="false">
      <c r="A134" s="17"/>
      <c r="B134" s="18" t="str">
        <f aca="false">IF($A134="","",TEXT($A134,"ddd"))</f>
        <v/>
      </c>
      <c r="C134" s="19"/>
      <c r="D134" s="19"/>
      <c r="E134" s="18" t="str">
        <f aca="false">IF($C134="","",IFERROR(INDEX(Lists!$B$2:$B$40,MATCH($C134,Lists!$A$2:$A$40,0)),""))</f>
        <v/>
      </c>
      <c r="F134" s="20"/>
      <c r="G134" s="20"/>
      <c r="H134" s="20"/>
      <c r="I134" s="20"/>
      <c r="J134" s="20"/>
      <c r="K134" s="18" t="str">
        <f aca="false">IF(COUNT($F134:$J134)=0,"",SUM($F134:$J134))</f>
        <v/>
      </c>
      <c r="L134" s="18" t="str">
        <f aca="false">IF(COUNT($F134:$J134)=0,"",MAX($F134:$J134))</f>
        <v/>
      </c>
      <c r="M134" s="18" t="str">
        <f aca="false">IFERROR(IF(OR($C134="",COUNT($F134:$J134)&lt;3),"",IF(N(INDEX(Lists!$C$2:$C$40,MATCH($C134,Lists!$A$2:$A$40,0)))=0,"",IF(MIN($F134:$J134)&gt;=INDEX(Lists!$C$2:$C$40,MATCH($C134,Lists!$A$2:$A$40,0)),"LEVEL UP",""))),"")</f>
        <v/>
      </c>
      <c r="N134" s="20"/>
      <c r="O134" s="19"/>
    </row>
    <row r="135" customFormat="false" ht="15" hidden="false" customHeight="false" outlineLevel="0" collapsed="false">
      <c r="A135" s="17"/>
      <c r="B135" s="18" t="str">
        <f aca="false">IF($A135="","",TEXT($A135,"ddd"))</f>
        <v/>
      </c>
      <c r="C135" s="19"/>
      <c r="D135" s="19"/>
      <c r="E135" s="18" t="str">
        <f aca="false">IF($C135="","",IFERROR(INDEX(Lists!$B$2:$B$40,MATCH($C135,Lists!$A$2:$A$40,0)),""))</f>
        <v/>
      </c>
      <c r="F135" s="20"/>
      <c r="G135" s="20"/>
      <c r="H135" s="20"/>
      <c r="I135" s="20"/>
      <c r="J135" s="20"/>
      <c r="K135" s="18" t="str">
        <f aca="false">IF(COUNT($F135:$J135)=0,"",SUM($F135:$J135))</f>
        <v/>
      </c>
      <c r="L135" s="18" t="str">
        <f aca="false">IF(COUNT($F135:$J135)=0,"",MAX($F135:$J135))</f>
        <v/>
      </c>
      <c r="M135" s="18" t="str">
        <f aca="false">IFERROR(IF(OR($C135="",COUNT($F135:$J135)&lt;3),"",IF(N(INDEX(Lists!$C$2:$C$40,MATCH($C135,Lists!$A$2:$A$40,0)))=0,"",IF(MIN($F135:$J135)&gt;=INDEX(Lists!$C$2:$C$40,MATCH($C135,Lists!$A$2:$A$40,0)),"LEVEL UP",""))),"")</f>
        <v/>
      </c>
      <c r="N135" s="20"/>
      <c r="O135" s="19"/>
    </row>
    <row r="136" customFormat="false" ht="15" hidden="false" customHeight="false" outlineLevel="0" collapsed="false">
      <c r="A136" s="17"/>
      <c r="B136" s="18" t="str">
        <f aca="false">IF($A136="","",TEXT($A136,"ddd"))</f>
        <v/>
      </c>
      <c r="C136" s="19"/>
      <c r="D136" s="19"/>
      <c r="E136" s="18" t="str">
        <f aca="false">IF($C136="","",IFERROR(INDEX(Lists!$B$2:$B$40,MATCH($C136,Lists!$A$2:$A$40,0)),""))</f>
        <v/>
      </c>
      <c r="F136" s="20"/>
      <c r="G136" s="20"/>
      <c r="H136" s="20"/>
      <c r="I136" s="20"/>
      <c r="J136" s="20"/>
      <c r="K136" s="18" t="str">
        <f aca="false">IF(COUNT($F136:$J136)=0,"",SUM($F136:$J136))</f>
        <v/>
      </c>
      <c r="L136" s="18" t="str">
        <f aca="false">IF(COUNT($F136:$J136)=0,"",MAX($F136:$J136))</f>
        <v/>
      </c>
      <c r="M136" s="18" t="str">
        <f aca="false">IFERROR(IF(OR($C136="",COUNT($F136:$J136)&lt;3),"",IF(N(INDEX(Lists!$C$2:$C$40,MATCH($C136,Lists!$A$2:$A$40,0)))=0,"",IF(MIN($F136:$J136)&gt;=INDEX(Lists!$C$2:$C$40,MATCH($C136,Lists!$A$2:$A$40,0)),"LEVEL UP",""))),"")</f>
        <v/>
      </c>
      <c r="N136" s="20"/>
      <c r="O136" s="19"/>
    </row>
    <row r="137" customFormat="false" ht="15" hidden="false" customHeight="false" outlineLevel="0" collapsed="false">
      <c r="A137" s="17"/>
      <c r="B137" s="18" t="str">
        <f aca="false">IF($A137="","",TEXT($A137,"ddd"))</f>
        <v/>
      </c>
      <c r="C137" s="19"/>
      <c r="D137" s="19"/>
      <c r="E137" s="18" t="str">
        <f aca="false">IF($C137="","",IFERROR(INDEX(Lists!$B$2:$B$40,MATCH($C137,Lists!$A$2:$A$40,0)),""))</f>
        <v/>
      </c>
      <c r="F137" s="20"/>
      <c r="G137" s="20"/>
      <c r="H137" s="20"/>
      <c r="I137" s="20"/>
      <c r="J137" s="20"/>
      <c r="K137" s="18" t="str">
        <f aca="false">IF(COUNT($F137:$J137)=0,"",SUM($F137:$J137))</f>
        <v/>
      </c>
      <c r="L137" s="18" t="str">
        <f aca="false">IF(COUNT($F137:$J137)=0,"",MAX($F137:$J137))</f>
        <v/>
      </c>
      <c r="M137" s="18" t="str">
        <f aca="false">IFERROR(IF(OR($C137="",COUNT($F137:$J137)&lt;3),"",IF(N(INDEX(Lists!$C$2:$C$40,MATCH($C137,Lists!$A$2:$A$40,0)))=0,"",IF(MIN($F137:$J137)&gt;=INDEX(Lists!$C$2:$C$40,MATCH($C137,Lists!$A$2:$A$40,0)),"LEVEL UP",""))),"")</f>
        <v/>
      </c>
      <c r="N137" s="20"/>
      <c r="O137" s="19"/>
    </row>
    <row r="138" customFormat="false" ht="15" hidden="false" customHeight="false" outlineLevel="0" collapsed="false">
      <c r="A138" s="17"/>
      <c r="B138" s="18" t="str">
        <f aca="false">IF($A138="","",TEXT($A138,"ddd"))</f>
        <v/>
      </c>
      <c r="C138" s="19"/>
      <c r="D138" s="19"/>
      <c r="E138" s="18" t="str">
        <f aca="false">IF($C138="","",IFERROR(INDEX(Lists!$B$2:$B$40,MATCH($C138,Lists!$A$2:$A$40,0)),""))</f>
        <v/>
      </c>
      <c r="F138" s="20"/>
      <c r="G138" s="20"/>
      <c r="H138" s="20"/>
      <c r="I138" s="20"/>
      <c r="J138" s="20"/>
      <c r="K138" s="18" t="str">
        <f aca="false">IF(COUNT($F138:$J138)=0,"",SUM($F138:$J138))</f>
        <v/>
      </c>
      <c r="L138" s="18" t="str">
        <f aca="false">IF(COUNT($F138:$J138)=0,"",MAX($F138:$J138))</f>
        <v/>
      </c>
      <c r="M138" s="18" t="str">
        <f aca="false">IFERROR(IF(OR($C138="",COUNT($F138:$J138)&lt;3),"",IF(N(INDEX(Lists!$C$2:$C$40,MATCH($C138,Lists!$A$2:$A$40,0)))=0,"",IF(MIN($F138:$J138)&gt;=INDEX(Lists!$C$2:$C$40,MATCH($C138,Lists!$A$2:$A$40,0)),"LEVEL UP",""))),"")</f>
        <v/>
      </c>
      <c r="N138" s="20"/>
      <c r="O138" s="19"/>
    </row>
    <row r="139" customFormat="false" ht="15" hidden="false" customHeight="false" outlineLevel="0" collapsed="false">
      <c r="A139" s="17"/>
      <c r="B139" s="18" t="str">
        <f aca="false">IF($A139="","",TEXT($A139,"ddd"))</f>
        <v/>
      </c>
      <c r="C139" s="19"/>
      <c r="D139" s="19"/>
      <c r="E139" s="18" t="str">
        <f aca="false">IF($C139="","",IFERROR(INDEX(Lists!$B$2:$B$40,MATCH($C139,Lists!$A$2:$A$40,0)),""))</f>
        <v/>
      </c>
      <c r="F139" s="20"/>
      <c r="G139" s="20"/>
      <c r="H139" s="20"/>
      <c r="I139" s="20"/>
      <c r="J139" s="20"/>
      <c r="K139" s="18" t="str">
        <f aca="false">IF(COUNT($F139:$J139)=0,"",SUM($F139:$J139))</f>
        <v/>
      </c>
      <c r="L139" s="18" t="str">
        <f aca="false">IF(COUNT($F139:$J139)=0,"",MAX($F139:$J139))</f>
        <v/>
      </c>
      <c r="M139" s="18" t="str">
        <f aca="false">IFERROR(IF(OR($C139="",COUNT($F139:$J139)&lt;3),"",IF(N(INDEX(Lists!$C$2:$C$40,MATCH($C139,Lists!$A$2:$A$40,0)))=0,"",IF(MIN($F139:$J139)&gt;=INDEX(Lists!$C$2:$C$40,MATCH($C139,Lists!$A$2:$A$40,0)),"LEVEL UP",""))),"")</f>
        <v/>
      </c>
      <c r="N139" s="20"/>
      <c r="O139" s="19"/>
    </row>
    <row r="140" customFormat="false" ht="15" hidden="false" customHeight="false" outlineLevel="0" collapsed="false">
      <c r="A140" s="17"/>
      <c r="B140" s="18" t="str">
        <f aca="false">IF($A140="","",TEXT($A140,"ddd"))</f>
        <v/>
      </c>
      <c r="C140" s="19"/>
      <c r="D140" s="19"/>
      <c r="E140" s="18" t="str">
        <f aca="false">IF($C140="","",IFERROR(INDEX(Lists!$B$2:$B$40,MATCH($C140,Lists!$A$2:$A$40,0)),""))</f>
        <v/>
      </c>
      <c r="F140" s="20"/>
      <c r="G140" s="20"/>
      <c r="H140" s="20"/>
      <c r="I140" s="20"/>
      <c r="J140" s="20"/>
      <c r="K140" s="18" t="str">
        <f aca="false">IF(COUNT($F140:$J140)=0,"",SUM($F140:$J140))</f>
        <v/>
      </c>
      <c r="L140" s="18" t="str">
        <f aca="false">IF(COUNT($F140:$J140)=0,"",MAX($F140:$J140))</f>
        <v/>
      </c>
      <c r="M140" s="18" t="str">
        <f aca="false">IFERROR(IF(OR($C140="",COUNT($F140:$J140)&lt;3),"",IF(N(INDEX(Lists!$C$2:$C$40,MATCH($C140,Lists!$A$2:$A$40,0)))=0,"",IF(MIN($F140:$J140)&gt;=INDEX(Lists!$C$2:$C$40,MATCH($C140,Lists!$A$2:$A$40,0)),"LEVEL UP",""))),"")</f>
        <v/>
      </c>
      <c r="N140" s="20"/>
      <c r="O140" s="19"/>
    </row>
    <row r="141" customFormat="false" ht="15" hidden="false" customHeight="false" outlineLevel="0" collapsed="false">
      <c r="A141" s="17"/>
      <c r="B141" s="18" t="str">
        <f aca="false">IF($A141="","",TEXT($A141,"ddd"))</f>
        <v/>
      </c>
      <c r="C141" s="19"/>
      <c r="D141" s="19"/>
      <c r="E141" s="18" t="str">
        <f aca="false">IF($C141="","",IFERROR(INDEX(Lists!$B$2:$B$40,MATCH($C141,Lists!$A$2:$A$40,0)),""))</f>
        <v/>
      </c>
      <c r="F141" s="20"/>
      <c r="G141" s="20"/>
      <c r="H141" s="20"/>
      <c r="I141" s="20"/>
      <c r="J141" s="20"/>
      <c r="K141" s="18" t="str">
        <f aca="false">IF(COUNT($F141:$J141)=0,"",SUM($F141:$J141))</f>
        <v/>
      </c>
      <c r="L141" s="18" t="str">
        <f aca="false">IF(COUNT($F141:$J141)=0,"",MAX($F141:$J141))</f>
        <v/>
      </c>
      <c r="M141" s="18" t="str">
        <f aca="false">IFERROR(IF(OR($C141="",COUNT($F141:$J141)&lt;3),"",IF(N(INDEX(Lists!$C$2:$C$40,MATCH($C141,Lists!$A$2:$A$40,0)))=0,"",IF(MIN($F141:$J141)&gt;=INDEX(Lists!$C$2:$C$40,MATCH($C141,Lists!$A$2:$A$40,0)),"LEVEL UP",""))),"")</f>
        <v/>
      </c>
      <c r="N141" s="20"/>
      <c r="O141" s="19"/>
    </row>
    <row r="142" customFormat="false" ht="15" hidden="false" customHeight="false" outlineLevel="0" collapsed="false">
      <c r="A142" s="17"/>
      <c r="B142" s="18" t="str">
        <f aca="false">IF($A142="","",TEXT($A142,"ddd"))</f>
        <v/>
      </c>
      <c r="C142" s="19"/>
      <c r="D142" s="19"/>
      <c r="E142" s="18" t="str">
        <f aca="false">IF($C142="","",IFERROR(INDEX(Lists!$B$2:$B$40,MATCH($C142,Lists!$A$2:$A$40,0)),""))</f>
        <v/>
      </c>
      <c r="F142" s="20"/>
      <c r="G142" s="20"/>
      <c r="H142" s="20"/>
      <c r="I142" s="20"/>
      <c r="J142" s="20"/>
      <c r="K142" s="18" t="str">
        <f aca="false">IF(COUNT($F142:$J142)=0,"",SUM($F142:$J142))</f>
        <v/>
      </c>
      <c r="L142" s="18" t="str">
        <f aca="false">IF(COUNT($F142:$J142)=0,"",MAX($F142:$J142))</f>
        <v/>
      </c>
      <c r="M142" s="18" t="str">
        <f aca="false">IFERROR(IF(OR($C142="",COUNT($F142:$J142)&lt;3),"",IF(N(INDEX(Lists!$C$2:$C$40,MATCH($C142,Lists!$A$2:$A$40,0)))=0,"",IF(MIN($F142:$J142)&gt;=INDEX(Lists!$C$2:$C$40,MATCH($C142,Lists!$A$2:$A$40,0)),"LEVEL UP",""))),"")</f>
        <v/>
      </c>
      <c r="N142" s="20"/>
      <c r="O142" s="19"/>
    </row>
    <row r="143" customFormat="false" ht="15" hidden="false" customHeight="false" outlineLevel="0" collapsed="false">
      <c r="A143" s="17"/>
      <c r="B143" s="18" t="str">
        <f aca="false">IF($A143="","",TEXT($A143,"ddd"))</f>
        <v/>
      </c>
      <c r="C143" s="19"/>
      <c r="D143" s="19"/>
      <c r="E143" s="18" t="str">
        <f aca="false">IF($C143="","",IFERROR(INDEX(Lists!$B$2:$B$40,MATCH($C143,Lists!$A$2:$A$40,0)),""))</f>
        <v/>
      </c>
      <c r="F143" s="20"/>
      <c r="G143" s="20"/>
      <c r="H143" s="20"/>
      <c r="I143" s="20"/>
      <c r="J143" s="20"/>
      <c r="K143" s="18" t="str">
        <f aca="false">IF(COUNT($F143:$J143)=0,"",SUM($F143:$J143))</f>
        <v/>
      </c>
      <c r="L143" s="18" t="str">
        <f aca="false">IF(COUNT($F143:$J143)=0,"",MAX($F143:$J143))</f>
        <v/>
      </c>
      <c r="M143" s="18" t="str">
        <f aca="false">IFERROR(IF(OR($C143="",COUNT($F143:$J143)&lt;3),"",IF(N(INDEX(Lists!$C$2:$C$40,MATCH($C143,Lists!$A$2:$A$40,0)))=0,"",IF(MIN($F143:$J143)&gt;=INDEX(Lists!$C$2:$C$40,MATCH($C143,Lists!$A$2:$A$40,0)),"LEVEL UP",""))),"")</f>
        <v/>
      </c>
      <c r="N143" s="20"/>
      <c r="O143" s="19"/>
    </row>
    <row r="144" customFormat="false" ht="15" hidden="false" customHeight="false" outlineLevel="0" collapsed="false">
      <c r="A144" s="17"/>
      <c r="B144" s="18" t="str">
        <f aca="false">IF($A144="","",TEXT($A144,"ddd"))</f>
        <v/>
      </c>
      <c r="C144" s="19"/>
      <c r="D144" s="19"/>
      <c r="E144" s="18" t="str">
        <f aca="false">IF($C144="","",IFERROR(INDEX(Lists!$B$2:$B$40,MATCH($C144,Lists!$A$2:$A$40,0)),""))</f>
        <v/>
      </c>
      <c r="F144" s="20"/>
      <c r="G144" s="20"/>
      <c r="H144" s="20"/>
      <c r="I144" s="20"/>
      <c r="J144" s="20"/>
      <c r="K144" s="18" t="str">
        <f aca="false">IF(COUNT($F144:$J144)=0,"",SUM($F144:$J144))</f>
        <v/>
      </c>
      <c r="L144" s="18" t="str">
        <f aca="false">IF(COUNT($F144:$J144)=0,"",MAX($F144:$J144))</f>
        <v/>
      </c>
      <c r="M144" s="18" t="str">
        <f aca="false">IFERROR(IF(OR($C144="",COUNT($F144:$J144)&lt;3),"",IF(N(INDEX(Lists!$C$2:$C$40,MATCH($C144,Lists!$A$2:$A$40,0)))=0,"",IF(MIN($F144:$J144)&gt;=INDEX(Lists!$C$2:$C$40,MATCH($C144,Lists!$A$2:$A$40,0)),"LEVEL UP",""))),"")</f>
        <v/>
      </c>
      <c r="N144" s="20"/>
      <c r="O144" s="19"/>
    </row>
    <row r="145" customFormat="false" ht="15" hidden="false" customHeight="false" outlineLevel="0" collapsed="false">
      <c r="A145" s="17"/>
      <c r="B145" s="18" t="str">
        <f aca="false">IF($A145="","",TEXT($A145,"ddd"))</f>
        <v/>
      </c>
      <c r="C145" s="19"/>
      <c r="D145" s="19"/>
      <c r="E145" s="18" t="str">
        <f aca="false">IF($C145="","",IFERROR(INDEX(Lists!$B$2:$B$40,MATCH($C145,Lists!$A$2:$A$40,0)),""))</f>
        <v/>
      </c>
      <c r="F145" s="20"/>
      <c r="G145" s="20"/>
      <c r="H145" s="20"/>
      <c r="I145" s="20"/>
      <c r="J145" s="20"/>
      <c r="K145" s="18" t="str">
        <f aca="false">IF(COUNT($F145:$J145)=0,"",SUM($F145:$J145))</f>
        <v/>
      </c>
      <c r="L145" s="18" t="str">
        <f aca="false">IF(COUNT($F145:$J145)=0,"",MAX($F145:$J145))</f>
        <v/>
      </c>
      <c r="M145" s="18" t="str">
        <f aca="false">IFERROR(IF(OR($C145="",COUNT($F145:$J145)&lt;3),"",IF(N(INDEX(Lists!$C$2:$C$40,MATCH($C145,Lists!$A$2:$A$40,0)))=0,"",IF(MIN($F145:$J145)&gt;=INDEX(Lists!$C$2:$C$40,MATCH($C145,Lists!$A$2:$A$40,0)),"LEVEL UP",""))),"")</f>
        <v/>
      </c>
      <c r="N145" s="20"/>
      <c r="O145" s="19"/>
    </row>
    <row r="146" customFormat="false" ht="15" hidden="false" customHeight="false" outlineLevel="0" collapsed="false">
      <c r="A146" s="17"/>
      <c r="B146" s="18" t="str">
        <f aca="false">IF($A146="","",TEXT($A146,"ddd"))</f>
        <v/>
      </c>
      <c r="C146" s="19"/>
      <c r="D146" s="19"/>
      <c r="E146" s="18" t="str">
        <f aca="false">IF($C146="","",IFERROR(INDEX(Lists!$B$2:$B$40,MATCH($C146,Lists!$A$2:$A$40,0)),""))</f>
        <v/>
      </c>
      <c r="F146" s="20"/>
      <c r="G146" s="20"/>
      <c r="H146" s="20"/>
      <c r="I146" s="20"/>
      <c r="J146" s="20"/>
      <c r="K146" s="18" t="str">
        <f aca="false">IF(COUNT($F146:$J146)=0,"",SUM($F146:$J146))</f>
        <v/>
      </c>
      <c r="L146" s="18" t="str">
        <f aca="false">IF(COUNT($F146:$J146)=0,"",MAX($F146:$J146))</f>
        <v/>
      </c>
      <c r="M146" s="18" t="str">
        <f aca="false">IFERROR(IF(OR($C146="",COUNT($F146:$J146)&lt;3),"",IF(N(INDEX(Lists!$C$2:$C$40,MATCH($C146,Lists!$A$2:$A$40,0)))=0,"",IF(MIN($F146:$J146)&gt;=INDEX(Lists!$C$2:$C$40,MATCH($C146,Lists!$A$2:$A$40,0)),"LEVEL UP",""))),"")</f>
        <v/>
      </c>
      <c r="N146" s="20"/>
      <c r="O146" s="19"/>
    </row>
    <row r="147" customFormat="false" ht="15" hidden="false" customHeight="false" outlineLevel="0" collapsed="false">
      <c r="A147" s="17"/>
      <c r="B147" s="18" t="str">
        <f aca="false">IF($A147="","",TEXT($A147,"ddd"))</f>
        <v/>
      </c>
      <c r="C147" s="19"/>
      <c r="D147" s="19"/>
      <c r="E147" s="18" t="str">
        <f aca="false">IF($C147="","",IFERROR(INDEX(Lists!$B$2:$B$40,MATCH($C147,Lists!$A$2:$A$40,0)),""))</f>
        <v/>
      </c>
      <c r="F147" s="20"/>
      <c r="G147" s="20"/>
      <c r="H147" s="20"/>
      <c r="I147" s="20"/>
      <c r="J147" s="20"/>
      <c r="K147" s="18" t="str">
        <f aca="false">IF(COUNT($F147:$J147)=0,"",SUM($F147:$J147))</f>
        <v/>
      </c>
      <c r="L147" s="18" t="str">
        <f aca="false">IF(COUNT($F147:$J147)=0,"",MAX($F147:$J147))</f>
        <v/>
      </c>
      <c r="M147" s="18" t="str">
        <f aca="false">IFERROR(IF(OR($C147="",COUNT($F147:$J147)&lt;3),"",IF(N(INDEX(Lists!$C$2:$C$40,MATCH($C147,Lists!$A$2:$A$40,0)))=0,"",IF(MIN($F147:$J147)&gt;=INDEX(Lists!$C$2:$C$40,MATCH($C147,Lists!$A$2:$A$40,0)),"LEVEL UP",""))),"")</f>
        <v/>
      </c>
      <c r="N147" s="20"/>
      <c r="O147" s="19"/>
    </row>
    <row r="148" customFormat="false" ht="15" hidden="false" customHeight="false" outlineLevel="0" collapsed="false">
      <c r="A148" s="17"/>
      <c r="B148" s="18" t="str">
        <f aca="false">IF($A148="","",TEXT($A148,"ddd"))</f>
        <v/>
      </c>
      <c r="C148" s="19"/>
      <c r="D148" s="19"/>
      <c r="E148" s="18" t="str">
        <f aca="false">IF($C148="","",IFERROR(INDEX(Lists!$B$2:$B$40,MATCH($C148,Lists!$A$2:$A$40,0)),""))</f>
        <v/>
      </c>
      <c r="F148" s="20"/>
      <c r="G148" s="20"/>
      <c r="H148" s="20"/>
      <c r="I148" s="20"/>
      <c r="J148" s="20"/>
      <c r="K148" s="18" t="str">
        <f aca="false">IF(COUNT($F148:$J148)=0,"",SUM($F148:$J148))</f>
        <v/>
      </c>
      <c r="L148" s="18" t="str">
        <f aca="false">IF(COUNT($F148:$J148)=0,"",MAX($F148:$J148))</f>
        <v/>
      </c>
      <c r="M148" s="18" t="str">
        <f aca="false">IFERROR(IF(OR($C148="",COUNT($F148:$J148)&lt;3),"",IF(N(INDEX(Lists!$C$2:$C$40,MATCH($C148,Lists!$A$2:$A$40,0)))=0,"",IF(MIN($F148:$J148)&gt;=INDEX(Lists!$C$2:$C$40,MATCH($C148,Lists!$A$2:$A$40,0)),"LEVEL UP",""))),"")</f>
        <v/>
      </c>
      <c r="N148" s="20"/>
      <c r="O148" s="19"/>
    </row>
    <row r="149" customFormat="false" ht="15" hidden="false" customHeight="false" outlineLevel="0" collapsed="false">
      <c r="A149" s="17"/>
      <c r="B149" s="18" t="str">
        <f aca="false">IF($A149="","",TEXT($A149,"ddd"))</f>
        <v/>
      </c>
      <c r="C149" s="19"/>
      <c r="D149" s="19"/>
      <c r="E149" s="18" t="str">
        <f aca="false">IF($C149="","",IFERROR(INDEX(Lists!$B$2:$B$40,MATCH($C149,Lists!$A$2:$A$40,0)),""))</f>
        <v/>
      </c>
      <c r="F149" s="20"/>
      <c r="G149" s="20"/>
      <c r="H149" s="20"/>
      <c r="I149" s="20"/>
      <c r="J149" s="20"/>
      <c r="K149" s="18" t="str">
        <f aca="false">IF(COUNT($F149:$J149)=0,"",SUM($F149:$J149))</f>
        <v/>
      </c>
      <c r="L149" s="18" t="str">
        <f aca="false">IF(COUNT($F149:$J149)=0,"",MAX($F149:$J149))</f>
        <v/>
      </c>
      <c r="M149" s="18" t="str">
        <f aca="false">IFERROR(IF(OR($C149="",COUNT($F149:$J149)&lt;3),"",IF(N(INDEX(Lists!$C$2:$C$40,MATCH($C149,Lists!$A$2:$A$40,0)))=0,"",IF(MIN($F149:$J149)&gt;=INDEX(Lists!$C$2:$C$40,MATCH($C149,Lists!$A$2:$A$40,0)),"LEVEL UP",""))),"")</f>
        <v/>
      </c>
      <c r="N149" s="20"/>
      <c r="O149" s="19"/>
    </row>
    <row r="150" customFormat="false" ht="15" hidden="false" customHeight="false" outlineLevel="0" collapsed="false">
      <c r="A150" s="17"/>
      <c r="B150" s="18" t="str">
        <f aca="false">IF($A150="","",TEXT($A150,"ddd"))</f>
        <v/>
      </c>
      <c r="C150" s="19"/>
      <c r="D150" s="19"/>
      <c r="E150" s="18" t="str">
        <f aca="false">IF($C150="","",IFERROR(INDEX(Lists!$B$2:$B$40,MATCH($C150,Lists!$A$2:$A$40,0)),""))</f>
        <v/>
      </c>
      <c r="F150" s="20"/>
      <c r="G150" s="20"/>
      <c r="H150" s="20"/>
      <c r="I150" s="20"/>
      <c r="J150" s="20"/>
      <c r="K150" s="18" t="str">
        <f aca="false">IF(COUNT($F150:$J150)=0,"",SUM($F150:$J150))</f>
        <v/>
      </c>
      <c r="L150" s="18" t="str">
        <f aca="false">IF(COUNT($F150:$J150)=0,"",MAX($F150:$J150))</f>
        <v/>
      </c>
      <c r="M150" s="18" t="str">
        <f aca="false">IFERROR(IF(OR($C150="",COUNT($F150:$J150)&lt;3),"",IF(N(INDEX(Lists!$C$2:$C$40,MATCH($C150,Lists!$A$2:$A$40,0)))=0,"",IF(MIN($F150:$J150)&gt;=INDEX(Lists!$C$2:$C$40,MATCH($C150,Lists!$A$2:$A$40,0)),"LEVEL UP",""))),"")</f>
        <v/>
      </c>
      <c r="N150" s="20"/>
      <c r="O150" s="19"/>
    </row>
    <row r="151" customFormat="false" ht="15" hidden="false" customHeight="false" outlineLevel="0" collapsed="false">
      <c r="A151" s="17"/>
      <c r="B151" s="18" t="str">
        <f aca="false">IF($A151="","",TEXT($A151,"ddd"))</f>
        <v/>
      </c>
      <c r="C151" s="19"/>
      <c r="D151" s="19"/>
      <c r="E151" s="18" t="str">
        <f aca="false">IF($C151="","",IFERROR(INDEX(Lists!$B$2:$B$40,MATCH($C151,Lists!$A$2:$A$40,0)),""))</f>
        <v/>
      </c>
      <c r="F151" s="20"/>
      <c r="G151" s="20"/>
      <c r="H151" s="20"/>
      <c r="I151" s="20"/>
      <c r="J151" s="20"/>
      <c r="K151" s="18" t="str">
        <f aca="false">IF(COUNT($F151:$J151)=0,"",SUM($F151:$J151))</f>
        <v/>
      </c>
      <c r="L151" s="18" t="str">
        <f aca="false">IF(COUNT($F151:$J151)=0,"",MAX($F151:$J151))</f>
        <v/>
      </c>
      <c r="M151" s="18" t="str">
        <f aca="false">IFERROR(IF(OR($C151="",COUNT($F151:$J151)&lt;3),"",IF(N(INDEX(Lists!$C$2:$C$40,MATCH($C151,Lists!$A$2:$A$40,0)))=0,"",IF(MIN($F151:$J151)&gt;=INDEX(Lists!$C$2:$C$40,MATCH($C151,Lists!$A$2:$A$40,0)),"LEVEL UP",""))),"")</f>
        <v/>
      </c>
      <c r="N151" s="20"/>
      <c r="O151" s="19"/>
    </row>
    <row r="152" customFormat="false" ht="15" hidden="false" customHeight="false" outlineLevel="0" collapsed="false">
      <c r="A152" s="17"/>
      <c r="B152" s="18" t="str">
        <f aca="false">IF($A152="","",TEXT($A152,"ddd"))</f>
        <v/>
      </c>
      <c r="C152" s="19"/>
      <c r="D152" s="19"/>
      <c r="E152" s="18" t="str">
        <f aca="false">IF($C152="","",IFERROR(INDEX(Lists!$B$2:$B$40,MATCH($C152,Lists!$A$2:$A$40,0)),""))</f>
        <v/>
      </c>
      <c r="F152" s="20"/>
      <c r="G152" s="20"/>
      <c r="H152" s="20"/>
      <c r="I152" s="20"/>
      <c r="J152" s="20"/>
      <c r="K152" s="18" t="str">
        <f aca="false">IF(COUNT($F152:$J152)=0,"",SUM($F152:$J152))</f>
        <v/>
      </c>
      <c r="L152" s="18" t="str">
        <f aca="false">IF(COUNT($F152:$J152)=0,"",MAX($F152:$J152))</f>
        <v/>
      </c>
      <c r="M152" s="18" t="str">
        <f aca="false">IFERROR(IF(OR($C152="",COUNT($F152:$J152)&lt;3),"",IF(N(INDEX(Lists!$C$2:$C$40,MATCH($C152,Lists!$A$2:$A$40,0)))=0,"",IF(MIN($F152:$J152)&gt;=INDEX(Lists!$C$2:$C$40,MATCH($C152,Lists!$A$2:$A$40,0)),"LEVEL UP",""))),"")</f>
        <v/>
      </c>
      <c r="N152" s="20"/>
      <c r="O152" s="19"/>
    </row>
    <row r="153" customFormat="false" ht="15" hidden="false" customHeight="false" outlineLevel="0" collapsed="false">
      <c r="A153" s="17"/>
      <c r="B153" s="18" t="str">
        <f aca="false">IF($A153="","",TEXT($A153,"ddd"))</f>
        <v/>
      </c>
      <c r="C153" s="19"/>
      <c r="D153" s="19"/>
      <c r="E153" s="18" t="str">
        <f aca="false">IF($C153="","",IFERROR(INDEX(Lists!$B$2:$B$40,MATCH($C153,Lists!$A$2:$A$40,0)),""))</f>
        <v/>
      </c>
      <c r="F153" s="20"/>
      <c r="G153" s="20"/>
      <c r="H153" s="20"/>
      <c r="I153" s="20"/>
      <c r="J153" s="20"/>
      <c r="K153" s="18" t="str">
        <f aca="false">IF(COUNT($F153:$J153)=0,"",SUM($F153:$J153))</f>
        <v/>
      </c>
      <c r="L153" s="18" t="str">
        <f aca="false">IF(COUNT($F153:$J153)=0,"",MAX($F153:$J153))</f>
        <v/>
      </c>
      <c r="M153" s="18" t="str">
        <f aca="false">IFERROR(IF(OR($C153="",COUNT($F153:$J153)&lt;3),"",IF(N(INDEX(Lists!$C$2:$C$40,MATCH($C153,Lists!$A$2:$A$40,0)))=0,"",IF(MIN($F153:$J153)&gt;=INDEX(Lists!$C$2:$C$40,MATCH($C153,Lists!$A$2:$A$40,0)),"LEVEL UP",""))),"")</f>
        <v/>
      </c>
      <c r="N153" s="20"/>
      <c r="O153" s="19"/>
    </row>
    <row r="154" customFormat="false" ht="15" hidden="false" customHeight="false" outlineLevel="0" collapsed="false">
      <c r="A154" s="17"/>
      <c r="B154" s="18" t="str">
        <f aca="false">IF($A154="","",TEXT($A154,"ddd"))</f>
        <v/>
      </c>
      <c r="C154" s="19"/>
      <c r="D154" s="19"/>
      <c r="E154" s="18" t="str">
        <f aca="false">IF($C154="","",IFERROR(INDEX(Lists!$B$2:$B$40,MATCH($C154,Lists!$A$2:$A$40,0)),""))</f>
        <v/>
      </c>
      <c r="F154" s="20"/>
      <c r="G154" s="20"/>
      <c r="H154" s="20"/>
      <c r="I154" s="20"/>
      <c r="J154" s="20"/>
      <c r="K154" s="18" t="str">
        <f aca="false">IF(COUNT($F154:$J154)=0,"",SUM($F154:$J154))</f>
        <v/>
      </c>
      <c r="L154" s="18" t="str">
        <f aca="false">IF(COUNT($F154:$J154)=0,"",MAX($F154:$J154))</f>
        <v/>
      </c>
      <c r="M154" s="18" t="str">
        <f aca="false">IFERROR(IF(OR($C154="",COUNT($F154:$J154)&lt;3),"",IF(N(INDEX(Lists!$C$2:$C$40,MATCH($C154,Lists!$A$2:$A$40,0)))=0,"",IF(MIN($F154:$J154)&gt;=INDEX(Lists!$C$2:$C$40,MATCH($C154,Lists!$A$2:$A$40,0)),"LEVEL UP",""))),"")</f>
        <v/>
      </c>
      <c r="N154" s="20"/>
      <c r="O154" s="19"/>
    </row>
    <row r="155" customFormat="false" ht="15" hidden="false" customHeight="false" outlineLevel="0" collapsed="false">
      <c r="A155" s="17"/>
      <c r="B155" s="18" t="str">
        <f aca="false">IF($A155="","",TEXT($A155,"ddd"))</f>
        <v/>
      </c>
      <c r="C155" s="19"/>
      <c r="D155" s="19"/>
      <c r="E155" s="18" t="str">
        <f aca="false">IF($C155="","",IFERROR(INDEX(Lists!$B$2:$B$40,MATCH($C155,Lists!$A$2:$A$40,0)),""))</f>
        <v/>
      </c>
      <c r="F155" s="20"/>
      <c r="G155" s="20"/>
      <c r="H155" s="20"/>
      <c r="I155" s="20"/>
      <c r="J155" s="20"/>
      <c r="K155" s="18" t="str">
        <f aca="false">IF(COUNT($F155:$J155)=0,"",SUM($F155:$J155))</f>
        <v/>
      </c>
      <c r="L155" s="18" t="str">
        <f aca="false">IF(COUNT($F155:$J155)=0,"",MAX($F155:$J155))</f>
        <v/>
      </c>
      <c r="M155" s="18" t="str">
        <f aca="false">IFERROR(IF(OR($C155="",COUNT($F155:$J155)&lt;3),"",IF(N(INDEX(Lists!$C$2:$C$40,MATCH($C155,Lists!$A$2:$A$40,0)))=0,"",IF(MIN($F155:$J155)&gt;=INDEX(Lists!$C$2:$C$40,MATCH($C155,Lists!$A$2:$A$40,0)),"LEVEL UP",""))),"")</f>
        <v/>
      </c>
      <c r="N155" s="20"/>
      <c r="O155" s="19"/>
    </row>
    <row r="156" customFormat="false" ht="15" hidden="false" customHeight="false" outlineLevel="0" collapsed="false">
      <c r="A156" s="17"/>
      <c r="B156" s="18" t="str">
        <f aca="false">IF($A156="","",TEXT($A156,"ddd"))</f>
        <v/>
      </c>
      <c r="C156" s="19"/>
      <c r="D156" s="19"/>
      <c r="E156" s="18" t="str">
        <f aca="false">IF($C156="","",IFERROR(INDEX(Lists!$B$2:$B$40,MATCH($C156,Lists!$A$2:$A$40,0)),""))</f>
        <v/>
      </c>
      <c r="F156" s="20"/>
      <c r="G156" s="20"/>
      <c r="H156" s="20"/>
      <c r="I156" s="20"/>
      <c r="J156" s="20"/>
      <c r="K156" s="18" t="str">
        <f aca="false">IF(COUNT($F156:$J156)=0,"",SUM($F156:$J156))</f>
        <v/>
      </c>
      <c r="L156" s="18" t="str">
        <f aca="false">IF(COUNT($F156:$J156)=0,"",MAX($F156:$J156))</f>
        <v/>
      </c>
      <c r="M156" s="18" t="str">
        <f aca="false">IFERROR(IF(OR($C156="",COUNT($F156:$J156)&lt;3),"",IF(N(INDEX(Lists!$C$2:$C$40,MATCH($C156,Lists!$A$2:$A$40,0)))=0,"",IF(MIN($F156:$J156)&gt;=INDEX(Lists!$C$2:$C$40,MATCH($C156,Lists!$A$2:$A$40,0)),"LEVEL UP",""))),"")</f>
        <v/>
      </c>
      <c r="N156" s="20"/>
      <c r="O156" s="19"/>
    </row>
    <row r="157" customFormat="false" ht="15" hidden="false" customHeight="false" outlineLevel="0" collapsed="false">
      <c r="A157" s="17"/>
      <c r="B157" s="18" t="str">
        <f aca="false">IF($A157="","",TEXT($A157,"ddd"))</f>
        <v/>
      </c>
      <c r="C157" s="19"/>
      <c r="D157" s="19"/>
      <c r="E157" s="18" t="str">
        <f aca="false">IF($C157="","",IFERROR(INDEX(Lists!$B$2:$B$40,MATCH($C157,Lists!$A$2:$A$40,0)),""))</f>
        <v/>
      </c>
      <c r="F157" s="20"/>
      <c r="G157" s="20"/>
      <c r="H157" s="20"/>
      <c r="I157" s="20"/>
      <c r="J157" s="20"/>
      <c r="K157" s="18" t="str">
        <f aca="false">IF(COUNT($F157:$J157)=0,"",SUM($F157:$J157))</f>
        <v/>
      </c>
      <c r="L157" s="18" t="str">
        <f aca="false">IF(COUNT($F157:$J157)=0,"",MAX($F157:$J157))</f>
        <v/>
      </c>
      <c r="M157" s="18" t="str">
        <f aca="false">IFERROR(IF(OR($C157="",COUNT($F157:$J157)&lt;3),"",IF(N(INDEX(Lists!$C$2:$C$40,MATCH($C157,Lists!$A$2:$A$40,0)))=0,"",IF(MIN($F157:$J157)&gt;=INDEX(Lists!$C$2:$C$40,MATCH($C157,Lists!$A$2:$A$40,0)),"LEVEL UP",""))),"")</f>
        <v/>
      </c>
      <c r="N157" s="20"/>
      <c r="O157" s="19"/>
    </row>
    <row r="158" customFormat="false" ht="15" hidden="false" customHeight="false" outlineLevel="0" collapsed="false">
      <c r="A158" s="17"/>
      <c r="B158" s="18" t="str">
        <f aca="false">IF($A158="","",TEXT($A158,"ddd"))</f>
        <v/>
      </c>
      <c r="C158" s="19"/>
      <c r="D158" s="19"/>
      <c r="E158" s="18" t="str">
        <f aca="false">IF($C158="","",IFERROR(INDEX(Lists!$B$2:$B$40,MATCH($C158,Lists!$A$2:$A$40,0)),""))</f>
        <v/>
      </c>
      <c r="F158" s="20"/>
      <c r="G158" s="20"/>
      <c r="H158" s="20"/>
      <c r="I158" s="20"/>
      <c r="J158" s="20"/>
      <c r="K158" s="18" t="str">
        <f aca="false">IF(COUNT($F158:$J158)=0,"",SUM($F158:$J158))</f>
        <v/>
      </c>
      <c r="L158" s="18" t="str">
        <f aca="false">IF(COUNT($F158:$J158)=0,"",MAX($F158:$J158))</f>
        <v/>
      </c>
      <c r="M158" s="18" t="str">
        <f aca="false">IFERROR(IF(OR($C158="",COUNT($F158:$J158)&lt;3),"",IF(N(INDEX(Lists!$C$2:$C$40,MATCH($C158,Lists!$A$2:$A$40,0)))=0,"",IF(MIN($F158:$J158)&gt;=INDEX(Lists!$C$2:$C$40,MATCH($C158,Lists!$A$2:$A$40,0)),"LEVEL UP",""))),"")</f>
        <v/>
      </c>
      <c r="N158" s="20"/>
      <c r="O158" s="19"/>
    </row>
    <row r="159" customFormat="false" ht="15" hidden="false" customHeight="false" outlineLevel="0" collapsed="false">
      <c r="A159" s="17"/>
      <c r="B159" s="18" t="str">
        <f aca="false">IF($A159="","",TEXT($A159,"ddd"))</f>
        <v/>
      </c>
      <c r="C159" s="19"/>
      <c r="D159" s="19"/>
      <c r="E159" s="18" t="str">
        <f aca="false">IF($C159="","",IFERROR(INDEX(Lists!$B$2:$B$40,MATCH($C159,Lists!$A$2:$A$40,0)),""))</f>
        <v/>
      </c>
      <c r="F159" s="20"/>
      <c r="G159" s="20"/>
      <c r="H159" s="20"/>
      <c r="I159" s="20"/>
      <c r="J159" s="20"/>
      <c r="K159" s="18" t="str">
        <f aca="false">IF(COUNT($F159:$J159)=0,"",SUM($F159:$J159))</f>
        <v/>
      </c>
      <c r="L159" s="18" t="str">
        <f aca="false">IF(COUNT($F159:$J159)=0,"",MAX($F159:$J159))</f>
        <v/>
      </c>
      <c r="M159" s="18" t="str">
        <f aca="false">IFERROR(IF(OR($C159="",COUNT($F159:$J159)&lt;3),"",IF(N(INDEX(Lists!$C$2:$C$40,MATCH($C159,Lists!$A$2:$A$40,0)))=0,"",IF(MIN($F159:$J159)&gt;=INDEX(Lists!$C$2:$C$40,MATCH($C159,Lists!$A$2:$A$40,0)),"LEVEL UP",""))),"")</f>
        <v/>
      </c>
      <c r="N159" s="20"/>
      <c r="O159" s="19"/>
    </row>
    <row r="160" customFormat="false" ht="15" hidden="false" customHeight="false" outlineLevel="0" collapsed="false">
      <c r="A160" s="17"/>
      <c r="B160" s="18" t="str">
        <f aca="false">IF($A160="","",TEXT($A160,"ddd"))</f>
        <v/>
      </c>
      <c r="C160" s="19"/>
      <c r="D160" s="19"/>
      <c r="E160" s="18" t="str">
        <f aca="false">IF($C160="","",IFERROR(INDEX(Lists!$B$2:$B$40,MATCH($C160,Lists!$A$2:$A$40,0)),""))</f>
        <v/>
      </c>
      <c r="F160" s="20"/>
      <c r="G160" s="20"/>
      <c r="H160" s="20"/>
      <c r="I160" s="20"/>
      <c r="J160" s="20"/>
      <c r="K160" s="18" t="str">
        <f aca="false">IF(COUNT($F160:$J160)=0,"",SUM($F160:$J160))</f>
        <v/>
      </c>
      <c r="L160" s="18" t="str">
        <f aca="false">IF(COUNT($F160:$J160)=0,"",MAX($F160:$J160))</f>
        <v/>
      </c>
      <c r="M160" s="18" t="str">
        <f aca="false">IFERROR(IF(OR($C160="",COUNT($F160:$J160)&lt;3),"",IF(N(INDEX(Lists!$C$2:$C$40,MATCH($C160,Lists!$A$2:$A$40,0)))=0,"",IF(MIN($F160:$J160)&gt;=INDEX(Lists!$C$2:$C$40,MATCH($C160,Lists!$A$2:$A$40,0)),"LEVEL UP",""))),"")</f>
        <v/>
      </c>
      <c r="N160" s="20"/>
      <c r="O160" s="19"/>
    </row>
    <row r="161" customFormat="false" ht="15" hidden="false" customHeight="false" outlineLevel="0" collapsed="false">
      <c r="A161" s="17"/>
      <c r="B161" s="18" t="str">
        <f aca="false">IF($A161="","",TEXT($A161,"ddd"))</f>
        <v/>
      </c>
      <c r="C161" s="19"/>
      <c r="D161" s="19"/>
      <c r="E161" s="18" t="str">
        <f aca="false">IF($C161="","",IFERROR(INDEX(Lists!$B$2:$B$40,MATCH($C161,Lists!$A$2:$A$40,0)),""))</f>
        <v/>
      </c>
      <c r="F161" s="20"/>
      <c r="G161" s="20"/>
      <c r="H161" s="20"/>
      <c r="I161" s="20"/>
      <c r="J161" s="20"/>
      <c r="K161" s="18" t="str">
        <f aca="false">IF(COUNT($F161:$J161)=0,"",SUM($F161:$J161))</f>
        <v/>
      </c>
      <c r="L161" s="18" t="str">
        <f aca="false">IF(COUNT($F161:$J161)=0,"",MAX($F161:$J161))</f>
        <v/>
      </c>
      <c r="M161" s="18" t="str">
        <f aca="false">IFERROR(IF(OR($C161="",COUNT($F161:$J161)&lt;3),"",IF(N(INDEX(Lists!$C$2:$C$40,MATCH($C161,Lists!$A$2:$A$40,0)))=0,"",IF(MIN($F161:$J161)&gt;=INDEX(Lists!$C$2:$C$40,MATCH($C161,Lists!$A$2:$A$40,0)),"LEVEL UP",""))),"")</f>
        <v/>
      </c>
      <c r="N161" s="20"/>
      <c r="O161" s="19"/>
    </row>
    <row r="162" customFormat="false" ht="15" hidden="false" customHeight="false" outlineLevel="0" collapsed="false">
      <c r="A162" s="17"/>
      <c r="B162" s="18" t="str">
        <f aca="false">IF($A162="","",TEXT($A162,"ddd"))</f>
        <v/>
      </c>
      <c r="C162" s="19"/>
      <c r="D162" s="19"/>
      <c r="E162" s="18" t="str">
        <f aca="false">IF($C162="","",IFERROR(INDEX(Lists!$B$2:$B$40,MATCH($C162,Lists!$A$2:$A$40,0)),""))</f>
        <v/>
      </c>
      <c r="F162" s="20"/>
      <c r="G162" s="20"/>
      <c r="H162" s="20"/>
      <c r="I162" s="20"/>
      <c r="J162" s="20"/>
      <c r="K162" s="18" t="str">
        <f aca="false">IF(COUNT($F162:$J162)=0,"",SUM($F162:$J162))</f>
        <v/>
      </c>
      <c r="L162" s="18" t="str">
        <f aca="false">IF(COUNT($F162:$J162)=0,"",MAX($F162:$J162))</f>
        <v/>
      </c>
      <c r="M162" s="18" t="str">
        <f aca="false">IFERROR(IF(OR($C162="",COUNT($F162:$J162)&lt;3),"",IF(N(INDEX(Lists!$C$2:$C$40,MATCH($C162,Lists!$A$2:$A$40,0)))=0,"",IF(MIN($F162:$J162)&gt;=INDEX(Lists!$C$2:$C$40,MATCH($C162,Lists!$A$2:$A$40,0)),"LEVEL UP",""))),"")</f>
        <v/>
      </c>
      <c r="N162" s="20"/>
      <c r="O162" s="19"/>
    </row>
    <row r="163" customFormat="false" ht="15" hidden="false" customHeight="false" outlineLevel="0" collapsed="false">
      <c r="A163" s="17"/>
      <c r="B163" s="18" t="str">
        <f aca="false">IF($A163="","",TEXT($A163,"ddd"))</f>
        <v/>
      </c>
      <c r="C163" s="19"/>
      <c r="D163" s="19"/>
      <c r="E163" s="18" t="str">
        <f aca="false">IF($C163="","",IFERROR(INDEX(Lists!$B$2:$B$40,MATCH($C163,Lists!$A$2:$A$40,0)),""))</f>
        <v/>
      </c>
      <c r="F163" s="20"/>
      <c r="G163" s="20"/>
      <c r="H163" s="20"/>
      <c r="I163" s="20"/>
      <c r="J163" s="20"/>
      <c r="K163" s="18" t="str">
        <f aca="false">IF(COUNT($F163:$J163)=0,"",SUM($F163:$J163))</f>
        <v/>
      </c>
      <c r="L163" s="18" t="str">
        <f aca="false">IF(COUNT($F163:$J163)=0,"",MAX($F163:$J163))</f>
        <v/>
      </c>
      <c r="M163" s="18" t="str">
        <f aca="false">IFERROR(IF(OR($C163="",COUNT($F163:$J163)&lt;3),"",IF(N(INDEX(Lists!$C$2:$C$40,MATCH($C163,Lists!$A$2:$A$40,0)))=0,"",IF(MIN($F163:$J163)&gt;=INDEX(Lists!$C$2:$C$40,MATCH($C163,Lists!$A$2:$A$40,0)),"LEVEL UP",""))),"")</f>
        <v/>
      </c>
      <c r="N163" s="20"/>
      <c r="O163" s="19"/>
    </row>
    <row r="164" customFormat="false" ht="15" hidden="false" customHeight="false" outlineLevel="0" collapsed="false">
      <c r="A164" s="17"/>
      <c r="B164" s="18" t="str">
        <f aca="false">IF($A164="","",TEXT($A164,"ddd"))</f>
        <v/>
      </c>
      <c r="C164" s="19"/>
      <c r="D164" s="19"/>
      <c r="E164" s="18" t="str">
        <f aca="false">IF($C164="","",IFERROR(INDEX(Lists!$B$2:$B$40,MATCH($C164,Lists!$A$2:$A$40,0)),""))</f>
        <v/>
      </c>
      <c r="F164" s="20"/>
      <c r="G164" s="20"/>
      <c r="H164" s="20"/>
      <c r="I164" s="20"/>
      <c r="J164" s="20"/>
      <c r="K164" s="18" t="str">
        <f aca="false">IF(COUNT($F164:$J164)=0,"",SUM($F164:$J164))</f>
        <v/>
      </c>
      <c r="L164" s="18" t="str">
        <f aca="false">IF(COUNT($F164:$J164)=0,"",MAX($F164:$J164))</f>
        <v/>
      </c>
      <c r="M164" s="18" t="str">
        <f aca="false">IFERROR(IF(OR($C164="",COUNT($F164:$J164)&lt;3),"",IF(N(INDEX(Lists!$C$2:$C$40,MATCH($C164,Lists!$A$2:$A$40,0)))=0,"",IF(MIN($F164:$J164)&gt;=INDEX(Lists!$C$2:$C$40,MATCH($C164,Lists!$A$2:$A$40,0)),"LEVEL UP",""))),"")</f>
        <v/>
      </c>
      <c r="N164" s="20"/>
      <c r="O164" s="19"/>
    </row>
    <row r="165" customFormat="false" ht="15" hidden="false" customHeight="false" outlineLevel="0" collapsed="false">
      <c r="A165" s="17"/>
      <c r="B165" s="18" t="str">
        <f aca="false">IF($A165="","",TEXT($A165,"ddd"))</f>
        <v/>
      </c>
      <c r="C165" s="19"/>
      <c r="D165" s="19"/>
      <c r="E165" s="18" t="str">
        <f aca="false">IF($C165="","",IFERROR(INDEX(Lists!$B$2:$B$40,MATCH($C165,Lists!$A$2:$A$40,0)),""))</f>
        <v/>
      </c>
      <c r="F165" s="20"/>
      <c r="G165" s="20"/>
      <c r="H165" s="20"/>
      <c r="I165" s="20"/>
      <c r="J165" s="20"/>
      <c r="K165" s="18" t="str">
        <f aca="false">IF(COUNT($F165:$J165)=0,"",SUM($F165:$J165))</f>
        <v/>
      </c>
      <c r="L165" s="18" t="str">
        <f aca="false">IF(COUNT($F165:$J165)=0,"",MAX($F165:$J165))</f>
        <v/>
      </c>
      <c r="M165" s="18" t="str">
        <f aca="false">IFERROR(IF(OR($C165="",COUNT($F165:$J165)&lt;3),"",IF(N(INDEX(Lists!$C$2:$C$40,MATCH($C165,Lists!$A$2:$A$40,0)))=0,"",IF(MIN($F165:$J165)&gt;=INDEX(Lists!$C$2:$C$40,MATCH($C165,Lists!$A$2:$A$40,0)),"LEVEL UP",""))),"")</f>
        <v/>
      </c>
      <c r="N165" s="20"/>
      <c r="O165" s="19"/>
    </row>
    <row r="166" customFormat="false" ht="15" hidden="false" customHeight="false" outlineLevel="0" collapsed="false">
      <c r="A166" s="17"/>
      <c r="B166" s="18" t="str">
        <f aca="false">IF($A166="","",TEXT($A166,"ddd"))</f>
        <v/>
      </c>
      <c r="C166" s="19"/>
      <c r="D166" s="19"/>
      <c r="E166" s="18" t="str">
        <f aca="false">IF($C166="","",IFERROR(INDEX(Lists!$B$2:$B$40,MATCH($C166,Lists!$A$2:$A$40,0)),""))</f>
        <v/>
      </c>
      <c r="F166" s="20"/>
      <c r="G166" s="20"/>
      <c r="H166" s="20"/>
      <c r="I166" s="20"/>
      <c r="J166" s="20"/>
      <c r="K166" s="18" t="str">
        <f aca="false">IF(COUNT($F166:$J166)=0,"",SUM($F166:$J166))</f>
        <v/>
      </c>
      <c r="L166" s="18" t="str">
        <f aca="false">IF(COUNT($F166:$J166)=0,"",MAX($F166:$J166))</f>
        <v/>
      </c>
      <c r="M166" s="18" t="str">
        <f aca="false">IFERROR(IF(OR($C166="",COUNT($F166:$J166)&lt;3),"",IF(N(INDEX(Lists!$C$2:$C$40,MATCH($C166,Lists!$A$2:$A$40,0)))=0,"",IF(MIN($F166:$J166)&gt;=INDEX(Lists!$C$2:$C$40,MATCH($C166,Lists!$A$2:$A$40,0)),"LEVEL UP",""))),"")</f>
        <v/>
      </c>
      <c r="N166" s="20"/>
      <c r="O166" s="19"/>
    </row>
    <row r="167" customFormat="false" ht="15" hidden="false" customHeight="false" outlineLevel="0" collapsed="false">
      <c r="A167" s="17"/>
      <c r="B167" s="18" t="str">
        <f aca="false">IF($A167="","",TEXT($A167,"ddd"))</f>
        <v/>
      </c>
      <c r="C167" s="19"/>
      <c r="D167" s="19"/>
      <c r="E167" s="18" t="str">
        <f aca="false">IF($C167="","",IFERROR(INDEX(Lists!$B$2:$B$40,MATCH($C167,Lists!$A$2:$A$40,0)),""))</f>
        <v/>
      </c>
      <c r="F167" s="20"/>
      <c r="G167" s="20"/>
      <c r="H167" s="20"/>
      <c r="I167" s="20"/>
      <c r="J167" s="20"/>
      <c r="K167" s="18" t="str">
        <f aca="false">IF(COUNT($F167:$J167)=0,"",SUM($F167:$J167))</f>
        <v/>
      </c>
      <c r="L167" s="18" t="str">
        <f aca="false">IF(COUNT($F167:$J167)=0,"",MAX($F167:$J167))</f>
        <v/>
      </c>
      <c r="M167" s="18" t="str">
        <f aca="false">IFERROR(IF(OR($C167="",COUNT($F167:$J167)&lt;3),"",IF(N(INDEX(Lists!$C$2:$C$40,MATCH($C167,Lists!$A$2:$A$40,0)))=0,"",IF(MIN($F167:$J167)&gt;=INDEX(Lists!$C$2:$C$40,MATCH($C167,Lists!$A$2:$A$40,0)),"LEVEL UP",""))),"")</f>
        <v/>
      </c>
      <c r="N167" s="20"/>
      <c r="O167" s="19"/>
    </row>
    <row r="168" customFormat="false" ht="15" hidden="false" customHeight="false" outlineLevel="0" collapsed="false">
      <c r="A168" s="17"/>
      <c r="B168" s="18" t="str">
        <f aca="false">IF($A168="","",TEXT($A168,"ddd"))</f>
        <v/>
      </c>
      <c r="C168" s="19"/>
      <c r="D168" s="19"/>
      <c r="E168" s="18" t="str">
        <f aca="false">IF($C168="","",IFERROR(INDEX(Lists!$B$2:$B$40,MATCH($C168,Lists!$A$2:$A$40,0)),""))</f>
        <v/>
      </c>
      <c r="F168" s="20"/>
      <c r="G168" s="20"/>
      <c r="H168" s="20"/>
      <c r="I168" s="20"/>
      <c r="J168" s="20"/>
      <c r="K168" s="18" t="str">
        <f aca="false">IF(COUNT($F168:$J168)=0,"",SUM($F168:$J168))</f>
        <v/>
      </c>
      <c r="L168" s="18" t="str">
        <f aca="false">IF(COUNT($F168:$J168)=0,"",MAX($F168:$J168))</f>
        <v/>
      </c>
      <c r="M168" s="18" t="str">
        <f aca="false">IFERROR(IF(OR($C168="",COUNT($F168:$J168)&lt;3),"",IF(N(INDEX(Lists!$C$2:$C$40,MATCH($C168,Lists!$A$2:$A$40,0)))=0,"",IF(MIN($F168:$J168)&gt;=INDEX(Lists!$C$2:$C$40,MATCH($C168,Lists!$A$2:$A$40,0)),"LEVEL UP",""))),"")</f>
        <v/>
      </c>
      <c r="N168" s="20"/>
      <c r="O168" s="19"/>
    </row>
    <row r="169" customFormat="false" ht="15" hidden="false" customHeight="false" outlineLevel="0" collapsed="false">
      <c r="A169" s="17"/>
      <c r="B169" s="18" t="str">
        <f aca="false">IF($A169="","",TEXT($A169,"ddd"))</f>
        <v/>
      </c>
      <c r="C169" s="19"/>
      <c r="D169" s="19"/>
      <c r="E169" s="18" t="str">
        <f aca="false">IF($C169="","",IFERROR(INDEX(Lists!$B$2:$B$40,MATCH($C169,Lists!$A$2:$A$40,0)),""))</f>
        <v/>
      </c>
      <c r="F169" s="20"/>
      <c r="G169" s="20"/>
      <c r="H169" s="20"/>
      <c r="I169" s="20"/>
      <c r="J169" s="20"/>
      <c r="K169" s="18" t="str">
        <f aca="false">IF(COUNT($F169:$J169)=0,"",SUM($F169:$J169))</f>
        <v/>
      </c>
      <c r="L169" s="18" t="str">
        <f aca="false">IF(COUNT($F169:$J169)=0,"",MAX($F169:$J169))</f>
        <v/>
      </c>
      <c r="M169" s="18" t="str">
        <f aca="false">IFERROR(IF(OR($C169="",COUNT($F169:$J169)&lt;3),"",IF(N(INDEX(Lists!$C$2:$C$40,MATCH($C169,Lists!$A$2:$A$40,0)))=0,"",IF(MIN($F169:$J169)&gt;=INDEX(Lists!$C$2:$C$40,MATCH($C169,Lists!$A$2:$A$40,0)),"LEVEL UP",""))),"")</f>
        <v/>
      </c>
      <c r="N169" s="20"/>
      <c r="O169" s="19"/>
    </row>
    <row r="170" customFormat="false" ht="15" hidden="false" customHeight="false" outlineLevel="0" collapsed="false">
      <c r="A170" s="17"/>
      <c r="B170" s="18" t="str">
        <f aca="false">IF($A170="","",TEXT($A170,"ddd"))</f>
        <v/>
      </c>
      <c r="C170" s="19"/>
      <c r="D170" s="19"/>
      <c r="E170" s="18" t="str">
        <f aca="false">IF($C170="","",IFERROR(INDEX(Lists!$B$2:$B$40,MATCH($C170,Lists!$A$2:$A$40,0)),""))</f>
        <v/>
      </c>
      <c r="F170" s="20"/>
      <c r="G170" s="20"/>
      <c r="H170" s="20"/>
      <c r="I170" s="20"/>
      <c r="J170" s="20"/>
      <c r="K170" s="18" t="str">
        <f aca="false">IF(COUNT($F170:$J170)=0,"",SUM($F170:$J170))</f>
        <v/>
      </c>
      <c r="L170" s="18" t="str">
        <f aca="false">IF(COUNT($F170:$J170)=0,"",MAX($F170:$J170))</f>
        <v/>
      </c>
      <c r="M170" s="18" t="str">
        <f aca="false">IFERROR(IF(OR($C170="",COUNT($F170:$J170)&lt;3),"",IF(N(INDEX(Lists!$C$2:$C$40,MATCH($C170,Lists!$A$2:$A$40,0)))=0,"",IF(MIN($F170:$J170)&gt;=INDEX(Lists!$C$2:$C$40,MATCH($C170,Lists!$A$2:$A$40,0)),"LEVEL UP",""))),"")</f>
        <v/>
      </c>
      <c r="N170" s="20"/>
      <c r="O170" s="19"/>
    </row>
    <row r="171" customFormat="false" ht="15" hidden="false" customHeight="false" outlineLevel="0" collapsed="false">
      <c r="A171" s="17"/>
      <c r="B171" s="18" t="str">
        <f aca="false">IF($A171="","",TEXT($A171,"ddd"))</f>
        <v/>
      </c>
      <c r="C171" s="19"/>
      <c r="D171" s="19"/>
      <c r="E171" s="18" t="str">
        <f aca="false">IF($C171="","",IFERROR(INDEX(Lists!$B$2:$B$40,MATCH($C171,Lists!$A$2:$A$40,0)),""))</f>
        <v/>
      </c>
      <c r="F171" s="20"/>
      <c r="G171" s="20"/>
      <c r="H171" s="20"/>
      <c r="I171" s="20"/>
      <c r="J171" s="20"/>
      <c r="K171" s="18" t="str">
        <f aca="false">IF(COUNT($F171:$J171)=0,"",SUM($F171:$J171))</f>
        <v/>
      </c>
      <c r="L171" s="18" t="str">
        <f aca="false">IF(COUNT($F171:$J171)=0,"",MAX($F171:$J171))</f>
        <v/>
      </c>
      <c r="M171" s="18" t="str">
        <f aca="false">IFERROR(IF(OR($C171="",COUNT($F171:$J171)&lt;3),"",IF(N(INDEX(Lists!$C$2:$C$40,MATCH($C171,Lists!$A$2:$A$40,0)))=0,"",IF(MIN($F171:$J171)&gt;=INDEX(Lists!$C$2:$C$40,MATCH($C171,Lists!$A$2:$A$40,0)),"LEVEL UP",""))),"")</f>
        <v/>
      </c>
      <c r="N171" s="20"/>
      <c r="O171" s="19"/>
    </row>
    <row r="172" customFormat="false" ht="15" hidden="false" customHeight="false" outlineLevel="0" collapsed="false">
      <c r="A172" s="17"/>
      <c r="B172" s="18" t="str">
        <f aca="false">IF($A172="","",TEXT($A172,"ddd"))</f>
        <v/>
      </c>
      <c r="C172" s="19"/>
      <c r="D172" s="19"/>
      <c r="E172" s="18" t="str">
        <f aca="false">IF($C172="","",IFERROR(INDEX(Lists!$B$2:$B$40,MATCH($C172,Lists!$A$2:$A$40,0)),""))</f>
        <v/>
      </c>
      <c r="F172" s="20"/>
      <c r="G172" s="20"/>
      <c r="H172" s="20"/>
      <c r="I172" s="20"/>
      <c r="J172" s="20"/>
      <c r="K172" s="18" t="str">
        <f aca="false">IF(COUNT($F172:$J172)=0,"",SUM($F172:$J172))</f>
        <v/>
      </c>
      <c r="L172" s="18" t="str">
        <f aca="false">IF(COUNT($F172:$J172)=0,"",MAX($F172:$J172))</f>
        <v/>
      </c>
      <c r="M172" s="18" t="str">
        <f aca="false">IFERROR(IF(OR($C172="",COUNT($F172:$J172)&lt;3),"",IF(N(INDEX(Lists!$C$2:$C$40,MATCH($C172,Lists!$A$2:$A$40,0)))=0,"",IF(MIN($F172:$J172)&gt;=INDEX(Lists!$C$2:$C$40,MATCH($C172,Lists!$A$2:$A$40,0)),"LEVEL UP",""))),"")</f>
        <v/>
      </c>
      <c r="N172" s="20"/>
      <c r="O172" s="19"/>
    </row>
    <row r="173" customFormat="false" ht="15" hidden="false" customHeight="false" outlineLevel="0" collapsed="false">
      <c r="A173" s="17"/>
      <c r="B173" s="18" t="str">
        <f aca="false">IF($A173="","",TEXT($A173,"ddd"))</f>
        <v/>
      </c>
      <c r="C173" s="19"/>
      <c r="D173" s="19"/>
      <c r="E173" s="18" t="str">
        <f aca="false">IF($C173="","",IFERROR(INDEX(Lists!$B$2:$B$40,MATCH($C173,Lists!$A$2:$A$40,0)),""))</f>
        <v/>
      </c>
      <c r="F173" s="20"/>
      <c r="G173" s="20"/>
      <c r="H173" s="20"/>
      <c r="I173" s="20"/>
      <c r="J173" s="20"/>
      <c r="K173" s="18" t="str">
        <f aca="false">IF(COUNT($F173:$J173)=0,"",SUM($F173:$J173))</f>
        <v/>
      </c>
      <c r="L173" s="18" t="str">
        <f aca="false">IF(COUNT($F173:$J173)=0,"",MAX($F173:$J173))</f>
        <v/>
      </c>
      <c r="M173" s="18" t="str">
        <f aca="false">IFERROR(IF(OR($C173="",COUNT($F173:$J173)&lt;3),"",IF(N(INDEX(Lists!$C$2:$C$40,MATCH($C173,Lists!$A$2:$A$40,0)))=0,"",IF(MIN($F173:$J173)&gt;=INDEX(Lists!$C$2:$C$40,MATCH($C173,Lists!$A$2:$A$40,0)),"LEVEL UP",""))),"")</f>
        <v/>
      </c>
      <c r="N173" s="20"/>
      <c r="O173" s="19"/>
    </row>
    <row r="174" customFormat="false" ht="15" hidden="false" customHeight="false" outlineLevel="0" collapsed="false">
      <c r="A174" s="17"/>
      <c r="B174" s="18" t="str">
        <f aca="false">IF($A174="","",TEXT($A174,"ddd"))</f>
        <v/>
      </c>
      <c r="C174" s="19"/>
      <c r="D174" s="19"/>
      <c r="E174" s="18" t="str">
        <f aca="false">IF($C174="","",IFERROR(INDEX(Lists!$B$2:$B$40,MATCH($C174,Lists!$A$2:$A$40,0)),""))</f>
        <v/>
      </c>
      <c r="F174" s="20"/>
      <c r="G174" s="20"/>
      <c r="H174" s="20"/>
      <c r="I174" s="20"/>
      <c r="J174" s="20"/>
      <c r="K174" s="18" t="str">
        <f aca="false">IF(COUNT($F174:$J174)=0,"",SUM($F174:$J174))</f>
        <v/>
      </c>
      <c r="L174" s="18" t="str">
        <f aca="false">IF(COUNT($F174:$J174)=0,"",MAX($F174:$J174))</f>
        <v/>
      </c>
      <c r="M174" s="18" t="str">
        <f aca="false">IFERROR(IF(OR($C174="",COUNT($F174:$J174)&lt;3),"",IF(N(INDEX(Lists!$C$2:$C$40,MATCH($C174,Lists!$A$2:$A$40,0)))=0,"",IF(MIN($F174:$J174)&gt;=INDEX(Lists!$C$2:$C$40,MATCH($C174,Lists!$A$2:$A$40,0)),"LEVEL UP",""))),"")</f>
        <v/>
      </c>
      <c r="N174" s="20"/>
      <c r="O174" s="19"/>
    </row>
    <row r="175" customFormat="false" ht="15" hidden="false" customHeight="false" outlineLevel="0" collapsed="false">
      <c r="A175" s="17"/>
      <c r="B175" s="18" t="str">
        <f aca="false">IF($A175="","",TEXT($A175,"ddd"))</f>
        <v/>
      </c>
      <c r="C175" s="19"/>
      <c r="D175" s="19"/>
      <c r="E175" s="18" t="str">
        <f aca="false">IF($C175="","",IFERROR(INDEX(Lists!$B$2:$B$40,MATCH($C175,Lists!$A$2:$A$40,0)),""))</f>
        <v/>
      </c>
      <c r="F175" s="20"/>
      <c r="G175" s="20"/>
      <c r="H175" s="20"/>
      <c r="I175" s="20"/>
      <c r="J175" s="20"/>
      <c r="K175" s="18" t="str">
        <f aca="false">IF(COUNT($F175:$J175)=0,"",SUM($F175:$J175))</f>
        <v/>
      </c>
      <c r="L175" s="18" t="str">
        <f aca="false">IF(COUNT($F175:$J175)=0,"",MAX($F175:$J175))</f>
        <v/>
      </c>
      <c r="M175" s="18" t="str">
        <f aca="false">IFERROR(IF(OR($C175="",COUNT($F175:$J175)&lt;3),"",IF(N(INDEX(Lists!$C$2:$C$40,MATCH($C175,Lists!$A$2:$A$40,0)))=0,"",IF(MIN($F175:$J175)&gt;=INDEX(Lists!$C$2:$C$40,MATCH($C175,Lists!$A$2:$A$40,0)),"LEVEL UP",""))),"")</f>
        <v/>
      </c>
      <c r="N175" s="20"/>
      <c r="O175" s="19"/>
    </row>
    <row r="176" customFormat="false" ht="15" hidden="false" customHeight="false" outlineLevel="0" collapsed="false">
      <c r="A176" s="17"/>
      <c r="B176" s="18" t="str">
        <f aca="false">IF($A176="","",TEXT($A176,"ddd"))</f>
        <v/>
      </c>
      <c r="C176" s="19"/>
      <c r="D176" s="19"/>
      <c r="E176" s="18" t="str">
        <f aca="false">IF($C176="","",IFERROR(INDEX(Lists!$B$2:$B$40,MATCH($C176,Lists!$A$2:$A$40,0)),""))</f>
        <v/>
      </c>
      <c r="F176" s="20"/>
      <c r="G176" s="20"/>
      <c r="H176" s="20"/>
      <c r="I176" s="20"/>
      <c r="J176" s="20"/>
      <c r="K176" s="18" t="str">
        <f aca="false">IF(COUNT($F176:$J176)=0,"",SUM($F176:$J176))</f>
        <v/>
      </c>
      <c r="L176" s="18" t="str">
        <f aca="false">IF(COUNT($F176:$J176)=0,"",MAX($F176:$J176))</f>
        <v/>
      </c>
      <c r="M176" s="18" t="str">
        <f aca="false">IFERROR(IF(OR($C176="",COUNT($F176:$J176)&lt;3),"",IF(N(INDEX(Lists!$C$2:$C$40,MATCH($C176,Lists!$A$2:$A$40,0)))=0,"",IF(MIN($F176:$J176)&gt;=INDEX(Lists!$C$2:$C$40,MATCH($C176,Lists!$A$2:$A$40,0)),"LEVEL UP",""))),"")</f>
        <v/>
      </c>
      <c r="N176" s="20"/>
      <c r="O176" s="19"/>
    </row>
    <row r="177" customFormat="false" ht="15" hidden="false" customHeight="false" outlineLevel="0" collapsed="false">
      <c r="A177" s="17"/>
      <c r="B177" s="18" t="str">
        <f aca="false">IF($A177="","",TEXT($A177,"ddd"))</f>
        <v/>
      </c>
      <c r="C177" s="19"/>
      <c r="D177" s="19"/>
      <c r="E177" s="18" t="str">
        <f aca="false">IF($C177="","",IFERROR(INDEX(Lists!$B$2:$B$40,MATCH($C177,Lists!$A$2:$A$40,0)),""))</f>
        <v/>
      </c>
      <c r="F177" s="20"/>
      <c r="G177" s="20"/>
      <c r="H177" s="20"/>
      <c r="I177" s="20"/>
      <c r="J177" s="20"/>
      <c r="K177" s="18" t="str">
        <f aca="false">IF(COUNT($F177:$J177)=0,"",SUM($F177:$J177))</f>
        <v/>
      </c>
      <c r="L177" s="18" t="str">
        <f aca="false">IF(COUNT($F177:$J177)=0,"",MAX($F177:$J177))</f>
        <v/>
      </c>
      <c r="M177" s="18" t="str">
        <f aca="false">IFERROR(IF(OR($C177="",COUNT($F177:$J177)&lt;3),"",IF(N(INDEX(Lists!$C$2:$C$40,MATCH($C177,Lists!$A$2:$A$40,0)))=0,"",IF(MIN($F177:$J177)&gt;=INDEX(Lists!$C$2:$C$40,MATCH($C177,Lists!$A$2:$A$40,0)),"LEVEL UP",""))),"")</f>
        <v/>
      </c>
      <c r="N177" s="20"/>
      <c r="O177" s="19"/>
    </row>
    <row r="178" customFormat="false" ht="15" hidden="false" customHeight="false" outlineLevel="0" collapsed="false">
      <c r="A178" s="17"/>
      <c r="B178" s="18" t="str">
        <f aca="false">IF($A178="","",TEXT($A178,"ddd"))</f>
        <v/>
      </c>
      <c r="C178" s="19"/>
      <c r="D178" s="19"/>
      <c r="E178" s="18" t="str">
        <f aca="false">IF($C178="","",IFERROR(INDEX(Lists!$B$2:$B$40,MATCH($C178,Lists!$A$2:$A$40,0)),""))</f>
        <v/>
      </c>
      <c r="F178" s="20"/>
      <c r="G178" s="20"/>
      <c r="H178" s="20"/>
      <c r="I178" s="20"/>
      <c r="J178" s="20"/>
      <c r="K178" s="18" t="str">
        <f aca="false">IF(COUNT($F178:$J178)=0,"",SUM($F178:$J178))</f>
        <v/>
      </c>
      <c r="L178" s="18" t="str">
        <f aca="false">IF(COUNT($F178:$J178)=0,"",MAX($F178:$J178))</f>
        <v/>
      </c>
      <c r="M178" s="18" t="str">
        <f aca="false">IFERROR(IF(OR($C178="",COUNT($F178:$J178)&lt;3),"",IF(N(INDEX(Lists!$C$2:$C$40,MATCH($C178,Lists!$A$2:$A$40,0)))=0,"",IF(MIN($F178:$J178)&gt;=INDEX(Lists!$C$2:$C$40,MATCH($C178,Lists!$A$2:$A$40,0)),"LEVEL UP",""))),"")</f>
        <v/>
      </c>
      <c r="N178" s="20"/>
      <c r="O178" s="19"/>
    </row>
    <row r="179" customFormat="false" ht="15" hidden="false" customHeight="false" outlineLevel="0" collapsed="false">
      <c r="A179" s="17"/>
      <c r="B179" s="18" t="str">
        <f aca="false">IF($A179="","",TEXT($A179,"ddd"))</f>
        <v/>
      </c>
      <c r="C179" s="19"/>
      <c r="D179" s="19"/>
      <c r="E179" s="18" t="str">
        <f aca="false">IF($C179="","",IFERROR(INDEX(Lists!$B$2:$B$40,MATCH($C179,Lists!$A$2:$A$40,0)),""))</f>
        <v/>
      </c>
      <c r="F179" s="20"/>
      <c r="G179" s="20"/>
      <c r="H179" s="20"/>
      <c r="I179" s="20"/>
      <c r="J179" s="20"/>
      <c r="K179" s="18" t="str">
        <f aca="false">IF(COUNT($F179:$J179)=0,"",SUM($F179:$J179))</f>
        <v/>
      </c>
      <c r="L179" s="18" t="str">
        <f aca="false">IF(COUNT($F179:$J179)=0,"",MAX($F179:$J179))</f>
        <v/>
      </c>
      <c r="M179" s="18" t="str">
        <f aca="false">IFERROR(IF(OR($C179="",COUNT($F179:$J179)&lt;3),"",IF(N(INDEX(Lists!$C$2:$C$40,MATCH($C179,Lists!$A$2:$A$40,0)))=0,"",IF(MIN($F179:$J179)&gt;=INDEX(Lists!$C$2:$C$40,MATCH($C179,Lists!$A$2:$A$40,0)),"LEVEL UP",""))),"")</f>
        <v/>
      </c>
      <c r="N179" s="20"/>
      <c r="O179" s="19"/>
    </row>
    <row r="180" customFormat="false" ht="15" hidden="false" customHeight="false" outlineLevel="0" collapsed="false">
      <c r="A180" s="17"/>
      <c r="B180" s="18" t="str">
        <f aca="false">IF($A180="","",TEXT($A180,"ddd"))</f>
        <v/>
      </c>
      <c r="C180" s="19"/>
      <c r="D180" s="19"/>
      <c r="E180" s="18" t="str">
        <f aca="false">IF($C180="","",IFERROR(INDEX(Lists!$B$2:$B$40,MATCH($C180,Lists!$A$2:$A$40,0)),""))</f>
        <v/>
      </c>
      <c r="F180" s="20"/>
      <c r="G180" s="20"/>
      <c r="H180" s="20"/>
      <c r="I180" s="20"/>
      <c r="J180" s="20"/>
      <c r="K180" s="18" t="str">
        <f aca="false">IF(COUNT($F180:$J180)=0,"",SUM($F180:$J180))</f>
        <v/>
      </c>
      <c r="L180" s="18" t="str">
        <f aca="false">IF(COUNT($F180:$J180)=0,"",MAX($F180:$J180))</f>
        <v/>
      </c>
      <c r="M180" s="18" t="str">
        <f aca="false">IFERROR(IF(OR($C180="",COUNT($F180:$J180)&lt;3),"",IF(N(INDEX(Lists!$C$2:$C$40,MATCH($C180,Lists!$A$2:$A$40,0)))=0,"",IF(MIN($F180:$J180)&gt;=INDEX(Lists!$C$2:$C$40,MATCH($C180,Lists!$A$2:$A$40,0)),"LEVEL UP",""))),"")</f>
        <v/>
      </c>
      <c r="N180" s="20"/>
      <c r="O180" s="19"/>
    </row>
    <row r="181" customFormat="false" ht="15" hidden="false" customHeight="false" outlineLevel="0" collapsed="false">
      <c r="A181" s="17"/>
      <c r="B181" s="18" t="str">
        <f aca="false">IF($A181="","",TEXT($A181,"ddd"))</f>
        <v/>
      </c>
      <c r="C181" s="19"/>
      <c r="D181" s="19"/>
      <c r="E181" s="18" t="str">
        <f aca="false">IF($C181="","",IFERROR(INDEX(Lists!$B$2:$B$40,MATCH($C181,Lists!$A$2:$A$40,0)),""))</f>
        <v/>
      </c>
      <c r="F181" s="20"/>
      <c r="G181" s="20"/>
      <c r="H181" s="20"/>
      <c r="I181" s="20"/>
      <c r="J181" s="20"/>
      <c r="K181" s="18" t="str">
        <f aca="false">IF(COUNT($F181:$J181)=0,"",SUM($F181:$J181))</f>
        <v/>
      </c>
      <c r="L181" s="18" t="str">
        <f aca="false">IF(COUNT($F181:$J181)=0,"",MAX($F181:$J181))</f>
        <v/>
      </c>
      <c r="M181" s="18" t="str">
        <f aca="false">IFERROR(IF(OR($C181="",COUNT($F181:$J181)&lt;3),"",IF(N(INDEX(Lists!$C$2:$C$40,MATCH($C181,Lists!$A$2:$A$40,0)))=0,"",IF(MIN($F181:$J181)&gt;=INDEX(Lists!$C$2:$C$40,MATCH($C181,Lists!$A$2:$A$40,0)),"LEVEL UP",""))),"")</f>
        <v/>
      </c>
      <c r="N181" s="20"/>
      <c r="O181" s="19"/>
    </row>
    <row r="182" customFormat="false" ht="15" hidden="false" customHeight="false" outlineLevel="0" collapsed="false">
      <c r="A182" s="17"/>
      <c r="B182" s="18" t="str">
        <f aca="false">IF($A182="","",TEXT($A182,"ddd"))</f>
        <v/>
      </c>
      <c r="C182" s="19"/>
      <c r="D182" s="19"/>
      <c r="E182" s="18" t="str">
        <f aca="false">IF($C182="","",IFERROR(INDEX(Lists!$B$2:$B$40,MATCH($C182,Lists!$A$2:$A$40,0)),""))</f>
        <v/>
      </c>
      <c r="F182" s="20"/>
      <c r="G182" s="20"/>
      <c r="H182" s="20"/>
      <c r="I182" s="20"/>
      <c r="J182" s="20"/>
      <c r="K182" s="18" t="str">
        <f aca="false">IF(COUNT($F182:$J182)=0,"",SUM($F182:$J182))</f>
        <v/>
      </c>
      <c r="L182" s="18" t="str">
        <f aca="false">IF(COUNT($F182:$J182)=0,"",MAX($F182:$J182))</f>
        <v/>
      </c>
      <c r="M182" s="18" t="str">
        <f aca="false">IFERROR(IF(OR($C182="",COUNT($F182:$J182)&lt;3),"",IF(N(INDEX(Lists!$C$2:$C$40,MATCH($C182,Lists!$A$2:$A$40,0)))=0,"",IF(MIN($F182:$J182)&gt;=INDEX(Lists!$C$2:$C$40,MATCH($C182,Lists!$A$2:$A$40,0)),"LEVEL UP",""))),"")</f>
        <v/>
      </c>
      <c r="N182" s="20"/>
      <c r="O182" s="19"/>
    </row>
    <row r="183" customFormat="false" ht="15" hidden="false" customHeight="false" outlineLevel="0" collapsed="false">
      <c r="A183" s="17"/>
      <c r="B183" s="18" t="str">
        <f aca="false">IF($A183="","",TEXT($A183,"ddd"))</f>
        <v/>
      </c>
      <c r="C183" s="19"/>
      <c r="D183" s="19"/>
      <c r="E183" s="18" t="str">
        <f aca="false">IF($C183="","",IFERROR(INDEX(Lists!$B$2:$B$40,MATCH($C183,Lists!$A$2:$A$40,0)),""))</f>
        <v/>
      </c>
      <c r="F183" s="20"/>
      <c r="G183" s="20"/>
      <c r="H183" s="20"/>
      <c r="I183" s="20"/>
      <c r="J183" s="20"/>
      <c r="K183" s="18" t="str">
        <f aca="false">IF(COUNT($F183:$J183)=0,"",SUM($F183:$J183))</f>
        <v/>
      </c>
      <c r="L183" s="18" t="str">
        <f aca="false">IF(COUNT($F183:$J183)=0,"",MAX($F183:$J183))</f>
        <v/>
      </c>
      <c r="M183" s="18" t="str">
        <f aca="false">IFERROR(IF(OR($C183="",COUNT($F183:$J183)&lt;3),"",IF(N(INDEX(Lists!$C$2:$C$40,MATCH($C183,Lists!$A$2:$A$40,0)))=0,"",IF(MIN($F183:$J183)&gt;=INDEX(Lists!$C$2:$C$40,MATCH($C183,Lists!$A$2:$A$40,0)),"LEVEL UP",""))),"")</f>
        <v/>
      </c>
      <c r="N183" s="20"/>
      <c r="O183" s="19"/>
    </row>
    <row r="184" customFormat="false" ht="15" hidden="false" customHeight="false" outlineLevel="0" collapsed="false">
      <c r="A184" s="17"/>
      <c r="B184" s="18" t="str">
        <f aca="false">IF($A184="","",TEXT($A184,"ddd"))</f>
        <v/>
      </c>
      <c r="C184" s="19"/>
      <c r="D184" s="19"/>
      <c r="E184" s="18" t="str">
        <f aca="false">IF($C184="","",IFERROR(INDEX(Lists!$B$2:$B$40,MATCH($C184,Lists!$A$2:$A$40,0)),""))</f>
        <v/>
      </c>
      <c r="F184" s="20"/>
      <c r="G184" s="20"/>
      <c r="H184" s="20"/>
      <c r="I184" s="20"/>
      <c r="J184" s="20"/>
      <c r="K184" s="18" t="str">
        <f aca="false">IF(COUNT($F184:$J184)=0,"",SUM($F184:$J184))</f>
        <v/>
      </c>
      <c r="L184" s="18" t="str">
        <f aca="false">IF(COUNT($F184:$J184)=0,"",MAX($F184:$J184))</f>
        <v/>
      </c>
      <c r="M184" s="18" t="str">
        <f aca="false">IFERROR(IF(OR($C184="",COUNT($F184:$J184)&lt;3),"",IF(N(INDEX(Lists!$C$2:$C$40,MATCH($C184,Lists!$A$2:$A$40,0)))=0,"",IF(MIN($F184:$J184)&gt;=INDEX(Lists!$C$2:$C$40,MATCH($C184,Lists!$A$2:$A$40,0)),"LEVEL UP",""))),"")</f>
        <v/>
      </c>
      <c r="N184" s="20"/>
      <c r="O184" s="19"/>
    </row>
    <row r="185" customFormat="false" ht="15" hidden="false" customHeight="false" outlineLevel="0" collapsed="false">
      <c r="A185" s="17"/>
      <c r="B185" s="18" t="str">
        <f aca="false">IF($A185="","",TEXT($A185,"ddd"))</f>
        <v/>
      </c>
      <c r="C185" s="19"/>
      <c r="D185" s="19"/>
      <c r="E185" s="18" t="str">
        <f aca="false">IF($C185="","",IFERROR(INDEX(Lists!$B$2:$B$40,MATCH($C185,Lists!$A$2:$A$40,0)),""))</f>
        <v/>
      </c>
      <c r="F185" s="20"/>
      <c r="G185" s="20"/>
      <c r="H185" s="20"/>
      <c r="I185" s="20"/>
      <c r="J185" s="20"/>
      <c r="K185" s="18" t="str">
        <f aca="false">IF(COUNT($F185:$J185)=0,"",SUM($F185:$J185))</f>
        <v/>
      </c>
      <c r="L185" s="18" t="str">
        <f aca="false">IF(COUNT($F185:$J185)=0,"",MAX($F185:$J185))</f>
        <v/>
      </c>
      <c r="M185" s="18" t="str">
        <f aca="false">IFERROR(IF(OR($C185="",COUNT($F185:$J185)&lt;3),"",IF(N(INDEX(Lists!$C$2:$C$40,MATCH($C185,Lists!$A$2:$A$40,0)))=0,"",IF(MIN($F185:$J185)&gt;=INDEX(Lists!$C$2:$C$40,MATCH($C185,Lists!$A$2:$A$40,0)),"LEVEL UP",""))),"")</f>
        <v/>
      </c>
      <c r="N185" s="20"/>
      <c r="O185" s="19"/>
    </row>
    <row r="186" customFormat="false" ht="15" hidden="false" customHeight="false" outlineLevel="0" collapsed="false">
      <c r="A186" s="17"/>
      <c r="B186" s="18" t="str">
        <f aca="false">IF($A186="","",TEXT($A186,"ddd"))</f>
        <v/>
      </c>
      <c r="C186" s="19"/>
      <c r="D186" s="19"/>
      <c r="E186" s="18" t="str">
        <f aca="false">IF($C186="","",IFERROR(INDEX(Lists!$B$2:$B$40,MATCH($C186,Lists!$A$2:$A$40,0)),""))</f>
        <v/>
      </c>
      <c r="F186" s="20"/>
      <c r="G186" s="20"/>
      <c r="H186" s="20"/>
      <c r="I186" s="20"/>
      <c r="J186" s="20"/>
      <c r="K186" s="18" t="str">
        <f aca="false">IF(COUNT($F186:$J186)=0,"",SUM($F186:$J186))</f>
        <v/>
      </c>
      <c r="L186" s="18" t="str">
        <f aca="false">IF(COUNT($F186:$J186)=0,"",MAX($F186:$J186))</f>
        <v/>
      </c>
      <c r="M186" s="18" t="str">
        <f aca="false">IFERROR(IF(OR($C186="",COUNT($F186:$J186)&lt;3),"",IF(N(INDEX(Lists!$C$2:$C$40,MATCH($C186,Lists!$A$2:$A$40,0)))=0,"",IF(MIN($F186:$J186)&gt;=INDEX(Lists!$C$2:$C$40,MATCH($C186,Lists!$A$2:$A$40,0)),"LEVEL UP",""))),"")</f>
        <v/>
      </c>
      <c r="N186" s="20"/>
      <c r="O186" s="19"/>
    </row>
    <row r="187" customFormat="false" ht="15" hidden="false" customHeight="false" outlineLevel="0" collapsed="false">
      <c r="A187" s="17"/>
      <c r="B187" s="18" t="str">
        <f aca="false">IF($A187="","",TEXT($A187,"ddd"))</f>
        <v/>
      </c>
      <c r="C187" s="19"/>
      <c r="D187" s="19"/>
      <c r="E187" s="18" t="str">
        <f aca="false">IF($C187="","",IFERROR(INDEX(Lists!$B$2:$B$40,MATCH($C187,Lists!$A$2:$A$40,0)),""))</f>
        <v/>
      </c>
      <c r="F187" s="20"/>
      <c r="G187" s="20"/>
      <c r="H187" s="20"/>
      <c r="I187" s="20"/>
      <c r="J187" s="20"/>
      <c r="K187" s="18" t="str">
        <f aca="false">IF(COUNT($F187:$J187)=0,"",SUM($F187:$J187))</f>
        <v/>
      </c>
      <c r="L187" s="18" t="str">
        <f aca="false">IF(COUNT($F187:$J187)=0,"",MAX($F187:$J187))</f>
        <v/>
      </c>
      <c r="M187" s="18" t="str">
        <f aca="false">IFERROR(IF(OR($C187="",COUNT($F187:$J187)&lt;3),"",IF(N(INDEX(Lists!$C$2:$C$40,MATCH($C187,Lists!$A$2:$A$40,0)))=0,"",IF(MIN($F187:$J187)&gt;=INDEX(Lists!$C$2:$C$40,MATCH($C187,Lists!$A$2:$A$40,0)),"LEVEL UP",""))),"")</f>
        <v/>
      </c>
      <c r="N187" s="20"/>
      <c r="O187" s="19"/>
    </row>
    <row r="188" customFormat="false" ht="15" hidden="false" customHeight="false" outlineLevel="0" collapsed="false">
      <c r="A188" s="17"/>
      <c r="B188" s="18" t="str">
        <f aca="false">IF($A188="","",TEXT($A188,"ddd"))</f>
        <v/>
      </c>
      <c r="C188" s="19"/>
      <c r="D188" s="19"/>
      <c r="E188" s="18" t="str">
        <f aca="false">IF($C188="","",IFERROR(INDEX(Lists!$B$2:$B$40,MATCH($C188,Lists!$A$2:$A$40,0)),""))</f>
        <v/>
      </c>
      <c r="F188" s="20"/>
      <c r="G188" s="20"/>
      <c r="H188" s="20"/>
      <c r="I188" s="20"/>
      <c r="J188" s="20"/>
      <c r="K188" s="18" t="str">
        <f aca="false">IF(COUNT($F188:$J188)=0,"",SUM($F188:$J188))</f>
        <v/>
      </c>
      <c r="L188" s="18" t="str">
        <f aca="false">IF(COUNT($F188:$J188)=0,"",MAX($F188:$J188))</f>
        <v/>
      </c>
      <c r="M188" s="18" t="str">
        <f aca="false">IFERROR(IF(OR($C188="",COUNT($F188:$J188)&lt;3),"",IF(N(INDEX(Lists!$C$2:$C$40,MATCH($C188,Lists!$A$2:$A$40,0)))=0,"",IF(MIN($F188:$J188)&gt;=INDEX(Lists!$C$2:$C$40,MATCH($C188,Lists!$A$2:$A$40,0)),"LEVEL UP",""))),"")</f>
        <v/>
      </c>
      <c r="N188" s="20"/>
      <c r="O188" s="19"/>
    </row>
    <row r="189" customFormat="false" ht="15" hidden="false" customHeight="false" outlineLevel="0" collapsed="false">
      <c r="A189" s="17"/>
      <c r="B189" s="18" t="str">
        <f aca="false">IF($A189="","",TEXT($A189,"ddd"))</f>
        <v/>
      </c>
      <c r="C189" s="19"/>
      <c r="D189" s="19"/>
      <c r="E189" s="18" t="str">
        <f aca="false">IF($C189="","",IFERROR(INDEX(Lists!$B$2:$B$40,MATCH($C189,Lists!$A$2:$A$40,0)),""))</f>
        <v/>
      </c>
      <c r="F189" s="20"/>
      <c r="G189" s="20"/>
      <c r="H189" s="20"/>
      <c r="I189" s="20"/>
      <c r="J189" s="20"/>
      <c r="K189" s="18" t="str">
        <f aca="false">IF(COUNT($F189:$J189)=0,"",SUM($F189:$J189))</f>
        <v/>
      </c>
      <c r="L189" s="18" t="str">
        <f aca="false">IF(COUNT($F189:$J189)=0,"",MAX($F189:$J189))</f>
        <v/>
      </c>
      <c r="M189" s="18" t="str">
        <f aca="false">IFERROR(IF(OR($C189="",COUNT($F189:$J189)&lt;3),"",IF(N(INDEX(Lists!$C$2:$C$40,MATCH($C189,Lists!$A$2:$A$40,0)))=0,"",IF(MIN($F189:$J189)&gt;=INDEX(Lists!$C$2:$C$40,MATCH($C189,Lists!$A$2:$A$40,0)),"LEVEL UP",""))),"")</f>
        <v/>
      </c>
      <c r="N189" s="20"/>
      <c r="O189" s="19"/>
    </row>
    <row r="190" customFormat="false" ht="15" hidden="false" customHeight="false" outlineLevel="0" collapsed="false">
      <c r="A190" s="17"/>
      <c r="B190" s="18" t="str">
        <f aca="false">IF($A190="","",TEXT($A190,"ddd"))</f>
        <v/>
      </c>
      <c r="C190" s="19"/>
      <c r="D190" s="19"/>
      <c r="E190" s="18" t="str">
        <f aca="false">IF($C190="","",IFERROR(INDEX(Lists!$B$2:$B$40,MATCH($C190,Lists!$A$2:$A$40,0)),""))</f>
        <v/>
      </c>
      <c r="F190" s="20"/>
      <c r="G190" s="20"/>
      <c r="H190" s="20"/>
      <c r="I190" s="20"/>
      <c r="J190" s="20"/>
      <c r="K190" s="18" t="str">
        <f aca="false">IF(COUNT($F190:$J190)=0,"",SUM($F190:$J190))</f>
        <v/>
      </c>
      <c r="L190" s="18" t="str">
        <f aca="false">IF(COUNT($F190:$J190)=0,"",MAX($F190:$J190))</f>
        <v/>
      </c>
      <c r="M190" s="18" t="str">
        <f aca="false">IFERROR(IF(OR($C190="",COUNT($F190:$J190)&lt;3),"",IF(N(INDEX(Lists!$C$2:$C$40,MATCH($C190,Lists!$A$2:$A$40,0)))=0,"",IF(MIN($F190:$J190)&gt;=INDEX(Lists!$C$2:$C$40,MATCH($C190,Lists!$A$2:$A$40,0)),"LEVEL UP",""))),"")</f>
        <v/>
      </c>
      <c r="N190" s="20"/>
      <c r="O190" s="19"/>
    </row>
    <row r="191" customFormat="false" ht="15" hidden="false" customHeight="false" outlineLevel="0" collapsed="false">
      <c r="A191" s="17"/>
      <c r="B191" s="18" t="str">
        <f aca="false">IF($A191="","",TEXT($A191,"ddd"))</f>
        <v/>
      </c>
      <c r="C191" s="19"/>
      <c r="D191" s="19"/>
      <c r="E191" s="18" t="str">
        <f aca="false">IF($C191="","",IFERROR(INDEX(Lists!$B$2:$B$40,MATCH($C191,Lists!$A$2:$A$40,0)),""))</f>
        <v/>
      </c>
      <c r="F191" s="20"/>
      <c r="G191" s="20"/>
      <c r="H191" s="20"/>
      <c r="I191" s="20"/>
      <c r="J191" s="20"/>
      <c r="K191" s="18" t="str">
        <f aca="false">IF(COUNT($F191:$J191)=0,"",SUM($F191:$J191))</f>
        <v/>
      </c>
      <c r="L191" s="18" t="str">
        <f aca="false">IF(COUNT($F191:$J191)=0,"",MAX($F191:$J191))</f>
        <v/>
      </c>
      <c r="M191" s="18" t="str">
        <f aca="false">IFERROR(IF(OR($C191="",COUNT($F191:$J191)&lt;3),"",IF(N(INDEX(Lists!$C$2:$C$40,MATCH($C191,Lists!$A$2:$A$40,0)))=0,"",IF(MIN($F191:$J191)&gt;=INDEX(Lists!$C$2:$C$40,MATCH($C191,Lists!$A$2:$A$40,0)),"LEVEL UP",""))),"")</f>
        <v/>
      </c>
      <c r="N191" s="20"/>
      <c r="O191" s="19"/>
    </row>
    <row r="192" customFormat="false" ht="15" hidden="false" customHeight="false" outlineLevel="0" collapsed="false">
      <c r="A192" s="17"/>
      <c r="B192" s="18" t="str">
        <f aca="false">IF($A192="","",TEXT($A192,"ddd"))</f>
        <v/>
      </c>
      <c r="C192" s="19"/>
      <c r="D192" s="19"/>
      <c r="E192" s="18" t="str">
        <f aca="false">IF($C192="","",IFERROR(INDEX(Lists!$B$2:$B$40,MATCH($C192,Lists!$A$2:$A$40,0)),""))</f>
        <v/>
      </c>
      <c r="F192" s="20"/>
      <c r="G192" s="20"/>
      <c r="H192" s="20"/>
      <c r="I192" s="20"/>
      <c r="J192" s="20"/>
      <c r="K192" s="18" t="str">
        <f aca="false">IF(COUNT($F192:$J192)=0,"",SUM($F192:$J192))</f>
        <v/>
      </c>
      <c r="L192" s="18" t="str">
        <f aca="false">IF(COUNT($F192:$J192)=0,"",MAX($F192:$J192))</f>
        <v/>
      </c>
      <c r="M192" s="18" t="str">
        <f aca="false">IFERROR(IF(OR($C192="",COUNT($F192:$J192)&lt;3),"",IF(N(INDEX(Lists!$C$2:$C$40,MATCH($C192,Lists!$A$2:$A$40,0)))=0,"",IF(MIN($F192:$J192)&gt;=INDEX(Lists!$C$2:$C$40,MATCH($C192,Lists!$A$2:$A$40,0)),"LEVEL UP",""))),"")</f>
        <v/>
      </c>
      <c r="N192" s="20"/>
      <c r="O192" s="19"/>
    </row>
    <row r="193" customFormat="false" ht="15" hidden="false" customHeight="false" outlineLevel="0" collapsed="false">
      <c r="A193" s="17"/>
      <c r="B193" s="18" t="str">
        <f aca="false">IF($A193="","",TEXT($A193,"ddd"))</f>
        <v/>
      </c>
      <c r="C193" s="19"/>
      <c r="D193" s="19"/>
      <c r="E193" s="18" t="str">
        <f aca="false">IF($C193="","",IFERROR(INDEX(Lists!$B$2:$B$40,MATCH($C193,Lists!$A$2:$A$40,0)),""))</f>
        <v/>
      </c>
      <c r="F193" s="20"/>
      <c r="G193" s="20"/>
      <c r="H193" s="20"/>
      <c r="I193" s="20"/>
      <c r="J193" s="20"/>
      <c r="K193" s="18" t="str">
        <f aca="false">IF(COUNT($F193:$J193)=0,"",SUM($F193:$J193))</f>
        <v/>
      </c>
      <c r="L193" s="18" t="str">
        <f aca="false">IF(COUNT($F193:$J193)=0,"",MAX($F193:$J193))</f>
        <v/>
      </c>
      <c r="M193" s="18" t="str">
        <f aca="false">IFERROR(IF(OR($C193="",COUNT($F193:$J193)&lt;3),"",IF(N(INDEX(Lists!$C$2:$C$40,MATCH($C193,Lists!$A$2:$A$40,0)))=0,"",IF(MIN($F193:$J193)&gt;=INDEX(Lists!$C$2:$C$40,MATCH($C193,Lists!$A$2:$A$40,0)),"LEVEL UP",""))),"")</f>
        <v/>
      </c>
      <c r="N193" s="20"/>
      <c r="O193" s="19"/>
    </row>
    <row r="194" customFormat="false" ht="15" hidden="false" customHeight="false" outlineLevel="0" collapsed="false">
      <c r="A194" s="17"/>
      <c r="B194" s="18" t="str">
        <f aca="false">IF($A194="","",TEXT($A194,"ddd"))</f>
        <v/>
      </c>
      <c r="C194" s="19"/>
      <c r="D194" s="19"/>
      <c r="E194" s="18" t="str">
        <f aca="false">IF($C194="","",IFERROR(INDEX(Lists!$B$2:$B$40,MATCH($C194,Lists!$A$2:$A$40,0)),""))</f>
        <v/>
      </c>
      <c r="F194" s="20"/>
      <c r="G194" s="20"/>
      <c r="H194" s="20"/>
      <c r="I194" s="20"/>
      <c r="J194" s="20"/>
      <c r="K194" s="18" t="str">
        <f aca="false">IF(COUNT($F194:$J194)=0,"",SUM($F194:$J194))</f>
        <v/>
      </c>
      <c r="L194" s="18" t="str">
        <f aca="false">IF(COUNT($F194:$J194)=0,"",MAX($F194:$J194))</f>
        <v/>
      </c>
      <c r="M194" s="18" t="str">
        <f aca="false">IFERROR(IF(OR($C194="",COUNT($F194:$J194)&lt;3),"",IF(N(INDEX(Lists!$C$2:$C$40,MATCH($C194,Lists!$A$2:$A$40,0)))=0,"",IF(MIN($F194:$J194)&gt;=INDEX(Lists!$C$2:$C$40,MATCH($C194,Lists!$A$2:$A$40,0)),"LEVEL UP",""))),"")</f>
        <v/>
      </c>
      <c r="N194" s="20"/>
      <c r="O194" s="19"/>
    </row>
    <row r="195" customFormat="false" ht="15" hidden="false" customHeight="false" outlineLevel="0" collapsed="false">
      <c r="A195" s="17"/>
      <c r="B195" s="18" t="str">
        <f aca="false">IF($A195="","",TEXT($A195,"ddd"))</f>
        <v/>
      </c>
      <c r="C195" s="19"/>
      <c r="D195" s="19"/>
      <c r="E195" s="18" t="str">
        <f aca="false">IF($C195="","",IFERROR(INDEX(Lists!$B$2:$B$40,MATCH($C195,Lists!$A$2:$A$40,0)),""))</f>
        <v/>
      </c>
      <c r="F195" s="20"/>
      <c r="G195" s="20"/>
      <c r="H195" s="20"/>
      <c r="I195" s="20"/>
      <c r="J195" s="20"/>
      <c r="K195" s="18" t="str">
        <f aca="false">IF(COUNT($F195:$J195)=0,"",SUM($F195:$J195))</f>
        <v/>
      </c>
      <c r="L195" s="18" t="str">
        <f aca="false">IF(COUNT($F195:$J195)=0,"",MAX($F195:$J195))</f>
        <v/>
      </c>
      <c r="M195" s="18" t="str">
        <f aca="false">IFERROR(IF(OR($C195="",COUNT($F195:$J195)&lt;3),"",IF(N(INDEX(Lists!$C$2:$C$40,MATCH($C195,Lists!$A$2:$A$40,0)))=0,"",IF(MIN($F195:$J195)&gt;=INDEX(Lists!$C$2:$C$40,MATCH($C195,Lists!$A$2:$A$40,0)),"LEVEL UP",""))),"")</f>
        <v/>
      </c>
      <c r="N195" s="20"/>
      <c r="O195" s="19"/>
    </row>
    <row r="196" customFormat="false" ht="15" hidden="false" customHeight="false" outlineLevel="0" collapsed="false">
      <c r="A196" s="17"/>
      <c r="B196" s="18" t="str">
        <f aca="false">IF($A196="","",TEXT($A196,"ddd"))</f>
        <v/>
      </c>
      <c r="C196" s="19"/>
      <c r="D196" s="19"/>
      <c r="E196" s="18" t="str">
        <f aca="false">IF($C196="","",IFERROR(INDEX(Lists!$B$2:$B$40,MATCH($C196,Lists!$A$2:$A$40,0)),""))</f>
        <v/>
      </c>
      <c r="F196" s="20"/>
      <c r="G196" s="20"/>
      <c r="H196" s="20"/>
      <c r="I196" s="20"/>
      <c r="J196" s="20"/>
      <c r="K196" s="18" t="str">
        <f aca="false">IF(COUNT($F196:$J196)=0,"",SUM($F196:$J196))</f>
        <v/>
      </c>
      <c r="L196" s="18" t="str">
        <f aca="false">IF(COUNT($F196:$J196)=0,"",MAX($F196:$J196))</f>
        <v/>
      </c>
      <c r="M196" s="18" t="str">
        <f aca="false">IFERROR(IF(OR($C196="",COUNT($F196:$J196)&lt;3),"",IF(N(INDEX(Lists!$C$2:$C$40,MATCH($C196,Lists!$A$2:$A$40,0)))=0,"",IF(MIN($F196:$J196)&gt;=INDEX(Lists!$C$2:$C$40,MATCH($C196,Lists!$A$2:$A$40,0)),"LEVEL UP",""))),"")</f>
        <v/>
      </c>
      <c r="N196" s="20"/>
      <c r="O196" s="19"/>
    </row>
    <row r="197" customFormat="false" ht="15" hidden="false" customHeight="false" outlineLevel="0" collapsed="false">
      <c r="A197" s="17"/>
      <c r="B197" s="18" t="str">
        <f aca="false">IF($A197="","",TEXT($A197,"ddd"))</f>
        <v/>
      </c>
      <c r="C197" s="19"/>
      <c r="D197" s="19"/>
      <c r="E197" s="18" t="str">
        <f aca="false">IF($C197="","",IFERROR(INDEX(Lists!$B$2:$B$40,MATCH($C197,Lists!$A$2:$A$40,0)),""))</f>
        <v/>
      </c>
      <c r="F197" s="20"/>
      <c r="G197" s="20"/>
      <c r="H197" s="20"/>
      <c r="I197" s="20"/>
      <c r="J197" s="20"/>
      <c r="K197" s="18" t="str">
        <f aca="false">IF(COUNT($F197:$J197)=0,"",SUM($F197:$J197))</f>
        <v/>
      </c>
      <c r="L197" s="18" t="str">
        <f aca="false">IF(COUNT($F197:$J197)=0,"",MAX($F197:$J197))</f>
        <v/>
      </c>
      <c r="M197" s="18" t="str">
        <f aca="false">IFERROR(IF(OR($C197="",COUNT($F197:$J197)&lt;3),"",IF(N(INDEX(Lists!$C$2:$C$40,MATCH($C197,Lists!$A$2:$A$40,0)))=0,"",IF(MIN($F197:$J197)&gt;=INDEX(Lists!$C$2:$C$40,MATCH($C197,Lists!$A$2:$A$40,0)),"LEVEL UP",""))),"")</f>
        <v/>
      </c>
      <c r="N197" s="20"/>
      <c r="O197" s="19"/>
    </row>
    <row r="198" customFormat="false" ht="15" hidden="false" customHeight="false" outlineLevel="0" collapsed="false">
      <c r="A198" s="17"/>
      <c r="B198" s="18" t="str">
        <f aca="false">IF($A198="","",TEXT($A198,"ddd"))</f>
        <v/>
      </c>
      <c r="C198" s="19"/>
      <c r="D198" s="19"/>
      <c r="E198" s="18" t="str">
        <f aca="false">IF($C198="","",IFERROR(INDEX(Lists!$B$2:$B$40,MATCH($C198,Lists!$A$2:$A$40,0)),""))</f>
        <v/>
      </c>
      <c r="F198" s="20"/>
      <c r="G198" s="20"/>
      <c r="H198" s="20"/>
      <c r="I198" s="20"/>
      <c r="J198" s="20"/>
      <c r="K198" s="18" t="str">
        <f aca="false">IF(COUNT($F198:$J198)=0,"",SUM($F198:$J198))</f>
        <v/>
      </c>
      <c r="L198" s="18" t="str">
        <f aca="false">IF(COUNT($F198:$J198)=0,"",MAX($F198:$J198))</f>
        <v/>
      </c>
      <c r="M198" s="18" t="str">
        <f aca="false">IFERROR(IF(OR($C198="",COUNT($F198:$J198)&lt;3),"",IF(N(INDEX(Lists!$C$2:$C$40,MATCH($C198,Lists!$A$2:$A$40,0)))=0,"",IF(MIN($F198:$J198)&gt;=INDEX(Lists!$C$2:$C$40,MATCH($C198,Lists!$A$2:$A$40,0)),"LEVEL UP",""))),"")</f>
        <v/>
      </c>
      <c r="N198" s="20"/>
      <c r="O198" s="19"/>
    </row>
    <row r="199" customFormat="false" ht="15" hidden="false" customHeight="false" outlineLevel="0" collapsed="false">
      <c r="A199" s="17"/>
      <c r="B199" s="18" t="str">
        <f aca="false">IF($A199="","",TEXT($A199,"ddd"))</f>
        <v/>
      </c>
      <c r="C199" s="19"/>
      <c r="D199" s="19"/>
      <c r="E199" s="18" t="str">
        <f aca="false">IF($C199="","",IFERROR(INDEX(Lists!$B$2:$B$40,MATCH($C199,Lists!$A$2:$A$40,0)),""))</f>
        <v/>
      </c>
      <c r="F199" s="20"/>
      <c r="G199" s="20"/>
      <c r="H199" s="20"/>
      <c r="I199" s="20"/>
      <c r="J199" s="20"/>
      <c r="K199" s="18" t="str">
        <f aca="false">IF(COUNT($F199:$J199)=0,"",SUM($F199:$J199))</f>
        <v/>
      </c>
      <c r="L199" s="18" t="str">
        <f aca="false">IF(COUNT($F199:$J199)=0,"",MAX($F199:$J199))</f>
        <v/>
      </c>
      <c r="M199" s="18" t="str">
        <f aca="false">IFERROR(IF(OR($C199="",COUNT($F199:$J199)&lt;3),"",IF(N(INDEX(Lists!$C$2:$C$40,MATCH($C199,Lists!$A$2:$A$40,0)))=0,"",IF(MIN($F199:$J199)&gt;=INDEX(Lists!$C$2:$C$40,MATCH($C199,Lists!$A$2:$A$40,0)),"LEVEL UP",""))),"")</f>
        <v/>
      </c>
      <c r="N199" s="20"/>
      <c r="O199" s="19"/>
    </row>
    <row r="200" customFormat="false" ht="15" hidden="false" customHeight="false" outlineLevel="0" collapsed="false">
      <c r="A200" s="17"/>
      <c r="B200" s="18" t="str">
        <f aca="false">IF($A200="","",TEXT($A200,"ddd"))</f>
        <v/>
      </c>
      <c r="C200" s="19"/>
      <c r="D200" s="19"/>
      <c r="E200" s="18" t="str">
        <f aca="false">IF($C200="","",IFERROR(INDEX(Lists!$B$2:$B$40,MATCH($C200,Lists!$A$2:$A$40,0)),""))</f>
        <v/>
      </c>
      <c r="F200" s="20"/>
      <c r="G200" s="20"/>
      <c r="H200" s="20"/>
      <c r="I200" s="20"/>
      <c r="J200" s="20"/>
      <c r="K200" s="18" t="str">
        <f aca="false">IF(COUNT($F200:$J200)=0,"",SUM($F200:$J200))</f>
        <v/>
      </c>
      <c r="L200" s="18" t="str">
        <f aca="false">IF(COUNT($F200:$J200)=0,"",MAX($F200:$J200))</f>
        <v/>
      </c>
      <c r="M200" s="18" t="str">
        <f aca="false">IFERROR(IF(OR($C200="",COUNT($F200:$J200)&lt;3),"",IF(N(INDEX(Lists!$C$2:$C$40,MATCH($C200,Lists!$A$2:$A$40,0)))=0,"",IF(MIN($F200:$J200)&gt;=INDEX(Lists!$C$2:$C$40,MATCH($C200,Lists!$A$2:$A$40,0)),"LEVEL UP",""))),"")</f>
        <v/>
      </c>
      <c r="N200" s="20"/>
      <c r="O200" s="19"/>
    </row>
    <row r="201" customFormat="false" ht="15" hidden="false" customHeight="false" outlineLevel="0" collapsed="false">
      <c r="A201" s="17"/>
      <c r="B201" s="18" t="str">
        <f aca="false">IF($A201="","",TEXT($A201,"ddd"))</f>
        <v/>
      </c>
      <c r="C201" s="19"/>
      <c r="D201" s="19"/>
      <c r="E201" s="18" t="str">
        <f aca="false">IF($C201="","",IFERROR(INDEX(Lists!$B$2:$B$40,MATCH($C201,Lists!$A$2:$A$40,0)),""))</f>
        <v/>
      </c>
      <c r="F201" s="20"/>
      <c r="G201" s="20"/>
      <c r="H201" s="20"/>
      <c r="I201" s="20"/>
      <c r="J201" s="20"/>
      <c r="K201" s="18" t="str">
        <f aca="false">IF(COUNT($F201:$J201)=0,"",SUM($F201:$J201))</f>
        <v/>
      </c>
      <c r="L201" s="18" t="str">
        <f aca="false">IF(COUNT($F201:$J201)=0,"",MAX($F201:$J201))</f>
        <v/>
      </c>
      <c r="M201" s="18" t="str">
        <f aca="false">IFERROR(IF(OR($C201="",COUNT($F201:$J201)&lt;3),"",IF(N(INDEX(Lists!$C$2:$C$40,MATCH($C201,Lists!$A$2:$A$40,0)))=0,"",IF(MIN($F201:$J201)&gt;=INDEX(Lists!$C$2:$C$40,MATCH($C201,Lists!$A$2:$A$40,0)),"LEVEL UP",""))),"")</f>
        <v/>
      </c>
      <c r="N201" s="20"/>
      <c r="O201" s="19"/>
    </row>
    <row r="202" customFormat="false" ht="15" hidden="false" customHeight="false" outlineLevel="0" collapsed="false">
      <c r="A202" s="17"/>
      <c r="B202" s="18" t="str">
        <f aca="false">IF($A202="","",TEXT($A202,"ddd"))</f>
        <v/>
      </c>
      <c r="C202" s="19"/>
      <c r="D202" s="19"/>
      <c r="E202" s="18" t="str">
        <f aca="false">IF($C202="","",IFERROR(INDEX(Lists!$B$2:$B$40,MATCH($C202,Lists!$A$2:$A$40,0)),""))</f>
        <v/>
      </c>
      <c r="F202" s="20"/>
      <c r="G202" s="20"/>
      <c r="H202" s="20"/>
      <c r="I202" s="20"/>
      <c r="J202" s="20"/>
      <c r="K202" s="18" t="str">
        <f aca="false">IF(COUNT($F202:$J202)=0,"",SUM($F202:$J202))</f>
        <v/>
      </c>
      <c r="L202" s="18" t="str">
        <f aca="false">IF(COUNT($F202:$J202)=0,"",MAX($F202:$J202))</f>
        <v/>
      </c>
      <c r="M202" s="18" t="str">
        <f aca="false">IFERROR(IF(OR($C202="",COUNT($F202:$J202)&lt;3),"",IF(N(INDEX(Lists!$C$2:$C$40,MATCH($C202,Lists!$A$2:$A$40,0)))=0,"",IF(MIN($F202:$J202)&gt;=INDEX(Lists!$C$2:$C$40,MATCH($C202,Lists!$A$2:$A$40,0)),"LEVEL UP",""))),"")</f>
        <v/>
      </c>
      <c r="N202" s="20"/>
      <c r="O202" s="19"/>
    </row>
    <row r="203" customFormat="false" ht="15" hidden="false" customHeight="false" outlineLevel="0" collapsed="false">
      <c r="A203" s="17"/>
      <c r="B203" s="18" t="str">
        <f aca="false">IF($A203="","",TEXT($A203,"ddd"))</f>
        <v/>
      </c>
      <c r="C203" s="19"/>
      <c r="D203" s="19"/>
      <c r="E203" s="18" t="str">
        <f aca="false">IF($C203="","",IFERROR(INDEX(Lists!$B$2:$B$40,MATCH($C203,Lists!$A$2:$A$40,0)),""))</f>
        <v/>
      </c>
      <c r="F203" s="20"/>
      <c r="G203" s="20"/>
      <c r="H203" s="20"/>
      <c r="I203" s="20"/>
      <c r="J203" s="20"/>
      <c r="K203" s="18" t="str">
        <f aca="false">IF(COUNT($F203:$J203)=0,"",SUM($F203:$J203))</f>
        <v/>
      </c>
      <c r="L203" s="18" t="str">
        <f aca="false">IF(COUNT($F203:$J203)=0,"",MAX($F203:$J203))</f>
        <v/>
      </c>
      <c r="M203" s="18" t="str">
        <f aca="false">IFERROR(IF(OR($C203="",COUNT($F203:$J203)&lt;3),"",IF(N(INDEX(Lists!$C$2:$C$40,MATCH($C203,Lists!$A$2:$A$40,0)))=0,"",IF(MIN($F203:$J203)&gt;=INDEX(Lists!$C$2:$C$40,MATCH($C203,Lists!$A$2:$A$40,0)),"LEVEL UP",""))),"")</f>
        <v/>
      </c>
      <c r="N203" s="20"/>
      <c r="O203" s="19"/>
    </row>
    <row r="204" customFormat="false" ht="15" hidden="false" customHeight="false" outlineLevel="0" collapsed="false">
      <c r="A204" s="17"/>
      <c r="B204" s="18" t="str">
        <f aca="false">IF($A204="","",TEXT($A204,"ddd"))</f>
        <v/>
      </c>
      <c r="C204" s="19"/>
      <c r="D204" s="19"/>
      <c r="E204" s="18" t="str">
        <f aca="false">IF($C204="","",IFERROR(INDEX(Lists!$B$2:$B$40,MATCH($C204,Lists!$A$2:$A$40,0)),""))</f>
        <v/>
      </c>
      <c r="F204" s="20"/>
      <c r="G204" s="20"/>
      <c r="H204" s="20"/>
      <c r="I204" s="20"/>
      <c r="J204" s="20"/>
      <c r="K204" s="18" t="str">
        <f aca="false">IF(COUNT($F204:$J204)=0,"",SUM($F204:$J204))</f>
        <v/>
      </c>
      <c r="L204" s="18" t="str">
        <f aca="false">IF(COUNT($F204:$J204)=0,"",MAX($F204:$J204))</f>
        <v/>
      </c>
      <c r="M204" s="18" t="str">
        <f aca="false">IFERROR(IF(OR($C204="",COUNT($F204:$J204)&lt;3),"",IF(N(INDEX(Lists!$C$2:$C$40,MATCH($C204,Lists!$A$2:$A$40,0)))=0,"",IF(MIN($F204:$J204)&gt;=INDEX(Lists!$C$2:$C$40,MATCH($C204,Lists!$A$2:$A$40,0)),"LEVEL UP",""))),"")</f>
        <v/>
      </c>
      <c r="N204" s="20"/>
      <c r="O204" s="19"/>
    </row>
    <row r="205" customFormat="false" ht="15" hidden="false" customHeight="false" outlineLevel="0" collapsed="false">
      <c r="A205" s="17"/>
      <c r="B205" s="18" t="str">
        <f aca="false">IF($A205="","",TEXT($A205,"ddd"))</f>
        <v/>
      </c>
      <c r="C205" s="19"/>
      <c r="D205" s="19"/>
      <c r="E205" s="18" t="str">
        <f aca="false">IF($C205="","",IFERROR(INDEX(Lists!$B$2:$B$40,MATCH($C205,Lists!$A$2:$A$40,0)),""))</f>
        <v/>
      </c>
      <c r="F205" s="20"/>
      <c r="G205" s="20"/>
      <c r="H205" s="20"/>
      <c r="I205" s="20"/>
      <c r="J205" s="20"/>
      <c r="K205" s="18" t="str">
        <f aca="false">IF(COUNT($F205:$J205)=0,"",SUM($F205:$J205))</f>
        <v/>
      </c>
      <c r="L205" s="18" t="str">
        <f aca="false">IF(COUNT($F205:$J205)=0,"",MAX($F205:$J205))</f>
        <v/>
      </c>
      <c r="M205" s="18" t="str">
        <f aca="false">IFERROR(IF(OR($C205="",COUNT($F205:$J205)&lt;3),"",IF(N(INDEX(Lists!$C$2:$C$40,MATCH($C205,Lists!$A$2:$A$40,0)))=0,"",IF(MIN($F205:$J205)&gt;=INDEX(Lists!$C$2:$C$40,MATCH($C205,Lists!$A$2:$A$40,0)),"LEVEL UP",""))),"")</f>
        <v/>
      </c>
      <c r="N205" s="20"/>
      <c r="O205" s="19"/>
    </row>
    <row r="206" customFormat="false" ht="15" hidden="false" customHeight="false" outlineLevel="0" collapsed="false">
      <c r="A206" s="17"/>
      <c r="B206" s="18" t="str">
        <f aca="false">IF($A206="","",TEXT($A206,"ddd"))</f>
        <v/>
      </c>
      <c r="C206" s="19"/>
      <c r="D206" s="19"/>
      <c r="E206" s="18" t="str">
        <f aca="false">IF($C206="","",IFERROR(INDEX(Lists!$B$2:$B$40,MATCH($C206,Lists!$A$2:$A$40,0)),""))</f>
        <v/>
      </c>
      <c r="F206" s="20"/>
      <c r="G206" s="20"/>
      <c r="H206" s="20"/>
      <c r="I206" s="20"/>
      <c r="J206" s="20"/>
      <c r="K206" s="18" t="str">
        <f aca="false">IF(COUNT($F206:$J206)=0,"",SUM($F206:$J206))</f>
        <v/>
      </c>
      <c r="L206" s="18" t="str">
        <f aca="false">IF(COUNT($F206:$J206)=0,"",MAX($F206:$J206))</f>
        <v/>
      </c>
      <c r="M206" s="18" t="str">
        <f aca="false">IFERROR(IF(OR($C206="",COUNT($F206:$J206)&lt;3),"",IF(N(INDEX(Lists!$C$2:$C$40,MATCH($C206,Lists!$A$2:$A$40,0)))=0,"",IF(MIN($F206:$J206)&gt;=INDEX(Lists!$C$2:$C$40,MATCH($C206,Lists!$A$2:$A$40,0)),"LEVEL UP",""))),"")</f>
        <v/>
      </c>
      <c r="N206" s="20"/>
      <c r="O206" s="19"/>
    </row>
    <row r="207" customFormat="false" ht="15" hidden="false" customHeight="false" outlineLevel="0" collapsed="false">
      <c r="A207" s="17"/>
      <c r="B207" s="18" t="str">
        <f aca="false">IF($A207="","",TEXT($A207,"ddd"))</f>
        <v/>
      </c>
      <c r="C207" s="19"/>
      <c r="D207" s="19"/>
      <c r="E207" s="18" t="str">
        <f aca="false">IF($C207="","",IFERROR(INDEX(Lists!$B$2:$B$40,MATCH($C207,Lists!$A$2:$A$40,0)),""))</f>
        <v/>
      </c>
      <c r="F207" s="20"/>
      <c r="G207" s="20"/>
      <c r="H207" s="20"/>
      <c r="I207" s="20"/>
      <c r="J207" s="20"/>
      <c r="K207" s="18" t="str">
        <f aca="false">IF(COUNT($F207:$J207)=0,"",SUM($F207:$J207))</f>
        <v/>
      </c>
      <c r="L207" s="18" t="str">
        <f aca="false">IF(COUNT($F207:$J207)=0,"",MAX($F207:$J207))</f>
        <v/>
      </c>
      <c r="M207" s="18" t="str">
        <f aca="false">IFERROR(IF(OR($C207="",COUNT($F207:$J207)&lt;3),"",IF(N(INDEX(Lists!$C$2:$C$40,MATCH($C207,Lists!$A$2:$A$40,0)))=0,"",IF(MIN($F207:$J207)&gt;=INDEX(Lists!$C$2:$C$40,MATCH($C207,Lists!$A$2:$A$40,0)),"LEVEL UP",""))),"")</f>
        <v/>
      </c>
      <c r="N207" s="20"/>
      <c r="O207" s="19"/>
    </row>
    <row r="208" customFormat="false" ht="15" hidden="false" customHeight="false" outlineLevel="0" collapsed="false">
      <c r="A208" s="17"/>
      <c r="B208" s="18" t="str">
        <f aca="false">IF($A208="","",TEXT($A208,"ddd"))</f>
        <v/>
      </c>
      <c r="C208" s="19"/>
      <c r="D208" s="19"/>
      <c r="E208" s="18" t="str">
        <f aca="false">IF($C208="","",IFERROR(INDEX(Lists!$B$2:$B$40,MATCH($C208,Lists!$A$2:$A$40,0)),""))</f>
        <v/>
      </c>
      <c r="F208" s="20"/>
      <c r="G208" s="20"/>
      <c r="H208" s="20"/>
      <c r="I208" s="20"/>
      <c r="J208" s="20"/>
      <c r="K208" s="18" t="str">
        <f aca="false">IF(COUNT($F208:$J208)=0,"",SUM($F208:$J208))</f>
        <v/>
      </c>
      <c r="L208" s="18" t="str">
        <f aca="false">IF(COUNT($F208:$J208)=0,"",MAX($F208:$J208))</f>
        <v/>
      </c>
      <c r="M208" s="18" t="str">
        <f aca="false">IFERROR(IF(OR($C208="",COUNT($F208:$J208)&lt;3),"",IF(N(INDEX(Lists!$C$2:$C$40,MATCH($C208,Lists!$A$2:$A$40,0)))=0,"",IF(MIN($F208:$J208)&gt;=INDEX(Lists!$C$2:$C$40,MATCH($C208,Lists!$A$2:$A$40,0)),"LEVEL UP",""))),"")</f>
        <v/>
      </c>
      <c r="N208" s="20"/>
      <c r="O208" s="19"/>
    </row>
    <row r="209" customFormat="false" ht="15" hidden="false" customHeight="false" outlineLevel="0" collapsed="false">
      <c r="A209" s="17"/>
      <c r="B209" s="18" t="str">
        <f aca="false">IF($A209="","",TEXT($A209,"ddd"))</f>
        <v/>
      </c>
      <c r="C209" s="19"/>
      <c r="D209" s="19"/>
      <c r="E209" s="18" t="str">
        <f aca="false">IF($C209="","",IFERROR(INDEX(Lists!$B$2:$B$40,MATCH($C209,Lists!$A$2:$A$40,0)),""))</f>
        <v/>
      </c>
      <c r="F209" s="20"/>
      <c r="G209" s="20"/>
      <c r="H209" s="20"/>
      <c r="I209" s="20"/>
      <c r="J209" s="20"/>
      <c r="K209" s="18" t="str">
        <f aca="false">IF(COUNT($F209:$J209)=0,"",SUM($F209:$J209))</f>
        <v/>
      </c>
      <c r="L209" s="18" t="str">
        <f aca="false">IF(COUNT($F209:$J209)=0,"",MAX($F209:$J209))</f>
        <v/>
      </c>
      <c r="M209" s="18" t="str">
        <f aca="false">IFERROR(IF(OR($C209="",COUNT($F209:$J209)&lt;3),"",IF(N(INDEX(Lists!$C$2:$C$40,MATCH($C209,Lists!$A$2:$A$40,0)))=0,"",IF(MIN($F209:$J209)&gt;=INDEX(Lists!$C$2:$C$40,MATCH($C209,Lists!$A$2:$A$40,0)),"LEVEL UP",""))),"")</f>
        <v/>
      </c>
      <c r="N209" s="20"/>
      <c r="O209" s="19"/>
    </row>
    <row r="210" customFormat="false" ht="15" hidden="false" customHeight="false" outlineLevel="0" collapsed="false">
      <c r="A210" s="17"/>
      <c r="B210" s="18" t="str">
        <f aca="false">IF($A210="","",TEXT($A210,"ddd"))</f>
        <v/>
      </c>
      <c r="C210" s="19"/>
      <c r="D210" s="19"/>
      <c r="E210" s="18" t="str">
        <f aca="false">IF($C210="","",IFERROR(INDEX(Lists!$B$2:$B$40,MATCH($C210,Lists!$A$2:$A$40,0)),""))</f>
        <v/>
      </c>
      <c r="F210" s="20"/>
      <c r="G210" s="20"/>
      <c r="H210" s="20"/>
      <c r="I210" s="20"/>
      <c r="J210" s="20"/>
      <c r="K210" s="18" t="str">
        <f aca="false">IF(COUNT($F210:$J210)=0,"",SUM($F210:$J210))</f>
        <v/>
      </c>
      <c r="L210" s="18" t="str">
        <f aca="false">IF(COUNT($F210:$J210)=0,"",MAX($F210:$J210))</f>
        <v/>
      </c>
      <c r="M210" s="18" t="str">
        <f aca="false">IFERROR(IF(OR($C210="",COUNT($F210:$J210)&lt;3),"",IF(N(INDEX(Lists!$C$2:$C$40,MATCH($C210,Lists!$A$2:$A$40,0)))=0,"",IF(MIN($F210:$J210)&gt;=INDEX(Lists!$C$2:$C$40,MATCH($C210,Lists!$A$2:$A$40,0)),"LEVEL UP",""))),"")</f>
        <v/>
      </c>
      <c r="N210" s="20"/>
      <c r="O210" s="19"/>
    </row>
    <row r="211" customFormat="false" ht="15" hidden="false" customHeight="false" outlineLevel="0" collapsed="false">
      <c r="A211" s="17"/>
      <c r="B211" s="18" t="str">
        <f aca="false">IF($A211="","",TEXT($A211,"ddd"))</f>
        <v/>
      </c>
      <c r="C211" s="19"/>
      <c r="D211" s="19"/>
      <c r="E211" s="18" t="str">
        <f aca="false">IF($C211="","",IFERROR(INDEX(Lists!$B$2:$B$40,MATCH($C211,Lists!$A$2:$A$40,0)),""))</f>
        <v/>
      </c>
      <c r="F211" s="20"/>
      <c r="G211" s="20"/>
      <c r="H211" s="20"/>
      <c r="I211" s="20"/>
      <c r="J211" s="20"/>
      <c r="K211" s="18" t="str">
        <f aca="false">IF(COUNT($F211:$J211)=0,"",SUM($F211:$J211))</f>
        <v/>
      </c>
      <c r="L211" s="18" t="str">
        <f aca="false">IF(COUNT($F211:$J211)=0,"",MAX($F211:$J211))</f>
        <v/>
      </c>
      <c r="M211" s="18" t="str">
        <f aca="false">IFERROR(IF(OR($C211="",COUNT($F211:$J211)&lt;3),"",IF(N(INDEX(Lists!$C$2:$C$40,MATCH($C211,Lists!$A$2:$A$40,0)))=0,"",IF(MIN($F211:$J211)&gt;=INDEX(Lists!$C$2:$C$40,MATCH($C211,Lists!$A$2:$A$40,0)),"LEVEL UP",""))),"")</f>
        <v/>
      </c>
      <c r="N211" s="20"/>
      <c r="O211" s="19"/>
    </row>
    <row r="212" customFormat="false" ht="15" hidden="false" customHeight="false" outlineLevel="0" collapsed="false">
      <c r="A212" s="17"/>
      <c r="B212" s="18" t="str">
        <f aca="false">IF($A212="","",TEXT($A212,"ddd"))</f>
        <v/>
      </c>
      <c r="C212" s="19"/>
      <c r="D212" s="19"/>
      <c r="E212" s="18" t="str">
        <f aca="false">IF($C212="","",IFERROR(INDEX(Lists!$B$2:$B$40,MATCH($C212,Lists!$A$2:$A$40,0)),""))</f>
        <v/>
      </c>
      <c r="F212" s="20"/>
      <c r="G212" s="20"/>
      <c r="H212" s="20"/>
      <c r="I212" s="20"/>
      <c r="J212" s="20"/>
      <c r="K212" s="18" t="str">
        <f aca="false">IF(COUNT($F212:$J212)=0,"",SUM($F212:$J212))</f>
        <v/>
      </c>
      <c r="L212" s="18" t="str">
        <f aca="false">IF(COUNT($F212:$J212)=0,"",MAX($F212:$J212))</f>
        <v/>
      </c>
      <c r="M212" s="18" t="str">
        <f aca="false">IFERROR(IF(OR($C212="",COUNT($F212:$J212)&lt;3),"",IF(N(INDEX(Lists!$C$2:$C$40,MATCH($C212,Lists!$A$2:$A$40,0)))=0,"",IF(MIN($F212:$J212)&gt;=INDEX(Lists!$C$2:$C$40,MATCH($C212,Lists!$A$2:$A$40,0)),"LEVEL UP",""))),"")</f>
        <v/>
      </c>
      <c r="N212" s="20"/>
      <c r="O212" s="19"/>
    </row>
    <row r="213" customFormat="false" ht="15" hidden="false" customHeight="false" outlineLevel="0" collapsed="false">
      <c r="A213" s="17"/>
      <c r="B213" s="18" t="str">
        <f aca="false">IF($A213="","",TEXT($A213,"ddd"))</f>
        <v/>
      </c>
      <c r="C213" s="19"/>
      <c r="D213" s="19"/>
      <c r="E213" s="18" t="str">
        <f aca="false">IF($C213="","",IFERROR(INDEX(Lists!$B$2:$B$40,MATCH($C213,Lists!$A$2:$A$40,0)),""))</f>
        <v/>
      </c>
      <c r="F213" s="20"/>
      <c r="G213" s="20"/>
      <c r="H213" s="20"/>
      <c r="I213" s="20"/>
      <c r="J213" s="20"/>
      <c r="K213" s="18" t="str">
        <f aca="false">IF(COUNT($F213:$J213)=0,"",SUM($F213:$J213))</f>
        <v/>
      </c>
      <c r="L213" s="18" t="str">
        <f aca="false">IF(COUNT($F213:$J213)=0,"",MAX($F213:$J213))</f>
        <v/>
      </c>
      <c r="M213" s="18" t="str">
        <f aca="false">IFERROR(IF(OR($C213="",COUNT($F213:$J213)&lt;3),"",IF(N(INDEX(Lists!$C$2:$C$40,MATCH($C213,Lists!$A$2:$A$40,0)))=0,"",IF(MIN($F213:$J213)&gt;=INDEX(Lists!$C$2:$C$40,MATCH($C213,Lists!$A$2:$A$40,0)),"LEVEL UP",""))),"")</f>
        <v/>
      </c>
      <c r="N213" s="20"/>
      <c r="O213" s="19"/>
    </row>
    <row r="214" customFormat="false" ht="15" hidden="false" customHeight="false" outlineLevel="0" collapsed="false">
      <c r="A214" s="17"/>
      <c r="B214" s="18" t="str">
        <f aca="false">IF($A214="","",TEXT($A214,"ddd"))</f>
        <v/>
      </c>
      <c r="C214" s="19"/>
      <c r="D214" s="19"/>
      <c r="E214" s="18" t="str">
        <f aca="false">IF($C214="","",IFERROR(INDEX(Lists!$B$2:$B$40,MATCH($C214,Lists!$A$2:$A$40,0)),""))</f>
        <v/>
      </c>
      <c r="F214" s="20"/>
      <c r="G214" s="20"/>
      <c r="H214" s="20"/>
      <c r="I214" s="20"/>
      <c r="J214" s="20"/>
      <c r="K214" s="18" t="str">
        <f aca="false">IF(COUNT($F214:$J214)=0,"",SUM($F214:$J214))</f>
        <v/>
      </c>
      <c r="L214" s="18" t="str">
        <f aca="false">IF(COUNT($F214:$J214)=0,"",MAX($F214:$J214))</f>
        <v/>
      </c>
      <c r="M214" s="18" t="str">
        <f aca="false">IFERROR(IF(OR($C214="",COUNT($F214:$J214)&lt;3),"",IF(N(INDEX(Lists!$C$2:$C$40,MATCH($C214,Lists!$A$2:$A$40,0)))=0,"",IF(MIN($F214:$J214)&gt;=INDEX(Lists!$C$2:$C$40,MATCH($C214,Lists!$A$2:$A$40,0)),"LEVEL UP",""))),"")</f>
        <v/>
      </c>
      <c r="N214" s="20"/>
      <c r="O214" s="19"/>
    </row>
    <row r="215" customFormat="false" ht="15" hidden="false" customHeight="false" outlineLevel="0" collapsed="false">
      <c r="A215" s="17"/>
      <c r="B215" s="18" t="str">
        <f aca="false">IF($A215="","",TEXT($A215,"ddd"))</f>
        <v/>
      </c>
      <c r="C215" s="19"/>
      <c r="D215" s="19"/>
      <c r="E215" s="18" t="str">
        <f aca="false">IF($C215="","",IFERROR(INDEX(Lists!$B$2:$B$40,MATCH($C215,Lists!$A$2:$A$40,0)),""))</f>
        <v/>
      </c>
      <c r="F215" s="20"/>
      <c r="G215" s="20"/>
      <c r="H215" s="20"/>
      <c r="I215" s="20"/>
      <c r="J215" s="20"/>
      <c r="K215" s="18" t="str">
        <f aca="false">IF(COUNT($F215:$J215)=0,"",SUM($F215:$J215))</f>
        <v/>
      </c>
      <c r="L215" s="18" t="str">
        <f aca="false">IF(COUNT($F215:$J215)=0,"",MAX($F215:$J215))</f>
        <v/>
      </c>
      <c r="M215" s="18" t="str">
        <f aca="false">IFERROR(IF(OR($C215="",COUNT($F215:$J215)&lt;3),"",IF(N(INDEX(Lists!$C$2:$C$40,MATCH($C215,Lists!$A$2:$A$40,0)))=0,"",IF(MIN($F215:$J215)&gt;=INDEX(Lists!$C$2:$C$40,MATCH($C215,Lists!$A$2:$A$40,0)),"LEVEL UP",""))),"")</f>
        <v/>
      </c>
      <c r="N215" s="20"/>
      <c r="O215" s="19"/>
    </row>
    <row r="216" customFormat="false" ht="15" hidden="false" customHeight="false" outlineLevel="0" collapsed="false">
      <c r="A216" s="17"/>
      <c r="B216" s="18" t="str">
        <f aca="false">IF($A216="","",TEXT($A216,"ddd"))</f>
        <v/>
      </c>
      <c r="C216" s="19"/>
      <c r="D216" s="19"/>
      <c r="E216" s="18" t="str">
        <f aca="false">IF($C216="","",IFERROR(INDEX(Lists!$B$2:$B$40,MATCH($C216,Lists!$A$2:$A$40,0)),""))</f>
        <v/>
      </c>
      <c r="F216" s="20"/>
      <c r="G216" s="20"/>
      <c r="H216" s="20"/>
      <c r="I216" s="20"/>
      <c r="J216" s="20"/>
      <c r="K216" s="18" t="str">
        <f aca="false">IF(COUNT($F216:$J216)=0,"",SUM($F216:$J216))</f>
        <v/>
      </c>
      <c r="L216" s="18" t="str">
        <f aca="false">IF(COUNT($F216:$J216)=0,"",MAX($F216:$J216))</f>
        <v/>
      </c>
      <c r="M216" s="18" t="str">
        <f aca="false">IFERROR(IF(OR($C216="",COUNT($F216:$J216)&lt;3),"",IF(N(INDEX(Lists!$C$2:$C$40,MATCH($C216,Lists!$A$2:$A$40,0)))=0,"",IF(MIN($F216:$J216)&gt;=INDEX(Lists!$C$2:$C$40,MATCH($C216,Lists!$A$2:$A$40,0)),"LEVEL UP",""))),"")</f>
        <v/>
      </c>
      <c r="N216" s="20"/>
      <c r="O216" s="19"/>
    </row>
    <row r="217" customFormat="false" ht="15" hidden="false" customHeight="false" outlineLevel="0" collapsed="false">
      <c r="A217" s="17"/>
      <c r="B217" s="18" t="str">
        <f aca="false">IF($A217="","",TEXT($A217,"ddd"))</f>
        <v/>
      </c>
      <c r="C217" s="19"/>
      <c r="D217" s="19"/>
      <c r="E217" s="18" t="str">
        <f aca="false">IF($C217="","",IFERROR(INDEX(Lists!$B$2:$B$40,MATCH($C217,Lists!$A$2:$A$40,0)),""))</f>
        <v/>
      </c>
      <c r="F217" s="20"/>
      <c r="G217" s="20"/>
      <c r="H217" s="20"/>
      <c r="I217" s="20"/>
      <c r="J217" s="20"/>
      <c r="K217" s="18" t="str">
        <f aca="false">IF(COUNT($F217:$J217)=0,"",SUM($F217:$J217))</f>
        <v/>
      </c>
      <c r="L217" s="18" t="str">
        <f aca="false">IF(COUNT($F217:$J217)=0,"",MAX($F217:$J217))</f>
        <v/>
      </c>
      <c r="M217" s="18" t="str">
        <f aca="false">IFERROR(IF(OR($C217="",COUNT($F217:$J217)&lt;3),"",IF(N(INDEX(Lists!$C$2:$C$40,MATCH($C217,Lists!$A$2:$A$40,0)))=0,"",IF(MIN($F217:$J217)&gt;=INDEX(Lists!$C$2:$C$40,MATCH($C217,Lists!$A$2:$A$40,0)),"LEVEL UP",""))),"")</f>
        <v/>
      </c>
      <c r="N217" s="20"/>
      <c r="O217" s="19"/>
    </row>
    <row r="218" customFormat="false" ht="15" hidden="false" customHeight="false" outlineLevel="0" collapsed="false">
      <c r="A218" s="17"/>
      <c r="B218" s="18" t="str">
        <f aca="false">IF($A218="","",TEXT($A218,"ddd"))</f>
        <v/>
      </c>
      <c r="C218" s="19"/>
      <c r="D218" s="19"/>
      <c r="E218" s="18" t="str">
        <f aca="false">IF($C218="","",IFERROR(INDEX(Lists!$B$2:$B$40,MATCH($C218,Lists!$A$2:$A$40,0)),""))</f>
        <v/>
      </c>
      <c r="F218" s="20"/>
      <c r="G218" s="20"/>
      <c r="H218" s="20"/>
      <c r="I218" s="20"/>
      <c r="J218" s="20"/>
      <c r="K218" s="18" t="str">
        <f aca="false">IF(COUNT($F218:$J218)=0,"",SUM($F218:$J218))</f>
        <v/>
      </c>
      <c r="L218" s="18" t="str">
        <f aca="false">IF(COUNT($F218:$J218)=0,"",MAX($F218:$J218))</f>
        <v/>
      </c>
      <c r="M218" s="18" t="str">
        <f aca="false">IFERROR(IF(OR($C218="",COUNT($F218:$J218)&lt;3),"",IF(N(INDEX(Lists!$C$2:$C$40,MATCH($C218,Lists!$A$2:$A$40,0)))=0,"",IF(MIN($F218:$J218)&gt;=INDEX(Lists!$C$2:$C$40,MATCH($C218,Lists!$A$2:$A$40,0)),"LEVEL UP",""))),"")</f>
        <v/>
      </c>
      <c r="N218" s="20"/>
      <c r="O218" s="19"/>
    </row>
    <row r="219" customFormat="false" ht="15" hidden="false" customHeight="false" outlineLevel="0" collapsed="false">
      <c r="A219" s="17"/>
      <c r="B219" s="18" t="str">
        <f aca="false">IF($A219="","",TEXT($A219,"ddd"))</f>
        <v/>
      </c>
      <c r="C219" s="19"/>
      <c r="D219" s="19"/>
      <c r="E219" s="18" t="str">
        <f aca="false">IF($C219="","",IFERROR(INDEX(Lists!$B$2:$B$40,MATCH($C219,Lists!$A$2:$A$40,0)),""))</f>
        <v/>
      </c>
      <c r="F219" s="20"/>
      <c r="G219" s="20"/>
      <c r="H219" s="20"/>
      <c r="I219" s="20"/>
      <c r="J219" s="20"/>
      <c r="K219" s="18" t="str">
        <f aca="false">IF(COUNT($F219:$J219)=0,"",SUM($F219:$J219))</f>
        <v/>
      </c>
      <c r="L219" s="18" t="str">
        <f aca="false">IF(COUNT($F219:$J219)=0,"",MAX($F219:$J219))</f>
        <v/>
      </c>
      <c r="M219" s="18" t="str">
        <f aca="false">IFERROR(IF(OR($C219="",COUNT($F219:$J219)&lt;3),"",IF(N(INDEX(Lists!$C$2:$C$40,MATCH($C219,Lists!$A$2:$A$40,0)))=0,"",IF(MIN($F219:$J219)&gt;=INDEX(Lists!$C$2:$C$40,MATCH($C219,Lists!$A$2:$A$40,0)),"LEVEL UP",""))),"")</f>
        <v/>
      </c>
      <c r="N219" s="20"/>
      <c r="O219" s="19"/>
    </row>
    <row r="220" customFormat="false" ht="15" hidden="false" customHeight="false" outlineLevel="0" collapsed="false">
      <c r="A220" s="17"/>
      <c r="B220" s="18" t="str">
        <f aca="false">IF($A220="","",TEXT($A220,"ddd"))</f>
        <v/>
      </c>
      <c r="C220" s="19"/>
      <c r="D220" s="19"/>
      <c r="E220" s="18" t="str">
        <f aca="false">IF($C220="","",IFERROR(INDEX(Lists!$B$2:$B$40,MATCH($C220,Lists!$A$2:$A$40,0)),""))</f>
        <v/>
      </c>
      <c r="F220" s="20"/>
      <c r="G220" s="20"/>
      <c r="H220" s="20"/>
      <c r="I220" s="20"/>
      <c r="J220" s="20"/>
      <c r="K220" s="18" t="str">
        <f aca="false">IF(COUNT($F220:$J220)=0,"",SUM($F220:$J220))</f>
        <v/>
      </c>
      <c r="L220" s="18" t="str">
        <f aca="false">IF(COUNT($F220:$J220)=0,"",MAX($F220:$J220))</f>
        <v/>
      </c>
      <c r="M220" s="18" t="str">
        <f aca="false">IFERROR(IF(OR($C220="",COUNT($F220:$J220)&lt;3),"",IF(N(INDEX(Lists!$C$2:$C$40,MATCH($C220,Lists!$A$2:$A$40,0)))=0,"",IF(MIN($F220:$J220)&gt;=INDEX(Lists!$C$2:$C$40,MATCH($C220,Lists!$A$2:$A$40,0)),"LEVEL UP",""))),"")</f>
        <v/>
      </c>
      <c r="N220" s="20"/>
      <c r="O220" s="19"/>
    </row>
    <row r="221" customFormat="false" ht="15" hidden="false" customHeight="false" outlineLevel="0" collapsed="false">
      <c r="A221" s="17"/>
      <c r="B221" s="18" t="str">
        <f aca="false">IF($A221="","",TEXT($A221,"ddd"))</f>
        <v/>
      </c>
      <c r="C221" s="19"/>
      <c r="D221" s="19"/>
      <c r="E221" s="18" t="str">
        <f aca="false">IF($C221="","",IFERROR(INDEX(Lists!$B$2:$B$40,MATCH($C221,Lists!$A$2:$A$40,0)),""))</f>
        <v/>
      </c>
      <c r="F221" s="20"/>
      <c r="G221" s="20"/>
      <c r="H221" s="20"/>
      <c r="I221" s="20"/>
      <c r="J221" s="20"/>
      <c r="K221" s="18" t="str">
        <f aca="false">IF(COUNT($F221:$J221)=0,"",SUM($F221:$J221))</f>
        <v/>
      </c>
      <c r="L221" s="18" t="str">
        <f aca="false">IF(COUNT($F221:$J221)=0,"",MAX($F221:$J221))</f>
        <v/>
      </c>
      <c r="M221" s="18" t="str">
        <f aca="false">IFERROR(IF(OR($C221="",COUNT($F221:$J221)&lt;3),"",IF(N(INDEX(Lists!$C$2:$C$40,MATCH($C221,Lists!$A$2:$A$40,0)))=0,"",IF(MIN($F221:$J221)&gt;=INDEX(Lists!$C$2:$C$40,MATCH($C221,Lists!$A$2:$A$40,0)),"LEVEL UP",""))),"")</f>
        <v/>
      </c>
      <c r="N221" s="20"/>
      <c r="O221" s="19"/>
    </row>
    <row r="222" customFormat="false" ht="15" hidden="false" customHeight="false" outlineLevel="0" collapsed="false">
      <c r="A222" s="17"/>
      <c r="B222" s="18" t="str">
        <f aca="false">IF($A222="","",TEXT($A222,"ddd"))</f>
        <v/>
      </c>
      <c r="C222" s="19"/>
      <c r="D222" s="19"/>
      <c r="E222" s="18" t="str">
        <f aca="false">IF($C222="","",IFERROR(INDEX(Lists!$B$2:$B$40,MATCH($C222,Lists!$A$2:$A$40,0)),""))</f>
        <v/>
      </c>
      <c r="F222" s="20"/>
      <c r="G222" s="20"/>
      <c r="H222" s="20"/>
      <c r="I222" s="20"/>
      <c r="J222" s="20"/>
      <c r="K222" s="18" t="str">
        <f aca="false">IF(COUNT($F222:$J222)=0,"",SUM($F222:$J222))</f>
        <v/>
      </c>
      <c r="L222" s="18" t="str">
        <f aca="false">IF(COUNT($F222:$J222)=0,"",MAX($F222:$J222))</f>
        <v/>
      </c>
      <c r="M222" s="18" t="str">
        <f aca="false">IFERROR(IF(OR($C222="",COUNT($F222:$J222)&lt;3),"",IF(N(INDEX(Lists!$C$2:$C$40,MATCH($C222,Lists!$A$2:$A$40,0)))=0,"",IF(MIN($F222:$J222)&gt;=INDEX(Lists!$C$2:$C$40,MATCH($C222,Lists!$A$2:$A$40,0)),"LEVEL UP",""))),"")</f>
        <v/>
      </c>
      <c r="N222" s="20"/>
      <c r="O222" s="19"/>
    </row>
    <row r="223" customFormat="false" ht="15" hidden="false" customHeight="false" outlineLevel="0" collapsed="false">
      <c r="A223" s="17"/>
      <c r="B223" s="18" t="str">
        <f aca="false">IF($A223="","",TEXT($A223,"ddd"))</f>
        <v/>
      </c>
      <c r="C223" s="19"/>
      <c r="D223" s="19"/>
      <c r="E223" s="18" t="str">
        <f aca="false">IF($C223="","",IFERROR(INDEX(Lists!$B$2:$B$40,MATCH($C223,Lists!$A$2:$A$40,0)),""))</f>
        <v/>
      </c>
      <c r="F223" s="20"/>
      <c r="G223" s="20"/>
      <c r="H223" s="20"/>
      <c r="I223" s="20"/>
      <c r="J223" s="20"/>
      <c r="K223" s="18" t="str">
        <f aca="false">IF(COUNT($F223:$J223)=0,"",SUM($F223:$J223))</f>
        <v/>
      </c>
      <c r="L223" s="18" t="str">
        <f aca="false">IF(COUNT($F223:$J223)=0,"",MAX($F223:$J223))</f>
        <v/>
      </c>
      <c r="M223" s="18" t="str">
        <f aca="false">IFERROR(IF(OR($C223="",COUNT($F223:$J223)&lt;3),"",IF(N(INDEX(Lists!$C$2:$C$40,MATCH($C223,Lists!$A$2:$A$40,0)))=0,"",IF(MIN($F223:$J223)&gt;=INDEX(Lists!$C$2:$C$40,MATCH($C223,Lists!$A$2:$A$40,0)),"LEVEL UP",""))),"")</f>
        <v/>
      </c>
      <c r="N223" s="20"/>
      <c r="O223" s="19"/>
    </row>
    <row r="224" customFormat="false" ht="15" hidden="false" customHeight="false" outlineLevel="0" collapsed="false">
      <c r="A224" s="17"/>
      <c r="B224" s="18" t="str">
        <f aca="false">IF($A224="","",TEXT($A224,"ddd"))</f>
        <v/>
      </c>
      <c r="C224" s="19"/>
      <c r="D224" s="19"/>
      <c r="E224" s="18" t="str">
        <f aca="false">IF($C224="","",IFERROR(INDEX(Lists!$B$2:$B$40,MATCH($C224,Lists!$A$2:$A$40,0)),""))</f>
        <v/>
      </c>
      <c r="F224" s="20"/>
      <c r="G224" s="20"/>
      <c r="H224" s="20"/>
      <c r="I224" s="20"/>
      <c r="J224" s="20"/>
      <c r="K224" s="18" t="str">
        <f aca="false">IF(COUNT($F224:$J224)=0,"",SUM($F224:$J224))</f>
        <v/>
      </c>
      <c r="L224" s="18" t="str">
        <f aca="false">IF(COUNT($F224:$J224)=0,"",MAX($F224:$J224))</f>
        <v/>
      </c>
      <c r="M224" s="18" t="str">
        <f aca="false">IFERROR(IF(OR($C224="",COUNT($F224:$J224)&lt;3),"",IF(N(INDEX(Lists!$C$2:$C$40,MATCH($C224,Lists!$A$2:$A$40,0)))=0,"",IF(MIN($F224:$J224)&gt;=INDEX(Lists!$C$2:$C$40,MATCH($C224,Lists!$A$2:$A$40,0)),"LEVEL UP",""))),"")</f>
        <v/>
      </c>
      <c r="N224" s="20"/>
      <c r="O224" s="19"/>
    </row>
    <row r="225" customFormat="false" ht="15" hidden="false" customHeight="false" outlineLevel="0" collapsed="false">
      <c r="A225" s="17"/>
      <c r="B225" s="18" t="str">
        <f aca="false">IF($A225="","",TEXT($A225,"ddd"))</f>
        <v/>
      </c>
      <c r="C225" s="19"/>
      <c r="D225" s="19"/>
      <c r="E225" s="18" t="str">
        <f aca="false">IF($C225="","",IFERROR(INDEX(Lists!$B$2:$B$40,MATCH($C225,Lists!$A$2:$A$40,0)),""))</f>
        <v/>
      </c>
      <c r="F225" s="20"/>
      <c r="G225" s="20"/>
      <c r="H225" s="20"/>
      <c r="I225" s="20"/>
      <c r="J225" s="20"/>
      <c r="K225" s="18" t="str">
        <f aca="false">IF(COUNT($F225:$J225)=0,"",SUM($F225:$J225))</f>
        <v/>
      </c>
      <c r="L225" s="18" t="str">
        <f aca="false">IF(COUNT($F225:$J225)=0,"",MAX($F225:$J225))</f>
        <v/>
      </c>
      <c r="M225" s="18" t="str">
        <f aca="false">IFERROR(IF(OR($C225="",COUNT($F225:$J225)&lt;3),"",IF(N(INDEX(Lists!$C$2:$C$40,MATCH($C225,Lists!$A$2:$A$40,0)))=0,"",IF(MIN($F225:$J225)&gt;=INDEX(Lists!$C$2:$C$40,MATCH($C225,Lists!$A$2:$A$40,0)),"LEVEL UP",""))),"")</f>
        <v/>
      </c>
      <c r="N225" s="20"/>
      <c r="O225" s="19"/>
    </row>
    <row r="226" customFormat="false" ht="15" hidden="false" customHeight="false" outlineLevel="0" collapsed="false">
      <c r="A226" s="17"/>
      <c r="B226" s="18" t="str">
        <f aca="false">IF($A226="","",TEXT($A226,"ddd"))</f>
        <v/>
      </c>
      <c r="C226" s="19"/>
      <c r="D226" s="19"/>
      <c r="E226" s="18" t="str">
        <f aca="false">IF($C226="","",IFERROR(INDEX(Lists!$B$2:$B$40,MATCH($C226,Lists!$A$2:$A$40,0)),""))</f>
        <v/>
      </c>
      <c r="F226" s="20"/>
      <c r="G226" s="20"/>
      <c r="H226" s="20"/>
      <c r="I226" s="20"/>
      <c r="J226" s="20"/>
      <c r="K226" s="18" t="str">
        <f aca="false">IF(COUNT($F226:$J226)=0,"",SUM($F226:$J226))</f>
        <v/>
      </c>
      <c r="L226" s="18" t="str">
        <f aca="false">IF(COUNT($F226:$J226)=0,"",MAX($F226:$J226))</f>
        <v/>
      </c>
      <c r="M226" s="18" t="str">
        <f aca="false">IFERROR(IF(OR($C226="",COUNT($F226:$J226)&lt;3),"",IF(N(INDEX(Lists!$C$2:$C$40,MATCH($C226,Lists!$A$2:$A$40,0)))=0,"",IF(MIN($F226:$J226)&gt;=INDEX(Lists!$C$2:$C$40,MATCH($C226,Lists!$A$2:$A$40,0)),"LEVEL UP",""))),"")</f>
        <v/>
      </c>
      <c r="N226" s="20"/>
      <c r="O226" s="19"/>
    </row>
    <row r="227" customFormat="false" ht="15" hidden="false" customHeight="false" outlineLevel="0" collapsed="false">
      <c r="A227" s="17"/>
      <c r="B227" s="18" t="str">
        <f aca="false">IF($A227="","",TEXT($A227,"ddd"))</f>
        <v/>
      </c>
      <c r="C227" s="19"/>
      <c r="D227" s="19"/>
      <c r="E227" s="18" t="str">
        <f aca="false">IF($C227="","",IFERROR(INDEX(Lists!$B$2:$B$40,MATCH($C227,Lists!$A$2:$A$40,0)),""))</f>
        <v/>
      </c>
      <c r="F227" s="20"/>
      <c r="G227" s="20"/>
      <c r="H227" s="20"/>
      <c r="I227" s="20"/>
      <c r="J227" s="20"/>
      <c r="K227" s="18" t="str">
        <f aca="false">IF(COUNT($F227:$J227)=0,"",SUM($F227:$J227))</f>
        <v/>
      </c>
      <c r="L227" s="18" t="str">
        <f aca="false">IF(COUNT($F227:$J227)=0,"",MAX($F227:$J227))</f>
        <v/>
      </c>
      <c r="M227" s="18" t="str">
        <f aca="false">IFERROR(IF(OR($C227="",COUNT($F227:$J227)&lt;3),"",IF(N(INDEX(Lists!$C$2:$C$40,MATCH($C227,Lists!$A$2:$A$40,0)))=0,"",IF(MIN($F227:$J227)&gt;=INDEX(Lists!$C$2:$C$40,MATCH($C227,Lists!$A$2:$A$40,0)),"LEVEL UP",""))),"")</f>
        <v/>
      </c>
      <c r="N227" s="20"/>
      <c r="O227" s="19"/>
    </row>
    <row r="228" customFormat="false" ht="15" hidden="false" customHeight="false" outlineLevel="0" collapsed="false">
      <c r="A228" s="17"/>
      <c r="B228" s="18" t="str">
        <f aca="false">IF($A228="","",TEXT($A228,"ddd"))</f>
        <v/>
      </c>
      <c r="C228" s="19"/>
      <c r="D228" s="19"/>
      <c r="E228" s="18" t="str">
        <f aca="false">IF($C228="","",IFERROR(INDEX(Lists!$B$2:$B$40,MATCH($C228,Lists!$A$2:$A$40,0)),""))</f>
        <v/>
      </c>
      <c r="F228" s="20"/>
      <c r="G228" s="20"/>
      <c r="H228" s="20"/>
      <c r="I228" s="20"/>
      <c r="J228" s="20"/>
      <c r="K228" s="18" t="str">
        <f aca="false">IF(COUNT($F228:$J228)=0,"",SUM($F228:$J228))</f>
        <v/>
      </c>
      <c r="L228" s="18" t="str">
        <f aca="false">IF(COUNT($F228:$J228)=0,"",MAX($F228:$J228))</f>
        <v/>
      </c>
      <c r="M228" s="18" t="str">
        <f aca="false">IFERROR(IF(OR($C228="",COUNT($F228:$J228)&lt;3),"",IF(N(INDEX(Lists!$C$2:$C$40,MATCH($C228,Lists!$A$2:$A$40,0)))=0,"",IF(MIN($F228:$J228)&gt;=INDEX(Lists!$C$2:$C$40,MATCH($C228,Lists!$A$2:$A$40,0)),"LEVEL UP",""))),"")</f>
        <v/>
      </c>
      <c r="N228" s="20"/>
      <c r="O228" s="19"/>
    </row>
    <row r="229" customFormat="false" ht="15" hidden="false" customHeight="false" outlineLevel="0" collapsed="false">
      <c r="A229" s="17"/>
      <c r="B229" s="18" t="str">
        <f aca="false">IF($A229="","",TEXT($A229,"ddd"))</f>
        <v/>
      </c>
      <c r="C229" s="19"/>
      <c r="D229" s="19"/>
      <c r="E229" s="18" t="str">
        <f aca="false">IF($C229="","",IFERROR(INDEX(Lists!$B$2:$B$40,MATCH($C229,Lists!$A$2:$A$40,0)),""))</f>
        <v/>
      </c>
      <c r="F229" s="20"/>
      <c r="G229" s="20"/>
      <c r="H229" s="20"/>
      <c r="I229" s="20"/>
      <c r="J229" s="20"/>
      <c r="K229" s="18" t="str">
        <f aca="false">IF(COUNT($F229:$J229)=0,"",SUM($F229:$J229))</f>
        <v/>
      </c>
      <c r="L229" s="18" t="str">
        <f aca="false">IF(COUNT($F229:$J229)=0,"",MAX($F229:$J229))</f>
        <v/>
      </c>
      <c r="M229" s="18" t="str">
        <f aca="false">IFERROR(IF(OR($C229="",COUNT($F229:$J229)&lt;3),"",IF(N(INDEX(Lists!$C$2:$C$40,MATCH($C229,Lists!$A$2:$A$40,0)))=0,"",IF(MIN($F229:$J229)&gt;=INDEX(Lists!$C$2:$C$40,MATCH($C229,Lists!$A$2:$A$40,0)),"LEVEL UP",""))),"")</f>
        <v/>
      </c>
      <c r="N229" s="20"/>
      <c r="O229" s="19"/>
    </row>
    <row r="230" customFormat="false" ht="15" hidden="false" customHeight="false" outlineLevel="0" collapsed="false">
      <c r="A230" s="17"/>
      <c r="B230" s="18" t="str">
        <f aca="false">IF($A230="","",TEXT($A230,"ddd"))</f>
        <v/>
      </c>
      <c r="C230" s="19"/>
      <c r="D230" s="19"/>
      <c r="E230" s="18" t="str">
        <f aca="false">IF($C230="","",IFERROR(INDEX(Lists!$B$2:$B$40,MATCH($C230,Lists!$A$2:$A$40,0)),""))</f>
        <v/>
      </c>
      <c r="F230" s="20"/>
      <c r="G230" s="20"/>
      <c r="H230" s="20"/>
      <c r="I230" s="20"/>
      <c r="J230" s="20"/>
      <c r="K230" s="18" t="str">
        <f aca="false">IF(COUNT($F230:$J230)=0,"",SUM($F230:$J230))</f>
        <v/>
      </c>
      <c r="L230" s="18" t="str">
        <f aca="false">IF(COUNT($F230:$J230)=0,"",MAX($F230:$J230))</f>
        <v/>
      </c>
      <c r="M230" s="18" t="str">
        <f aca="false">IFERROR(IF(OR($C230="",COUNT($F230:$J230)&lt;3),"",IF(N(INDEX(Lists!$C$2:$C$40,MATCH($C230,Lists!$A$2:$A$40,0)))=0,"",IF(MIN($F230:$J230)&gt;=INDEX(Lists!$C$2:$C$40,MATCH($C230,Lists!$A$2:$A$40,0)),"LEVEL UP",""))),"")</f>
        <v/>
      </c>
      <c r="N230" s="20"/>
      <c r="O230" s="19"/>
    </row>
    <row r="231" customFormat="false" ht="15" hidden="false" customHeight="false" outlineLevel="0" collapsed="false">
      <c r="A231" s="17"/>
      <c r="B231" s="18" t="str">
        <f aca="false">IF($A231="","",TEXT($A231,"ddd"))</f>
        <v/>
      </c>
      <c r="C231" s="19"/>
      <c r="D231" s="19"/>
      <c r="E231" s="18" t="str">
        <f aca="false">IF($C231="","",IFERROR(INDEX(Lists!$B$2:$B$40,MATCH($C231,Lists!$A$2:$A$40,0)),""))</f>
        <v/>
      </c>
      <c r="F231" s="20"/>
      <c r="G231" s="20"/>
      <c r="H231" s="20"/>
      <c r="I231" s="20"/>
      <c r="J231" s="20"/>
      <c r="K231" s="18" t="str">
        <f aca="false">IF(COUNT($F231:$J231)=0,"",SUM($F231:$J231))</f>
        <v/>
      </c>
      <c r="L231" s="18" t="str">
        <f aca="false">IF(COUNT($F231:$J231)=0,"",MAX($F231:$J231))</f>
        <v/>
      </c>
      <c r="M231" s="18" t="str">
        <f aca="false">IFERROR(IF(OR($C231="",COUNT($F231:$J231)&lt;3),"",IF(N(INDEX(Lists!$C$2:$C$40,MATCH($C231,Lists!$A$2:$A$40,0)))=0,"",IF(MIN($F231:$J231)&gt;=INDEX(Lists!$C$2:$C$40,MATCH($C231,Lists!$A$2:$A$40,0)),"LEVEL UP",""))),"")</f>
        <v/>
      </c>
      <c r="N231" s="20"/>
      <c r="O231" s="19"/>
    </row>
    <row r="232" customFormat="false" ht="15" hidden="false" customHeight="false" outlineLevel="0" collapsed="false">
      <c r="A232" s="17"/>
      <c r="B232" s="18" t="str">
        <f aca="false">IF($A232="","",TEXT($A232,"ddd"))</f>
        <v/>
      </c>
      <c r="C232" s="19"/>
      <c r="D232" s="19"/>
      <c r="E232" s="18" t="str">
        <f aca="false">IF($C232="","",IFERROR(INDEX(Lists!$B$2:$B$40,MATCH($C232,Lists!$A$2:$A$40,0)),""))</f>
        <v/>
      </c>
      <c r="F232" s="20"/>
      <c r="G232" s="20"/>
      <c r="H232" s="20"/>
      <c r="I232" s="20"/>
      <c r="J232" s="20"/>
      <c r="K232" s="18" t="str">
        <f aca="false">IF(COUNT($F232:$J232)=0,"",SUM($F232:$J232))</f>
        <v/>
      </c>
      <c r="L232" s="18" t="str">
        <f aca="false">IF(COUNT($F232:$J232)=0,"",MAX($F232:$J232))</f>
        <v/>
      </c>
      <c r="M232" s="18" t="str">
        <f aca="false">IFERROR(IF(OR($C232="",COUNT($F232:$J232)&lt;3),"",IF(N(INDEX(Lists!$C$2:$C$40,MATCH($C232,Lists!$A$2:$A$40,0)))=0,"",IF(MIN($F232:$J232)&gt;=INDEX(Lists!$C$2:$C$40,MATCH($C232,Lists!$A$2:$A$40,0)),"LEVEL UP",""))),"")</f>
        <v/>
      </c>
      <c r="N232" s="20"/>
      <c r="O232" s="19"/>
    </row>
    <row r="233" customFormat="false" ht="15" hidden="false" customHeight="false" outlineLevel="0" collapsed="false">
      <c r="A233" s="17"/>
      <c r="B233" s="18" t="str">
        <f aca="false">IF($A233="","",TEXT($A233,"ddd"))</f>
        <v/>
      </c>
      <c r="C233" s="19"/>
      <c r="D233" s="19"/>
      <c r="E233" s="18" t="str">
        <f aca="false">IF($C233="","",IFERROR(INDEX(Lists!$B$2:$B$40,MATCH($C233,Lists!$A$2:$A$40,0)),""))</f>
        <v/>
      </c>
      <c r="F233" s="20"/>
      <c r="G233" s="20"/>
      <c r="H233" s="20"/>
      <c r="I233" s="20"/>
      <c r="J233" s="20"/>
      <c r="K233" s="18" t="str">
        <f aca="false">IF(COUNT($F233:$J233)=0,"",SUM($F233:$J233))</f>
        <v/>
      </c>
      <c r="L233" s="18" t="str">
        <f aca="false">IF(COUNT($F233:$J233)=0,"",MAX($F233:$J233))</f>
        <v/>
      </c>
      <c r="M233" s="18" t="str">
        <f aca="false">IFERROR(IF(OR($C233="",COUNT($F233:$J233)&lt;3),"",IF(N(INDEX(Lists!$C$2:$C$40,MATCH($C233,Lists!$A$2:$A$40,0)))=0,"",IF(MIN($F233:$J233)&gt;=INDEX(Lists!$C$2:$C$40,MATCH($C233,Lists!$A$2:$A$40,0)),"LEVEL UP",""))),"")</f>
        <v/>
      </c>
      <c r="N233" s="20"/>
      <c r="O233" s="19"/>
    </row>
    <row r="234" customFormat="false" ht="15" hidden="false" customHeight="false" outlineLevel="0" collapsed="false">
      <c r="A234" s="17"/>
      <c r="B234" s="18" t="str">
        <f aca="false">IF($A234="","",TEXT($A234,"ddd"))</f>
        <v/>
      </c>
      <c r="C234" s="19"/>
      <c r="D234" s="19"/>
      <c r="E234" s="18" t="str">
        <f aca="false">IF($C234="","",IFERROR(INDEX(Lists!$B$2:$B$40,MATCH($C234,Lists!$A$2:$A$40,0)),""))</f>
        <v/>
      </c>
      <c r="F234" s="20"/>
      <c r="G234" s="20"/>
      <c r="H234" s="20"/>
      <c r="I234" s="20"/>
      <c r="J234" s="20"/>
      <c r="K234" s="18" t="str">
        <f aca="false">IF(COUNT($F234:$J234)=0,"",SUM($F234:$J234))</f>
        <v/>
      </c>
      <c r="L234" s="18" t="str">
        <f aca="false">IF(COUNT($F234:$J234)=0,"",MAX($F234:$J234))</f>
        <v/>
      </c>
      <c r="M234" s="18" t="str">
        <f aca="false">IFERROR(IF(OR($C234="",COUNT($F234:$J234)&lt;3),"",IF(N(INDEX(Lists!$C$2:$C$40,MATCH($C234,Lists!$A$2:$A$40,0)))=0,"",IF(MIN($F234:$J234)&gt;=INDEX(Lists!$C$2:$C$40,MATCH($C234,Lists!$A$2:$A$40,0)),"LEVEL UP",""))),"")</f>
        <v/>
      </c>
      <c r="N234" s="20"/>
      <c r="O234" s="19"/>
    </row>
    <row r="235" customFormat="false" ht="15" hidden="false" customHeight="false" outlineLevel="0" collapsed="false">
      <c r="A235" s="17"/>
      <c r="B235" s="18" t="str">
        <f aca="false">IF($A235="","",TEXT($A235,"ddd"))</f>
        <v/>
      </c>
      <c r="C235" s="19"/>
      <c r="D235" s="19"/>
      <c r="E235" s="18" t="str">
        <f aca="false">IF($C235="","",IFERROR(INDEX(Lists!$B$2:$B$40,MATCH($C235,Lists!$A$2:$A$40,0)),""))</f>
        <v/>
      </c>
      <c r="F235" s="20"/>
      <c r="G235" s="20"/>
      <c r="H235" s="20"/>
      <c r="I235" s="20"/>
      <c r="J235" s="20"/>
      <c r="K235" s="18" t="str">
        <f aca="false">IF(COUNT($F235:$J235)=0,"",SUM($F235:$J235))</f>
        <v/>
      </c>
      <c r="L235" s="18" t="str">
        <f aca="false">IF(COUNT($F235:$J235)=0,"",MAX($F235:$J235))</f>
        <v/>
      </c>
      <c r="M235" s="18" t="str">
        <f aca="false">IFERROR(IF(OR($C235="",COUNT($F235:$J235)&lt;3),"",IF(N(INDEX(Lists!$C$2:$C$40,MATCH($C235,Lists!$A$2:$A$40,0)))=0,"",IF(MIN($F235:$J235)&gt;=INDEX(Lists!$C$2:$C$40,MATCH($C235,Lists!$A$2:$A$40,0)),"LEVEL UP",""))),"")</f>
        <v/>
      </c>
      <c r="N235" s="20"/>
      <c r="O235" s="19"/>
    </row>
    <row r="236" customFormat="false" ht="15" hidden="false" customHeight="false" outlineLevel="0" collapsed="false">
      <c r="A236" s="17"/>
      <c r="B236" s="18" t="str">
        <f aca="false">IF($A236="","",TEXT($A236,"ddd"))</f>
        <v/>
      </c>
      <c r="C236" s="19"/>
      <c r="D236" s="19"/>
      <c r="E236" s="18" t="str">
        <f aca="false">IF($C236="","",IFERROR(INDEX(Lists!$B$2:$B$40,MATCH($C236,Lists!$A$2:$A$40,0)),""))</f>
        <v/>
      </c>
      <c r="F236" s="20"/>
      <c r="G236" s="20"/>
      <c r="H236" s="20"/>
      <c r="I236" s="20"/>
      <c r="J236" s="20"/>
      <c r="K236" s="18" t="str">
        <f aca="false">IF(COUNT($F236:$J236)=0,"",SUM($F236:$J236))</f>
        <v/>
      </c>
      <c r="L236" s="18" t="str">
        <f aca="false">IF(COUNT($F236:$J236)=0,"",MAX($F236:$J236))</f>
        <v/>
      </c>
      <c r="M236" s="18" t="str">
        <f aca="false">IFERROR(IF(OR($C236="",COUNT($F236:$J236)&lt;3),"",IF(N(INDEX(Lists!$C$2:$C$40,MATCH($C236,Lists!$A$2:$A$40,0)))=0,"",IF(MIN($F236:$J236)&gt;=INDEX(Lists!$C$2:$C$40,MATCH($C236,Lists!$A$2:$A$40,0)),"LEVEL UP",""))),"")</f>
        <v/>
      </c>
      <c r="N236" s="20"/>
      <c r="O236" s="19"/>
    </row>
    <row r="237" customFormat="false" ht="15" hidden="false" customHeight="false" outlineLevel="0" collapsed="false">
      <c r="A237" s="17"/>
      <c r="B237" s="18" t="str">
        <f aca="false">IF($A237="","",TEXT($A237,"ddd"))</f>
        <v/>
      </c>
      <c r="C237" s="19"/>
      <c r="D237" s="19"/>
      <c r="E237" s="18" t="str">
        <f aca="false">IF($C237="","",IFERROR(INDEX(Lists!$B$2:$B$40,MATCH($C237,Lists!$A$2:$A$40,0)),""))</f>
        <v/>
      </c>
      <c r="F237" s="20"/>
      <c r="G237" s="20"/>
      <c r="H237" s="20"/>
      <c r="I237" s="20"/>
      <c r="J237" s="20"/>
      <c r="K237" s="18" t="str">
        <f aca="false">IF(COUNT($F237:$J237)=0,"",SUM($F237:$J237))</f>
        <v/>
      </c>
      <c r="L237" s="18" t="str">
        <f aca="false">IF(COUNT($F237:$J237)=0,"",MAX($F237:$J237))</f>
        <v/>
      </c>
      <c r="M237" s="18" t="str">
        <f aca="false">IFERROR(IF(OR($C237="",COUNT($F237:$J237)&lt;3),"",IF(N(INDEX(Lists!$C$2:$C$40,MATCH($C237,Lists!$A$2:$A$40,0)))=0,"",IF(MIN($F237:$J237)&gt;=INDEX(Lists!$C$2:$C$40,MATCH($C237,Lists!$A$2:$A$40,0)),"LEVEL UP",""))),"")</f>
        <v/>
      </c>
      <c r="N237" s="20"/>
      <c r="O237" s="19"/>
    </row>
    <row r="238" customFormat="false" ht="15" hidden="false" customHeight="false" outlineLevel="0" collapsed="false">
      <c r="A238" s="17"/>
      <c r="B238" s="18" t="str">
        <f aca="false">IF($A238="","",TEXT($A238,"ddd"))</f>
        <v/>
      </c>
      <c r="C238" s="19"/>
      <c r="D238" s="19"/>
      <c r="E238" s="18" t="str">
        <f aca="false">IF($C238="","",IFERROR(INDEX(Lists!$B$2:$B$40,MATCH($C238,Lists!$A$2:$A$40,0)),""))</f>
        <v/>
      </c>
      <c r="F238" s="20"/>
      <c r="G238" s="20"/>
      <c r="H238" s="20"/>
      <c r="I238" s="20"/>
      <c r="J238" s="20"/>
      <c r="K238" s="18" t="str">
        <f aca="false">IF(COUNT($F238:$J238)=0,"",SUM($F238:$J238))</f>
        <v/>
      </c>
      <c r="L238" s="18" t="str">
        <f aca="false">IF(COUNT($F238:$J238)=0,"",MAX($F238:$J238))</f>
        <v/>
      </c>
      <c r="M238" s="18" t="str">
        <f aca="false">IFERROR(IF(OR($C238="",COUNT($F238:$J238)&lt;3),"",IF(N(INDEX(Lists!$C$2:$C$40,MATCH($C238,Lists!$A$2:$A$40,0)))=0,"",IF(MIN($F238:$J238)&gt;=INDEX(Lists!$C$2:$C$40,MATCH($C238,Lists!$A$2:$A$40,0)),"LEVEL UP",""))),"")</f>
        <v/>
      </c>
      <c r="N238" s="20"/>
      <c r="O238" s="19"/>
    </row>
    <row r="239" customFormat="false" ht="15" hidden="false" customHeight="false" outlineLevel="0" collapsed="false">
      <c r="A239" s="17"/>
      <c r="B239" s="18" t="str">
        <f aca="false">IF($A239="","",TEXT($A239,"ddd"))</f>
        <v/>
      </c>
      <c r="C239" s="19"/>
      <c r="D239" s="19"/>
      <c r="E239" s="18" t="str">
        <f aca="false">IF($C239="","",IFERROR(INDEX(Lists!$B$2:$B$40,MATCH($C239,Lists!$A$2:$A$40,0)),""))</f>
        <v/>
      </c>
      <c r="F239" s="20"/>
      <c r="G239" s="20"/>
      <c r="H239" s="20"/>
      <c r="I239" s="20"/>
      <c r="J239" s="20"/>
      <c r="K239" s="18" t="str">
        <f aca="false">IF(COUNT($F239:$J239)=0,"",SUM($F239:$J239))</f>
        <v/>
      </c>
      <c r="L239" s="18" t="str">
        <f aca="false">IF(COUNT($F239:$J239)=0,"",MAX($F239:$J239))</f>
        <v/>
      </c>
      <c r="M239" s="18" t="str">
        <f aca="false">IFERROR(IF(OR($C239="",COUNT($F239:$J239)&lt;3),"",IF(N(INDEX(Lists!$C$2:$C$40,MATCH($C239,Lists!$A$2:$A$40,0)))=0,"",IF(MIN($F239:$J239)&gt;=INDEX(Lists!$C$2:$C$40,MATCH($C239,Lists!$A$2:$A$40,0)),"LEVEL UP",""))),"")</f>
        <v/>
      </c>
      <c r="N239" s="20"/>
      <c r="O239" s="19"/>
    </row>
    <row r="240" customFormat="false" ht="15" hidden="false" customHeight="false" outlineLevel="0" collapsed="false">
      <c r="A240" s="17"/>
      <c r="B240" s="18" t="str">
        <f aca="false">IF($A240="","",TEXT($A240,"ddd"))</f>
        <v/>
      </c>
      <c r="C240" s="19"/>
      <c r="D240" s="19"/>
      <c r="E240" s="18" t="str">
        <f aca="false">IF($C240="","",IFERROR(INDEX(Lists!$B$2:$B$40,MATCH($C240,Lists!$A$2:$A$40,0)),""))</f>
        <v/>
      </c>
      <c r="F240" s="20"/>
      <c r="G240" s="20"/>
      <c r="H240" s="20"/>
      <c r="I240" s="20"/>
      <c r="J240" s="20"/>
      <c r="K240" s="18" t="str">
        <f aca="false">IF(COUNT($F240:$J240)=0,"",SUM($F240:$J240))</f>
        <v/>
      </c>
      <c r="L240" s="18" t="str">
        <f aca="false">IF(COUNT($F240:$J240)=0,"",MAX($F240:$J240))</f>
        <v/>
      </c>
      <c r="M240" s="18" t="str">
        <f aca="false">IFERROR(IF(OR($C240="",COUNT($F240:$J240)&lt;3),"",IF(N(INDEX(Lists!$C$2:$C$40,MATCH($C240,Lists!$A$2:$A$40,0)))=0,"",IF(MIN($F240:$J240)&gt;=INDEX(Lists!$C$2:$C$40,MATCH($C240,Lists!$A$2:$A$40,0)),"LEVEL UP",""))),"")</f>
        <v/>
      </c>
      <c r="N240" s="20"/>
      <c r="O240" s="19"/>
    </row>
    <row r="241" customFormat="false" ht="15" hidden="false" customHeight="false" outlineLevel="0" collapsed="false">
      <c r="A241" s="17"/>
      <c r="B241" s="18" t="str">
        <f aca="false">IF($A241="","",TEXT($A241,"ddd"))</f>
        <v/>
      </c>
      <c r="C241" s="19"/>
      <c r="D241" s="19"/>
      <c r="E241" s="18" t="str">
        <f aca="false">IF($C241="","",IFERROR(INDEX(Lists!$B$2:$B$40,MATCH($C241,Lists!$A$2:$A$40,0)),""))</f>
        <v/>
      </c>
      <c r="F241" s="20"/>
      <c r="G241" s="20"/>
      <c r="H241" s="20"/>
      <c r="I241" s="20"/>
      <c r="J241" s="20"/>
      <c r="K241" s="18" t="str">
        <f aca="false">IF(COUNT($F241:$J241)=0,"",SUM($F241:$J241))</f>
        <v/>
      </c>
      <c r="L241" s="18" t="str">
        <f aca="false">IF(COUNT($F241:$J241)=0,"",MAX($F241:$J241))</f>
        <v/>
      </c>
      <c r="M241" s="18" t="str">
        <f aca="false">IFERROR(IF(OR($C241="",COUNT($F241:$J241)&lt;3),"",IF(N(INDEX(Lists!$C$2:$C$40,MATCH($C241,Lists!$A$2:$A$40,0)))=0,"",IF(MIN($F241:$J241)&gt;=INDEX(Lists!$C$2:$C$40,MATCH($C241,Lists!$A$2:$A$40,0)),"LEVEL UP",""))),"")</f>
        <v/>
      </c>
      <c r="N241" s="20"/>
      <c r="O241" s="19"/>
    </row>
    <row r="242" customFormat="false" ht="15" hidden="false" customHeight="false" outlineLevel="0" collapsed="false">
      <c r="A242" s="17"/>
      <c r="B242" s="18" t="str">
        <f aca="false">IF($A242="","",TEXT($A242,"ddd"))</f>
        <v/>
      </c>
      <c r="C242" s="19"/>
      <c r="D242" s="19"/>
      <c r="E242" s="18" t="str">
        <f aca="false">IF($C242="","",IFERROR(INDEX(Lists!$B$2:$B$40,MATCH($C242,Lists!$A$2:$A$40,0)),""))</f>
        <v/>
      </c>
      <c r="F242" s="20"/>
      <c r="G242" s="20"/>
      <c r="H242" s="20"/>
      <c r="I242" s="20"/>
      <c r="J242" s="20"/>
      <c r="K242" s="18" t="str">
        <f aca="false">IF(COUNT($F242:$J242)=0,"",SUM($F242:$J242))</f>
        <v/>
      </c>
      <c r="L242" s="18" t="str">
        <f aca="false">IF(COUNT($F242:$J242)=0,"",MAX($F242:$J242))</f>
        <v/>
      </c>
      <c r="M242" s="18" t="str">
        <f aca="false">IFERROR(IF(OR($C242="",COUNT($F242:$J242)&lt;3),"",IF(N(INDEX(Lists!$C$2:$C$40,MATCH($C242,Lists!$A$2:$A$40,0)))=0,"",IF(MIN($F242:$J242)&gt;=INDEX(Lists!$C$2:$C$40,MATCH($C242,Lists!$A$2:$A$40,0)),"LEVEL UP",""))),"")</f>
        <v/>
      </c>
      <c r="N242" s="20"/>
      <c r="O242" s="19"/>
    </row>
    <row r="243" customFormat="false" ht="15" hidden="false" customHeight="false" outlineLevel="0" collapsed="false">
      <c r="A243" s="17"/>
      <c r="B243" s="18" t="str">
        <f aca="false">IF($A243="","",TEXT($A243,"ddd"))</f>
        <v/>
      </c>
      <c r="C243" s="19"/>
      <c r="D243" s="19"/>
      <c r="E243" s="18" t="str">
        <f aca="false">IF($C243="","",IFERROR(INDEX(Lists!$B$2:$B$40,MATCH($C243,Lists!$A$2:$A$40,0)),""))</f>
        <v/>
      </c>
      <c r="F243" s="20"/>
      <c r="G243" s="20"/>
      <c r="H243" s="20"/>
      <c r="I243" s="20"/>
      <c r="J243" s="20"/>
      <c r="K243" s="18" t="str">
        <f aca="false">IF(COUNT($F243:$J243)=0,"",SUM($F243:$J243))</f>
        <v/>
      </c>
      <c r="L243" s="18" t="str">
        <f aca="false">IF(COUNT($F243:$J243)=0,"",MAX($F243:$J243))</f>
        <v/>
      </c>
      <c r="M243" s="18" t="str">
        <f aca="false">IFERROR(IF(OR($C243="",COUNT($F243:$J243)&lt;3),"",IF(N(INDEX(Lists!$C$2:$C$40,MATCH($C243,Lists!$A$2:$A$40,0)))=0,"",IF(MIN($F243:$J243)&gt;=INDEX(Lists!$C$2:$C$40,MATCH($C243,Lists!$A$2:$A$40,0)),"LEVEL UP",""))),"")</f>
        <v/>
      </c>
      <c r="N243" s="20"/>
      <c r="O243" s="19"/>
    </row>
    <row r="244" customFormat="false" ht="15" hidden="false" customHeight="false" outlineLevel="0" collapsed="false">
      <c r="A244" s="17"/>
      <c r="B244" s="18" t="str">
        <f aca="false">IF($A244="","",TEXT($A244,"ddd"))</f>
        <v/>
      </c>
      <c r="C244" s="19"/>
      <c r="D244" s="19"/>
      <c r="E244" s="18" t="str">
        <f aca="false">IF($C244="","",IFERROR(INDEX(Lists!$B$2:$B$40,MATCH($C244,Lists!$A$2:$A$40,0)),""))</f>
        <v/>
      </c>
      <c r="F244" s="20"/>
      <c r="G244" s="20"/>
      <c r="H244" s="20"/>
      <c r="I244" s="20"/>
      <c r="J244" s="20"/>
      <c r="K244" s="18" t="str">
        <f aca="false">IF(COUNT($F244:$J244)=0,"",SUM($F244:$J244))</f>
        <v/>
      </c>
      <c r="L244" s="18" t="str">
        <f aca="false">IF(COUNT($F244:$J244)=0,"",MAX($F244:$J244))</f>
        <v/>
      </c>
      <c r="M244" s="18" t="str">
        <f aca="false">IFERROR(IF(OR($C244="",COUNT($F244:$J244)&lt;3),"",IF(N(INDEX(Lists!$C$2:$C$40,MATCH($C244,Lists!$A$2:$A$40,0)))=0,"",IF(MIN($F244:$J244)&gt;=INDEX(Lists!$C$2:$C$40,MATCH($C244,Lists!$A$2:$A$40,0)),"LEVEL UP",""))),"")</f>
        <v/>
      </c>
      <c r="N244" s="20"/>
      <c r="O244" s="19"/>
    </row>
    <row r="245" customFormat="false" ht="15" hidden="false" customHeight="false" outlineLevel="0" collapsed="false">
      <c r="A245" s="17"/>
      <c r="B245" s="18" t="str">
        <f aca="false">IF($A245="","",TEXT($A245,"ddd"))</f>
        <v/>
      </c>
      <c r="C245" s="19"/>
      <c r="D245" s="19"/>
      <c r="E245" s="18" t="str">
        <f aca="false">IF($C245="","",IFERROR(INDEX(Lists!$B$2:$B$40,MATCH($C245,Lists!$A$2:$A$40,0)),""))</f>
        <v/>
      </c>
      <c r="F245" s="20"/>
      <c r="G245" s="20"/>
      <c r="H245" s="20"/>
      <c r="I245" s="20"/>
      <c r="J245" s="20"/>
      <c r="K245" s="18" t="str">
        <f aca="false">IF(COUNT($F245:$J245)=0,"",SUM($F245:$J245))</f>
        <v/>
      </c>
      <c r="L245" s="18" t="str">
        <f aca="false">IF(COUNT($F245:$J245)=0,"",MAX($F245:$J245))</f>
        <v/>
      </c>
      <c r="M245" s="18" t="str">
        <f aca="false">IFERROR(IF(OR($C245="",COUNT($F245:$J245)&lt;3),"",IF(N(INDEX(Lists!$C$2:$C$40,MATCH($C245,Lists!$A$2:$A$40,0)))=0,"",IF(MIN($F245:$J245)&gt;=INDEX(Lists!$C$2:$C$40,MATCH($C245,Lists!$A$2:$A$40,0)),"LEVEL UP",""))),"")</f>
        <v/>
      </c>
      <c r="N245" s="20"/>
      <c r="O245" s="19"/>
    </row>
    <row r="246" customFormat="false" ht="15" hidden="false" customHeight="false" outlineLevel="0" collapsed="false">
      <c r="A246" s="17"/>
      <c r="B246" s="18" t="str">
        <f aca="false">IF($A246="","",TEXT($A246,"ddd"))</f>
        <v/>
      </c>
      <c r="C246" s="19"/>
      <c r="D246" s="19"/>
      <c r="E246" s="18" t="str">
        <f aca="false">IF($C246="","",IFERROR(INDEX(Lists!$B$2:$B$40,MATCH($C246,Lists!$A$2:$A$40,0)),""))</f>
        <v/>
      </c>
      <c r="F246" s="20"/>
      <c r="G246" s="20"/>
      <c r="H246" s="20"/>
      <c r="I246" s="20"/>
      <c r="J246" s="20"/>
      <c r="K246" s="18" t="str">
        <f aca="false">IF(COUNT($F246:$J246)=0,"",SUM($F246:$J246))</f>
        <v/>
      </c>
      <c r="L246" s="18" t="str">
        <f aca="false">IF(COUNT($F246:$J246)=0,"",MAX($F246:$J246))</f>
        <v/>
      </c>
      <c r="M246" s="18" t="str">
        <f aca="false">IFERROR(IF(OR($C246="",COUNT($F246:$J246)&lt;3),"",IF(N(INDEX(Lists!$C$2:$C$40,MATCH($C246,Lists!$A$2:$A$40,0)))=0,"",IF(MIN($F246:$J246)&gt;=INDEX(Lists!$C$2:$C$40,MATCH($C246,Lists!$A$2:$A$40,0)),"LEVEL UP",""))),"")</f>
        <v/>
      </c>
      <c r="N246" s="20"/>
      <c r="O246" s="19"/>
    </row>
    <row r="247" customFormat="false" ht="15" hidden="false" customHeight="false" outlineLevel="0" collapsed="false">
      <c r="A247" s="17"/>
      <c r="B247" s="18" t="str">
        <f aca="false">IF($A247="","",TEXT($A247,"ddd"))</f>
        <v/>
      </c>
      <c r="C247" s="19"/>
      <c r="D247" s="19"/>
      <c r="E247" s="18" t="str">
        <f aca="false">IF($C247="","",IFERROR(INDEX(Lists!$B$2:$B$40,MATCH($C247,Lists!$A$2:$A$40,0)),""))</f>
        <v/>
      </c>
      <c r="F247" s="20"/>
      <c r="G247" s="20"/>
      <c r="H247" s="20"/>
      <c r="I247" s="20"/>
      <c r="J247" s="20"/>
      <c r="K247" s="18" t="str">
        <f aca="false">IF(COUNT($F247:$J247)=0,"",SUM($F247:$J247))</f>
        <v/>
      </c>
      <c r="L247" s="18" t="str">
        <f aca="false">IF(COUNT($F247:$J247)=0,"",MAX($F247:$J247))</f>
        <v/>
      </c>
      <c r="M247" s="18" t="str">
        <f aca="false">IFERROR(IF(OR($C247="",COUNT($F247:$J247)&lt;3),"",IF(N(INDEX(Lists!$C$2:$C$40,MATCH($C247,Lists!$A$2:$A$40,0)))=0,"",IF(MIN($F247:$J247)&gt;=INDEX(Lists!$C$2:$C$40,MATCH($C247,Lists!$A$2:$A$40,0)),"LEVEL UP",""))),"")</f>
        <v/>
      </c>
      <c r="N247" s="20"/>
      <c r="O247" s="19"/>
    </row>
    <row r="248" customFormat="false" ht="15" hidden="false" customHeight="false" outlineLevel="0" collapsed="false">
      <c r="A248" s="17"/>
      <c r="B248" s="18" t="str">
        <f aca="false">IF($A248="","",TEXT($A248,"ddd"))</f>
        <v/>
      </c>
      <c r="C248" s="19"/>
      <c r="D248" s="19"/>
      <c r="E248" s="18" t="str">
        <f aca="false">IF($C248="","",IFERROR(INDEX(Lists!$B$2:$B$40,MATCH($C248,Lists!$A$2:$A$40,0)),""))</f>
        <v/>
      </c>
      <c r="F248" s="20"/>
      <c r="G248" s="20"/>
      <c r="H248" s="20"/>
      <c r="I248" s="20"/>
      <c r="J248" s="20"/>
      <c r="K248" s="18" t="str">
        <f aca="false">IF(COUNT($F248:$J248)=0,"",SUM($F248:$J248))</f>
        <v/>
      </c>
      <c r="L248" s="18" t="str">
        <f aca="false">IF(COUNT($F248:$J248)=0,"",MAX($F248:$J248))</f>
        <v/>
      </c>
      <c r="M248" s="18" t="str">
        <f aca="false">IFERROR(IF(OR($C248="",COUNT($F248:$J248)&lt;3),"",IF(N(INDEX(Lists!$C$2:$C$40,MATCH($C248,Lists!$A$2:$A$40,0)))=0,"",IF(MIN($F248:$J248)&gt;=INDEX(Lists!$C$2:$C$40,MATCH($C248,Lists!$A$2:$A$40,0)),"LEVEL UP",""))),"")</f>
        <v/>
      </c>
      <c r="N248" s="20"/>
      <c r="O248" s="19"/>
    </row>
    <row r="249" customFormat="false" ht="15" hidden="false" customHeight="false" outlineLevel="0" collapsed="false">
      <c r="A249" s="17"/>
      <c r="B249" s="18" t="str">
        <f aca="false">IF($A249="","",TEXT($A249,"ddd"))</f>
        <v/>
      </c>
      <c r="C249" s="19"/>
      <c r="D249" s="19"/>
      <c r="E249" s="18" t="str">
        <f aca="false">IF($C249="","",IFERROR(INDEX(Lists!$B$2:$B$40,MATCH($C249,Lists!$A$2:$A$40,0)),""))</f>
        <v/>
      </c>
      <c r="F249" s="20"/>
      <c r="G249" s="20"/>
      <c r="H249" s="20"/>
      <c r="I249" s="20"/>
      <c r="J249" s="20"/>
      <c r="K249" s="18" t="str">
        <f aca="false">IF(COUNT($F249:$J249)=0,"",SUM($F249:$J249))</f>
        <v/>
      </c>
      <c r="L249" s="18" t="str">
        <f aca="false">IF(COUNT($F249:$J249)=0,"",MAX($F249:$J249))</f>
        <v/>
      </c>
      <c r="M249" s="18" t="str">
        <f aca="false">IFERROR(IF(OR($C249="",COUNT($F249:$J249)&lt;3),"",IF(N(INDEX(Lists!$C$2:$C$40,MATCH($C249,Lists!$A$2:$A$40,0)))=0,"",IF(MIN($F249:$J249)&gt;=INDEX(Lists!$C$2:$C$40,MATCH($C249,Lists!$A$2:$A$40,0)),"LEVEL UP",""))),"")</f>
        <v/>
      </c>
      <c r="N249" s="20"/>
      <c r="O249" s="19"/>
    </row>
    <row r="250" customFormat="false" ht="15" hidden="false" customHeight="false" outlineLevel="0" collapsed="false">
      <c r="A250" s="17"/>
      <c r="B250" s="18" t="str">
        <f aca="false">IF($A250="","",TEXT($A250,"ddd"))</f>
        <v/>
      </c>
      <c r="C250" s="19"/>
      <c r="D250" s="19"/>
      <c r="E250" s="18" t="str">
        <f aca="false">IF($C250="","",IFERROR(INDEX(Lists!$B$2:$B$40,MATCH($C250,Lists!$A$2:$A$40,0)),""))</f>
        <v/>
      </c>
      <c r="F250" s="20"/>
      <c r="G250" s="20"/>
      <c r="H250" s="20"/>
      <c r="I250" s="20"/>
      <c r="J250" s="20"/>
      <c r="K250" s="18" t="str">
        <f aca="false">IF(COUNT($F250:$J250)=0,"",SUM($F250:$J250))</f>
        <v/>
      </c>
      <c r="L250" s="18" t="str">
        <f aca="false">IF(COUNT($F250:$J250)=0,"",MAX($F250:$J250))</f>
        <v/>
      </c>
      <c r="M250" s="18" t="str">
        <f aca="false">IFERROR(IF(OR($C250="",COUNT($F250:$J250)&lt;3),"",IF(N(INDEX(Lists!$C$2:$C$40,MATCH($C250,Lists!$A$2:$A$40,0)))=0,"",IF(MIN($F250:$J250)&gt;=INDEX(Lists!$C$2:$C$40,MATCH($C250,Lists!$A$2:$A$40,0)),"LEVEL UP",""))),"")</f>
        <v/>
      </c>
      <c r="N250" s="20"/>
      <c r="O250" s="19"/>
    </row>
    <row r="251" customFormat="false" ht="15" hidden="false" customHeight="false" outlineLevel="0" collapsed="false">
      <c r="A251" s="17"/>
      <c r="B251" s="18" t="str">
        <f aca="false">IF($A251="","",TEXT($A251,"ddd"))</f>
        <v/>
      </c>
      <c r="C251" s="19"/>
      <c r="D251" s="19"/>
      <c r="E251" s="18" t="str">
        <f aca="false">IF($C251="","",IFERROR(INDEX(Lists!$B$2:$B$40,MATCH($C251,Lists!$A$2:$A$40,0)),""))</f>
        <v/>
      </c>
      <c r="F251" s="20"/>
      <c r="G251" s="20"/>
      <c r="H251" s="20"/>
      <c r="I251" s="20"/>
      <c r="J251" s="20"/>
      <c r="K251" s="18" t="str">
        <f aca="false">IF(COUNT($F251:$J251)=0,"",SUM($F251:$J251))</f>
        <v/>
      </c>
      <c r="L251" s="18" t="str">
        <f aca="false">IF(COUNT($F251:$J251)=0,"",MAX($F251:$J251))</f>
        <v/>
      </c>
      <c r="M251" s="18" t="str">
        <f aca="false">IFERROR(IF(OR($C251="",COUNT($F251:$J251)&lt;3),"",IF(N(INDEX(Lists!$C$2:$C$40,MATCH($C251,Lists!$A$2:$A$40,0)))=0,"",IF(MIN($F251:$J251)&gt;=INDEX(Lists!$C$2:$C$40,MATCH($C251,Lists!$A$2:$A$40,0)),"LEVEL UP",""))),"")</f>
        <v/>
      </c>
      <c r="N251" s="20"/>
      <c r="O251" s="19"/>
    </row>
    <row r="252" customFormat="false" ht="15" hidden="false" customHeight="false" outlineLevel="0" collapsed="false">
      <c r="A252" s="17"/>
      <c r="B252" s="18" t="str">
        <f aca="false">IF($A252="","",TEXT($A252,"ddd"))</f>
        <v/>
      </c>
      <c r="C252" s="19"/>
      <c r="D252" s="19"/>
      <c r="E252" s="18" t="str">
        <f aca="false">IF($C252="","",IFERROR(INDEX(Lists!$B$2:$B$40,MATCH($C252,Lists!$A$2:$A$40,0)),""))</f>
        <v/>
      </c>
      <c r="F252" s="20"/>
      <c r="G252" s="20"/>
      <c r="H252" s="20"/>
      <c r="I252" s="20"/>
      <c r="J252" s="20"/>
      <c r="K252" s="18" t="str">
        <f aca="false">IF(COUNT($F252:$J252)=0,"",SUM($F252:$J252))</f>
        <v/>
      </c>
      <c r="L252" s="18" t="str">
        <f aca="false">IF(COUNT($F252:$J252)=0,"",MAX($F252:$J252))</f>
        <v/>
      </c>
      <c r="M252" s="18" t="str">
        <f aca="false">IFERROR(IF(OR($C252="",COUNT($F252:$J252)&lt;3),"",IF(N(INDEX(Lists!$C$2:$C$40,MATCH($C252,Lists!$A$2:$A$40,0)))=0,"",IF(MIN($F252:$J252)&gt;=INDEX(Lists!$C$2:$C$40,MATCH($C252,Lists!$A$2:$A$40,0)),"LEVEL UP",""))),"")</f>
        <v/>
      </c>
      <c r="N252" s="20"/>
      <c r="O252" s="19"/>
    </row>
    <row r="253" customFormat="false" ht="15" hidden="false" customHeight="false" outlineLevel="0" collapsed="false">
      <c r="A253" s="17"/>
      <c r="B253" s="18" t="str">
        <f aca="false">IF($A253="","",TEXT($A253,"ddd"))</f>
        <v/>
      </c>
      <c r="C253" s="19"/>
      <c r="D253" s="19"/>
      <c r="E253" s="18" t="str">
        <f aca="false">IF($C253="","",IFERROR(INDEX(Lists!$B$2:$B$40,MATCH($C253,Lists!$A$2:$A$40,0)),""))</f>
        <v/>
      </c>
      <c r="F253" s="20"/>
      <c r="G253" s="20"/>
      <c r="H253" s="20"/>
      <c r="I253" s="20"/>
      <c r="J253" s="20"/>
      <c r="K253" s="18" t="str">
        <f aca="false">IF(COUNT($F253:$J253)=0,"",SUM($F253:$J253))</f>
        <v/>
      </c>
      <c r="L253" s="18" t="str">
        <f aca="false">IF(COUNT($F253:$J253)=0,"",MAX($F253:$J253))</f>
        <v/>
      </c>
      <c r="M253" s="18" t="str">
        <f aca="false">IFERROR(IF(OR($C253="",COUNT($F253:$J253)&lt;3),"",IF(N(INDEX(Lists!$C$2:$C$40,MATCH($C253,Lists!$A$2:$A$40,0)))=0,"",IF(MIN($F253:$J253)&gt;=INDEX(Lists!$C$2:$C$40,MATCH($C253,Lists!$A$2:$A$40,0)),"LEVEL UP",""))),"")</f>
        <v/>
      </c>
      <c r="N253" s="20"/>
      <c r="O253" s="19"/>
    </row>
    <row r="254" customFormat="false" ht="15" hidden="false" customHeight="false" outlineLevel="0" collapsed="false">
      <c r="A254" s="17"/>
      <c r="B254" s="18" t="str">
        <f aca="false">IF($A254="","",TEXT($A254,"ddd"))</f>
        <v/>
      </c>
      <c r="C254" s="19"/>
      <c r="D254" s="19"/>
      <c r="E254" s="18" t="str">
        <f aca="false">IF($C254="","",IFERROR(INDEX(Lists!$B$2:$B$40,MATCH($C254,Lists!$A$2:$A$40,0)),""))</f>
        <v/>
      </c>
      <c r="F254" s="20"/>
      <c r="G254" s="20"/>
      <c r="H254" s="20"/>
      <c r="I254" s="20"/>
      <c r="J254" s="20"/>
      <c r="K254" s="18" t="str">
        <f aca="false">IF(COUNT($F254:$J254)=0,"",SUM($F254:$J254))</f>
        <v/>
      </c>
      <c r="L254" s="18" t="str">
        <f aca="false">IF(COUNT($F254:$J254)=0,"",MAX($F254:$J254))</f>
        <v/>
      </c>
      <c r="M254" s="18" t="str">
        <f aca="false">IFERROR(IF(OR($C254="",COUNT($F254:$J254)&lt;3),"",IF(N(INDEX(Lists!$C$2:$C$40,MATCH($C254,Lists!$A$2:$A$40,0)))=0,"",IF(MIN($F254:$J254)&gt;=INDEX(Lists!$C$2:$C$40,MATCH($C254,Lists!$A$2:$A$40,0)),"LEVEL UP",""))),"")</f>
        <v/>
      </c>
      <c r="N254" s="20"/>
      <c r="O254" s="19"/>
    </row>
    <row r="255" customFormat="false" ht="15" hidden="false" customHeight="false" outlineLevel="0" collapsed="false">
      <c r="A255" s="17"/>
      <c r="B255" s="18" t="str">
        <f aca="false">IF($A255="","",TEXT($A255,"ddd"))</f>
        <v/>
      </c>
      <c r="C255" s="19"/>
      <c r="D255" s="19"/>
      <c r="E255" s="18" t="str">
        <f aca="false">IF($C255="","",IFERROR(INDEX(Lists!$B$2:$B$40,MATCH($C255,Lists!$A$2:$A$40,0)),""))</f>
        <v/>
      </c>
      <c r="F255" s="20"/>
      <c r="G255" s="20"/>
      <c r="H255" s="20"/>
      <c r="I255" s="20"/>
      <c r="J255" s="20"/>
      <c r="K255" s="18" t="str">
        <f aca="false">IF(COUNT($F255:$J255)=0,"",SUM($F255:$J255))</f>
        <v/>
      </c>
      <c r="L255" s="18" t="str">
        <f aca="false">IF(COUNT($F255:$J255)=0,"",MAX($F255:$J255))</f>
        <v/>
      </c>
      <c r="M255" s="18" t="str">
        <f aca="false">IFERROR(IF(OR($C255="",COUNT($F255:$J255)&lt;3),"",IF(N(INDEX(Lists!$C$2:$C$40,MATCH($C255,Lists!$A$2:$A$40,0)))=0,"",IF(MIN($F255:$J255)&gt;=INDEX(Lists!$C$2:$C$40,MATCH($C255,Lists!$A$2:$A$40,0)),"LEVEL UP",""))),"")</f>
        <v/>
      </c>
      <c r="N255" s="20"/>
      <c r="O255" s="19"/>
    </row>
    <row r="256" customFormat="false" ht="15" hidden="false" customHeight="false" outlineLevel="0" collapsed="false">
      <c r="A256" s="17"/>
      <c r="B256" s="18" t="str">
        <f aca="false">IF($A256="","",TEXT($A256,"ddd"))</f>
        <v/>
      </c>
      <c r="C256" s="19"/>
      <c r="D256" s="19"/>
      <c r="E256" s="18" t="str">
        <f aca="false">IF($C256="","",IFERROR(INDEX(Lists!$B$2:$B$40,MATCH($C256,Lists!$A$2:$A$40,0)),""))</f>
        <v/>
      </c>
      <c r="F256" s="20"/>
      <c r="G256" s="20"/>
      <c r="H256" s="20"/>
      <c r="I256" s="20"/>
      <c r="J256" s="20"/>
      <c r="K256" s="18" t="str">
        <f aca="false">IF(COUNT($F256:$J256)=0,"",SUM($F256:$J256))</f>
        <v/>
      </c>
      <c r="L256" s="18" t="str">
        <f aca="false">IF(COUNT($F256:$J256)=0,"",MAX($F256:$J256))</f>
        <v/>
      </c>
      <c r="M256" s="18" t="str">
        <f aca="false">IFERROR(IF(OR($C256="",COUNT($F256:$J256)&lt;3),"",IF(N(INDEX(Lists!$C$2:$C$40,MATCH($C256,Lists!$A$2:$A$40,0)))=0,"",IF(MIN($F256:$J256)&gt;=INDEX(Lists!$C$2:$C$40,MATCH($C256,Lists!$A$2:$A$40,0)),"LEVEL UP",""))),"")</f>
        <v/>
      </c>
      <c r="N256" s="20"/>
      <c r="O256" s="19"/>
    </row>
    <row r="257" customFormat="false" ht="15" hidden="false" customHeight="false" outlineLevel="0" collapsed="false">
      <c r="A257" s="17"/>
      <c r="B257" s="18" t="str">
        <f aca="false">IF($A257="","",TEXT($A257,"ddd"))</f>
        <v/>
      </c>
      <c r="C257" s="19"/>
      <c r="D257" s="19"/>
      <c r="E257" s="18" t="str">
        <f aca="false">IF($C257="","",IFERROR(INDEX(Lists!$B$2:$B$40,MATCH($C257,Lists!$A$2:$A$40,0)),""))</f>
        <v/>
      </c>
      <c r="F257" s="20"/>
      <c r="G257" s="20"/>
      <c r="H257" s="20"/>
      <c r="I257" s="20"/>
      <c r="J257" s="20"/>
      <c r="K257" s="18" t="str">
        <f aca="false">IF(COUNT($F257:$J257)=0,"",SUM($F257:$J257))</f>
        <v/>
      </c>
      <c r="L257" s="18" t="str">
        <f aca="false">IF(COUNT($F257:$J257)=0,"",MAX($F257:$J257))</f>
        <v/>
      </c>
      <c r="M257" s="18" t="str">
        <f aca="false">IFERROR(IF(OR($C257="",COUNT($F257:$J257)&lt;3),"",IF(N(INDEX(Lists!$C$2:$C$40,MATCH($C257,Lists!$A$2:$A$40,0)))=0,"",IF(MIN($F257:$J257)&gt;=INDEX(Lists!$C$2:$C$40,MATCH($C257,Lists!$A$2:$A$40,0)),"LEVEL UP",""))),"")</f>
        <v/>
      </c>
      <c r="N257" s="20"/>
      <c r="O257" s="19"/>
    </row>
    <row r="258" customFormat="false" ht="15" hidden="false" customHeight="false" outlineLevel="0" collapsed="false">
      <c r="A258" s="17"/>
      <c r="B258" s="18" t="str">
        <f aca="false">IF($A258="","",TEXT($A258,"ddd"))</f>
        <v/>
      </c>
      <c r="C258" s="19"/>
      <c r="D258" s="19"/>
      <c r="E258" s="18" t="str">
        <f aca="false">IF($C258="","",IFERROR(INDEX(Lists!$B$2:$B$40,MATCH($C258,Lists!$A$2:$A$40,0)),""))</f>
        <v/>
      </c>
      <c r="F258" s="20"/>
      <c r="G258" s="20"/>
      <c r="H258" s="20"/>
      <c r="I258" s="20"/>
      <c r="J258" s="20"/>
      <c r="K258" s="18" t="str">
        <f aca="false">IF(COUNT($F258:$J258)=0,"",SUM($F258:$J258))</f>
        <v/>
      </c>
      <c r="L258" s="18" t="str">
        <f aca="false">IF(COUNT($F258:$J258)=0,"",MAX($F258:$J258))</f>
        <v/>
      </c>
      <c r="M258" s="18" t="str">
        <f aca="false">IFERROR(IF(OR($C258="",COUNT($F258:$J258)&lt;3),"",IF(N(INDEX(Lists!$C$2:$C$40,MATCH($C258,Lists!$A$2:$A$40,0)))=0,"",IF(MIN($F258:$J258)&gt;=INDEX(Lists!$C$2:$C$40,MATCH($C258,Lists!$A$2:$A$40,0)),"LEVEL UP",""))),"")</f>
        <v/>
      </c>
      <c r="N258" s="20"/>
      <c r="O258" s="19"/>
    </row>
    <row r="259" customFormat="false" ht="15" hidden="false" customHeight="false" outlineLevel="0" collapsed="false">
      <c r="A259" s="17"/>
      <c r="B259" s="18" t="str">
        <f aca="false">IF($A259="","",TEXT($A259,"ddd"))</f>
        <v/>
      </c>
      <c r="C259" s="19"/>
      <c r="D259" s="19"/>
      <c r="E259" s="18" t="str">
        <f aca="false">IF($C259="","",IFERROR(INDEX(Lists!$B$2:$B$40,MATCH($C259,Lists!$A$2:$A$40,0)),""))</f>
        <v/>
      </c>
      <c r="F259" s="20"/>
      <c r="G259" s="20"/>
      <c r="H259" s="20"/>
      <c r="I259" s="20"/>
      <c r="J259" s="20"/>
      <c r="K259" s="18" t="str">
        <f aca="false">IF(COUNT($F259:$J259)=0,"",SUM($F259:$J259))</f>
        <v/>
      </c>
      <c r="L259" s="18" t="str">
        <f aca="false">IF(COUNT($F259:$J259)=0,"",MAX($F259:$J259))</f>
        <v/>
      </c>
      <c r="M259" s="18" t="str">
        <f aca="false">IFERROR(IF(OR($C259="",COUNT($F259:$J259)&lt;3),"",IF(N(INDEX(Lists!$C$2:$C$40,MATCH($C259,Lists!$A$2:$A$40,0)))=0,"",IF(MIN($F259:$J259)&gt;=INDEX(Lists!$C$2:$C$40,MATCH($C259,Lists!$A$2:$A$40,0)),"LEVEL UP",""))),"")</f>
        <v/>
      </c>
      <c r="N259" s="20"/>
      <c r="O259" s="19"/>
    </row>
    <row r="260" customFormat="false" ht="15" hidden="false" customHeight="false" outlineLevel="0" collapsed="false">
      <c r="A260" s="17"/>
      <c r="B260" s="18" t="str">
        <f aca="false">IF($A260="","",TEXT($A260,"ddd"))</f>
        <v/>
      </c>
      <c r="C260" s="19"/>
      <c r="D260" s="19"/>
      <c r="E260" s="18" t="str">
        <f aca="false">IF($C260="","",IFERROR(INDEX(Lists!$B$2:$B$40,MATCH($C260,Lists!$A$2:$A$40,0)),""))</f>
        <v/>
      </c>
      <c r="F260" s="20"/>
      <c r="G260" s="20"/>
      <c r="H260" s="20"/>
      <c r="I260" s="20"/>
      <c r="J260" s="20"/>
      <c r="K260" s="18" t="str">
        <f aca="false">IF(COUNT($F260:$J260)=0,"",SUM($F260:$J260))</f>
        <v/>
      </c>
      <c r="L260" s="18" t="str">
        <f aca="false">IF(COUNT($F260:$J260)=0,"",MAX($F260:$J260))</f>
        <v/>
      </c>
      <c r="M260" s="18" t="str">
        <f aca="false">IFERROR(IF(OR($C260="",COUNT($F260:$J260)&lt;3),"",IF(N(INDEX(Lists!$C$2:$C$40,MATCH($C260,Lists!$A$2:$A$40,0)))=0,"",IF(MIN($F260:$J260)&gt;=INDEX(Lists!$C$2:$C$40,MATCH($C260,Lists!$A$2:$A$40,0)),"LEVEL UP",""))),"")</f>
        <v/>
      </c>
      <c r="N260" s="20"/>
      <c r="O260" s="19"/>
    </row>
    <row r="261" customFormat="false" ht="15" hidden="false" customHeight="false" outlineLevel="0" collapsed="false">
      <c r="A261" s="17"/>
      <c r="B261" s="18" t="str">
        <f aca="false">IF($A261="","",TEXT($A261,"ddd"))</f>
        <v/>
      </c>
      <c r="C261" s="19"/>
      <c r="D261" s="19"/>
      <c r="E261" s="18" t="str">
        <f aca="false">IF($C261="","",IFERROR(INDEX(Lists!$B$2:$B$40,MATCH($C261,Lists!$A$2:$A$40,0)),""))</f>
        <v/>
      </c>
      <c r="F261" s="20"/>
      <c r="G261" s="20"/>
      <c r="H261" s="20"/>
      <c r="I261" s="20"/>
      <c r="J261" s="20"/>
      <c r="K261" s="18" t="str">
        <f aca="false">IF(COUNT($F261:$J261)=0,"",SUM($F261:$J261))</f>
        <v/>
      </c>
      <c r="L261" s="18" t="str">
        <f aca="false">IF(COUNT($F261:$J261)=0,"",MAX($F261:$J261))</f>
        <v/>
      </c>
      <c r="M261" s="18" t="str">
        <f aca="false">IFERROR(IF(OR($C261="",COUNT($F261:$J261)&lt;3),"",IF(N(INDEX(Lists!$C$2:$C$40,MATCH($C261,Lists!$A$2:$A$40,0)))=0,"",IF(MIN($F261:$J261)&gt;=INDEX(Lists!$C$2:$C$40,MATCH($C261,Lists!$A$2:$A$40,0)),"LEVEL UP",""))),"")</f>
        <v/>
      </c>
      <c r="N261" s="20"/>
      <c r="O261" s="19"/>
    </row>
    <row r="262" customFormat="false" ht="15" hidden="false" customHeight="false" outlineLevel="0" collapsed="false">
      <c r="A262" s="17"/>
      <c r="B262" s="18" t="str">
        <f aca="false">IF($A262="","",TEXT($A262,"ddd"))</f>
        <v/>
      </c>
      <c r="C262" s="19"/>
      <c r="D262" s="19"/>
      <c r="E262" s="18" t="str">
        <f aca="false">IF($C262="","",IFERROR(INDEX(Lists!$B$2:$B$40,MATCH($C262,Lists!$A$2:$A$40,0)),""))</f>
        <v/>
      </c>
      <c r="F262" s="20"/>
      <c r="G262" s="20"/>
      <c r="H262" s="20"/>
      <c r="I262" s="20"/>
      <c r="J262" s="20"/>
      <c r="K262" s="18" t="str">
        <f aca="false">IF(COUNT($F262:$J262)=0,"",SUM($F262:$J262))</f>
        <v/>
      </c>
      <c r="L262" s="18" t="str">
        <f aca="false">IF(COUNT($F262:$J262)=0,"",MAX($F262:$J262))</f>
        <v/>
      </c>
      <c r="M262" s="18" t="str">
        <f aca="false">IFERROR(IF(OR($C262="",COUNT($F262:$J262)&lt;3),"",IF(N(INDEX(Lists!$C$2:$C$40,MATCH($C262,Lists!$A$2:$A$40,0)))=0,"",IF(MIN($F262:$J262)&gt;=INDEX(Lists!$C$2:$C$40,MATCH($C262,Lists!$A$2:$A$40,0)),"LEVEL UP",""))),"")</f>
        <v/>
      </c>
      <c r="N262" s="20"/>
      <c r="O262" s="19"/>
    </row>
    <row r="263" customFormat="false" ht="15" hidden="false" customHeight="false" outlineLevel="0" collapsed="false">
      <c r="A263" s="17"/>
      <c r="B263" s="18" t="str">
        <f aca="false">IF($A263="","",TEXT($A263,"ddd"))</f>
        <v/>
      </c>
      <c r="C263" s="19"/>
      <c r="D263" s="19"/>
      <c r="E263" s="18" t="str">
        <f aca="false">IF($C263="","",IFERROR(INDEX(Lists!$B$2:$B$40,MATCH($C263,Lists!$A$2:$A$40,0)),""))</f>
        <v/>
      </c>
      <c r="F263" s="20"/>
      <c r="G263" s="20"/>
      <c r="H263" s="20"/>
      <c r="I263" s="20"/>
      <c r="J263" s="20"/>
      <c r="K263" s="18" t="str">
        <f aca="false">IF(COUNT($F263:$J263)=0,"",SUM($F263:$J263))</f>
        <v/>
      </c>
      <c r="L263" s="18" t="str">
        <f aca="false">IF(COUNT($F263:$J263)=0,"",MAX($F263:$J263))</f>
        <v/>
      </c>
      <c r="M263" s="18" t="str">
        <f aca="false">IFERROR(IF(OR($C263="",COUNT($F263:$J263)&lt;3),"",IF(N(INDEX(Lists!$C$2:$C$40,MATCH($C263,Lists!$A$2:$A$40,0)))=0,"",IF(MIN($F263:$J263)&gt;=INDEX(Lists!$C$2:$C$40,MATCH($C263,Lists!$A$2:$A$40,0)),"LEVEL UP",""))),"")</f>
        <v/>
      </c>
      <c r="N263" s="20"/>
      <c r="O263" s="19"/>
    </row>
    <row r="264" customFormat="false" ht="15" hidden="false" customHeight="false" outlineLevel="0" collapsed="false">
      <c r="A264" s="17"/>
      <c r="B264" s="18" t="str">
        <f aca="false">IF($A264="","",TEXT($A264,"ddd"))</f>
        <v/>
      </c>
      <c r="C264" s="19"/>
      <c r="D264" s="19"/>
      <c r="E264" s="18" t="str">
        <f aca="false">IF($C264="","",IFERROR(INDEX(Lists!$B$2:$B$40,MATCH($C264,Lists!$A$2:$A$40,0)),""))</f>
        <v/>
      </c>
      <c r="F264" s="20"/>
      <c r="G264" s="20"/>
      <c r="H264" s="20"/>
      <c r="I264" s="20"/>
      <c r="J264" s="20"/>
      <c r="K264" s="18" t="str">
        <f aca="false">IF(COUNT($F264:$J264)=0,"",SUM($F264:$J264))</f>
        <v/>
      </c>
      <c r="L264" s="18" t="str">
        <f aca="false">IF(COUNT($F264:$J264)=0,"",MAX($F264:$J264))</f>
        <v/>
      </c>
      <c r="M264" s="18" t="str">
        <f aca="false">IFERROR(IF(OR($C264="",COUNT($F264:$J264)&lt;3),"",IF(N(INDEX(Lists!$C$2:$C$40,MATCH($C264,Lists!$A$2:$A$40,0)))=0,"",IF(MIN($F264:$J264)&gt;=INDEX(Lists!$C$2:$C$40,MATCH($C264,Lists!$A$2:$A$40,0)),"LEVEL UP",""))),"")</f>
        <v/>
      </c>
      <c r="N264" s="20"/>
      <c r="O264" s="19"/>
    </row>
    <row r="265" customFormat="false" ht="15" hidden="false" customHeight="false" outlineLevel="0" collapsed="false">
      <c r="A265" s="17"/>
      <c r="B265" s="18" t="str">
        <f aca="false">IF($A265="","",TEXT($A265,"ddd"))</f>
        <v/>
      </c>
      <c r="C265" s="19"/>
      <c r="D265" s="19"/>
      <c r="E265" s="18" t="str">
        <f aca="false">IF($C265="","",IFERROR(INDEX(Lists!$B$2:$B$40,MATCH($C265,Lists!$A$2:$A$40,0)),""))</f>
        <v/>
      </c>
      <c r="F265" s="20"/>
      <c r="G265" s="20"/>
      <c r="H265" s="20"/>
      <c r="I265" s="20"/>
      <c r="J265" s="20"/>
      <c r="K265" s="18" t="str">
        <f aca="false">IF(COUNT($F265:$J265)=0,"",SUM($F265:$J265))</f>
        <v/>
      </c>
      <c r="L265" s="18" t="str">
        <f aca="false">IF(COUNT($F265:$J265)=0,"",MAX($F265:$J265))</f>
        <v/>
      </c>
      <c r="M265" s="18" t="str">
        <f aca="false">IFERROR(IF(OR($C265="",COUNT($F265:$J265)&lt;3),"",IF(N(INDEX(Lists!$C$2:$C$40,MATCH($C265,Lists!$A$2:$A$40,0)))=0,"",IF(MIN($F265:$J265)&gt;=INDEX(Lists!$C$2:$C$40,MATCH($C265,Lists!$A$2:$A$40,0)),"LEVEL UP",""))),"")</f>
        <v/>
      </c>
      <c r="N265" s="20"/>
      <c r="O265" s="19"/>
    </row>
    <row r="266" customFormat="false" ht="15" hidden="false" customHeight="false" outlineLevel="0" collapsed="false">
      <c r="A266" s="17"/>
      <c r="B266" s="18" t="str">
        <f aca="false">IF($A266="","",TEXT($A266,"ddd"))</f>
        <v/>
      </c>
      <c r="C266" s="19"/>
      <c r="D266" s="19"/>
      <c r="E266" s="18" t="str">
        <f aca="false">IF($C266="","",IFERROR(INDEX(Lists!$B$2:$B$40,MATCH($C266,Lists!$A$2:$A$40,0)),""))</f>
        <v/>
      </c>
      <c r="F266" s="20"/>
      <c r="G266" s="20"/>
      <c r="H266" s="20"/>
      <c r="I266" s="20"/>
      <c r="J266" s="20"/>
      <c r="K266" s="18" t="str">
        <f aca="false">IF(COUNT($F266:$J266)=0,"",SUM($F266:$J266))</f>
        <v/>
      </c>
      <c r="L266" s="18" t="str">
        <f aca="false">IF(COUNT($F266:$J266)=0,"",MAX($F266:$J266))</f>
        <v/>
      </c>
      <c r="M266" s="18" t="str">
        <f aca="false">IFERROR(IF(OR($C266="",COUNT($F266:$J266)&lt;3),"",IF(N(INDEX(Lists!$C$2:$C$40,MATCH($C266,Lists!$A$2:$A$40,0)))=0,"",IF(MIN($F266:$J266)&gt;=INDEX(Lists!$C$2:$C$40,MATCH($C266,Lists!$A$2:$A$40,0)),"LEVEL UP",""))),"")</f>
        <v/>
      </c>
      <c r="N266" s="20"/>
      <c r="O266" s="19"/>
    </row>
    <row r="267" customFormat="false" ht="15" hidden="false" customHeight="false" outlineLevel="0" collapsed="false">
      <c r="A267" s="17"/>
      <c r="B267" s="18" t="str">
        <f aca="false">IF($A267="","",TEXT($A267,"ddd"))</f>
        <v/>
      </c>
      <c r="C267" s="19"/>
      <c r="D267" s="19"/>
      <c r="E267" s="18" t="str">
        <f aca="false">IF($C267="","",IFERROR(INDEX(Lists!$B$2:$B$40,MATCH($C267,Lists!$A$2:$A$40,0)),""))</f>
        <v/>
      </c>
      <c r="F267" s="20"/>
      <c r="G267" s="20"/>
      <c r="H267" s="20"/>
      <c r="I267" s="20"/>
      <c r="J267" s="20"/>
      <c r="K267" s="18" t="str">
        <f aca="false">IF(COUNT($F267:$J267)=0,"",SUM($F267:$J267))</f>
        <v/>
      </c>
      <c r="L267" s="18" t="str">
        <f aca="false">IF(COUNT($F267:$J267)=0,"",MAX($F267:$J267))</f>
        <v/>
      </c>
      <c r="M267" s="18" t="str">
        <f aca="false">IFERROR(IF(OR($C267="",COUNT($F267:$J267)&lt;3),"",IF(N(INDEX(Lists!$C$2:$C$40,MATCH($C267,Lists!$A$2:$A$40,0)))=0,"",IF(MIN($F267:$J267)&gt;=INDEX(Lists!$C$2:$C$40,MATCH($C267,Lists!$A$2:$A$40,0)),"LEVEL UP",""))),"")</f>
        <v/>
      </c>
      <c r="N267" s="20"/>
      <c r="O267" s="19"/>
    </row>
    <row r="268" customFormat="false" ht="15" hidden="false" customHeight="false" outlineLevel="0" collapsed="false">
      <c r="A268" s="17"/>
      <c r="B268" s="18" t="str">
        <f aca="false">IF($A268="","",TEXT($A268,"ddd"))</f>
        <v/>
      </c>
      <c r="C268" s="19"/>
      <c r="D268" s="19"/>
      <c r="E268" s="18" t="str">
        <f aca="false">IF($C268="","",IFERROR(INDEX(Lists!$B$2:$B$40,MATCH($C268,Lists!$A$2:$A$40,0)),""))</f>
        <v/>
      </c>
      <c r="F268" s="20"/>
      <c r="G268" s="20"/>
      <c r="H268" s="20"/>
      <c r="I268" s="20"/>
      <c r="J268" s="20"/>
      <c r="K268" s="18" t="str">
        <f aca="false">IF(COUNT($F268:$J268)=0,"",SUM($F268:$J268))</f>
        <v/>
      </c>
      <c r="L268" s="18" t="str">
        <f aca="false">IF(COUNT($F268:$J268)=0,"",MAX($F268:$J268))</f>
        <v/>
      </c>
      <c r="M268" s="18" t="str">
        <f aca="false">IFERROR(IF(OR($C268="",COUNT($F268:$J268)&lt;3),"",IF(N(INDEX(Lists!$C$2:$C$40,MATCH($C268,Lists!$A$2:$A$40,0)))=0,"",IF(MIN($F268:$J268)&gt;=INDEX(Lists!$C$2:$C$40,MATCH($C268,Lists!$A$2:$A$40,0)),"LEVEL UP",""))),"")</f>
        <v/>
      </c>
      <c r="N268" s="20"/>
      <c r="O268" s="19"/>
    </row>
    <row r="269" customFormat="false" ht="15" hidden="false" customHeight="false" outlineLevel="0" collapsed="false">
      <c r="A269" s="17"/>
      <c r="B269" s="18" t="str">
        <f aca="false">IF($A269="","",TEXT($A269,"ddd"))</f>
        <v/>
      </c>
      <c r="C269" s="19"/>
      <c r="D269" s="19"/>
      <c r="E269" s="18" t="str">
        <f aca="false">IF($C269="","",IFERROR(INDEX(Lists!$B$2:$B$40,MATCH($C269,Lists!$A$2:$A$40,0)),""))</f>
        <v/>
      </c>
      <c r="F269" s="20"/>
      <c r="G269" s="20"/>
      <c r="H269" s="20"/>
      <c r="I269" s="20"/>
      <c r="J269" s="20"/>
      <c r="K269" s="18" t="str">
        <f aca="false">IF(COUNT($F269:$J269)=0,"",SUM($F269:$J269))</f>
        <v/>
      </c>
      <c r="L269" s="18" t="str">
        <f aca="false">IF(COUNT($F269:$J269)=0,"",MAX($F269:$J269))</f>
        <v/>
      </c>
      <c r="M269" s="18" t="str">
        <f aca="false">IFERROR(IF(OR($C269="",COUNT($F269:$J269)&lt;3),"",IF(N(INDEX(Lists!$C$2:$C$40,MATCH($C269,Lists!$A$2:$A$40,0)))=0,"",IF(MIN($F269:$J269)&gt;=INDEX(Lists!$C$2:$C$40,MATCH($C269,Lists!$A$2:$A$40,0)),"LEVEL UP",""))),"")</f>
        <v/>
      </c>
      <c r="N269" s="20"/>
      <c r="O269" s="19"/>
    </row>
    <row r="270" customFormat="false" ht="15" hidden="false" customHeight="false" outlineLevel="0" collapsed="false">
      <c r="A270" s="17"/>
      <c r="B270" s="18" t="str">
        <f aca="false">IF($A270="","",TEXT($A270,"ddd"))</f>
        <v/>
      </c>
      <c r="C270" s="19"/>
      <c r="D270" s="19"/>
      <c r="E270" s="18" t="str">
        <f aca="false">IF($C270="","",IFERROR(INDEX(Lists!$B$2:$B$40,MATCH($C270,Lists!$A$2:$A$40,0)),""))</f>
        <v/>
      </c>
      <c r="F270" s="20"/>
      <c r="G270" s="20"/>
      <c r="H270" s="20"/>
      <c r="I270" s="20"/>
      <c r="J270" s="20"/>
      <c r="K270" s="18" t="str">
        <f aca="false">IF(COUNT($F270:$J270)=0,"",SUM($F270:$J270))</f>
        <v/>
      </c>
      <c r="L270" s="18" t="str">
        <f aca="false">IF(COUNT($F270:$J270)=0,"",MAX($F270:$J270))</f>
        <v/>
      </c>
      <c r="M270" s="18" t="str">
        <f aca="false">IFERROR(IF(OR($C270="",COUNT($F270:$J270)&lt;3),"",IF(N(INDEX(Lists!$C$2:$C$40,MATCH($C270,Lists!$A$2:$A$40,0)))=0,"",IF(MIN($F270:$J270)&gt;=INDEX(Lists!$C$2:$C$40,MATCH($C270,Lists!$A$2:$A$40,0)),"LEVEL UP",""))),"")</f>
        <v/>
      </c>
      <c r="N270" s="20"/>
      <c r="O270" s="19"/>
    </row>
    <row r="271" customFormat="false" ht="15" hidden="false" customHeight="false" outlineLevel="0" collapsed="false">
      <c r="A271" s="17"/>
      <c r="B271" s="18" t="str">
        <f aca="false">IF($A271="","",TEXT($A271,"ddd"))</f>
        <v/>
      </c>
      <c r="C271" s="19"/>
      <c r="D271" s="19"/>
      <c r="E271" s="18" t="str">
        <f aca="false">IF($C271="","",IFERROR(INDEX(Lists!$B$2:$B$40,MATCH($C271,Lists!$A$2:$A$40,0)),""))</f>
        <v/>
      </c>
      <c r="F271" s="20"/>
      <c r="G271" s="20"/>
      <c r="H271" s="20"/>
      <c r="I271" s="20"/>
      <c r="J271" s="20"/>
      <c r="K271" s="18" t="str">
        <f aca="false">IF(COUNT($F271:$J271)=0,"",SUM($F271:$J271))</f>
        <v/>
      </c>
      <c r="L271" s="18" t="str">
        <f aca="false">IF(COUNT($F271:$J271)=0,"",MAX($F271:$J271))</f>
        <v/>
      </c>
      <c r="M271" s="18" t="str">
        <f aca="false">IFERROR(IF(OR($C271="",COUNT($F271:$J271)&lt;3),"",IF(N(INDEX(Lists!$C$2:$C$40,MATCH($C271,Lists!$A$2:$A$40,0)))=0,"",IF(MIN($F271:$J271)&gt;=INDEX(Lists!$C$2:$C$40,MATCH($C271,Lists!$A$2:$A$40,0)),"LEVEL UP",""))),"")</f>
        <v/>
      </c>
      <c r="N271" s="20"/>
      <c r="O271" s="19"/>
    </row>
    <row r="272" customFormat="false" ht="15" hidden="false" customHeight="false" outlineLevel="0" collapsed="false">
      <c r="A272" s="17"/>
      <c r="B272" s="18" t="str">
        <f aca="false">IF($A272="","",TEXT($A272,"ddd"))</f>
        <v/>
      </c>
      <c r="C272" s="19"/>
      <c r="D272" s="19"/>
      <c r="E272" s="18" t="str">
        <f aca="false">IF($C272="","",IFERROR(INDEX(Lists!$B$2:$B$40,MATCH($C272,Lists!$A$2:$A$40,0)),""))</f>
        <v/>
      </c>
      <c r="F272" s="20"/>
      <c r="G272" s="20"/>
      <c r="H272" s="20"/>
      <c r="I272" s="20"/>
      <c r="J272" s="20"/>
      <c r="K272" s="18" t="str">
        <f aca="false">IF(COUNT($F272:$J272)=0,"",SUM($F272:$J272))</f>
        <v/>
      </c>
      <c r="L272" s="18" t="str">
        <f aca="false">IF(COUNT($F272:$J272)=0,"",MAX($F272:$J272))</f>
        <v/>
      </c>
      <c r="M272" s="18" t="str">
        <f aca="false">IFERROR(IF(OR($C272="",COUNT($F272:$J272)&lt;3),"",IF(N(INDEX(Lists!$C$2:$C$40,MATCH($C272,Lists!$A$2:$A$40,0)))=0,"",IF(MIN($F272:$J272)&gt;=INDEX(Lists!$C$2:$C$40,MATCH($C272,Lists!$A$2:$A$40,0)),"LEVEL UP",""))),"")</f>
        <v/>
      </c>
      <c r="N272" s="20"/>
      <c r="O272" s="19"/>
    </row>
    <row r="273" customFormat="false" ht="15" hidden="false" customHeight="false" outlineLevel="0" collapsed="false">
      <c r="A273" s="17"/>
      <c r="B273" s="18" t="str">
        <f aca="false">IF($A273="","",TEXT($A273,"ddd"))</f>
        <v/>
      </c>
      <c r="C273" s="19"/>
      <c r="D273" s="19"/>
      <c r="E273" s="18" t="str">
        <f aca="false">IF($C273="","",IFERROR(INDEX(Lists!$B$2:$B$40,MATCH($C273,Lists!$A$2:$A$40,0)),""))</f>
        <v/>
      </c>
      <c r="F273" s="20"/>
      <c r="G273" s="20"/>
      <c r="H273" s="20"/>
      <c r="I273" s="20"/>
      <c r="J273" s="20"/>
      <c r="K273" s="18" t="str">
        <f aca="false">IF(COUNT($F273:$J273)=0,"",SUM($F273:$J273))</f>
        <v/>
      </c>
      <c r="L273" s="18" t="str">
        <f aca="false">IF(COUNT($F273:$J273)=0,"",MAX($F273:$J273))</f>
        <v/>
      </c>
      <c r="M273" s="18" t="str">
        <f aca="false">IFERROR(IF(OR($C273="",COUNT($F273:$J273)&lt;3),"",IF(N(INDEX(Lists!$C$2:$C$40,MATCH($C273,Lists!$A$2:$A$40,0)))=0,"",IF(MIN($F273:$J273)&gt;=INDEX(Lists!$C$2:$C$40,MATCH($C273,Lists!$A$2:$A$40,0)),"LEVEL UP",""))),"")</f>
        <v/>
      </c>
      <c r="N273" s="20"/>
      <c r="O273" s="19"/>
    </row>
    <row r="274" customFormat="false" ht="15" hidden="false" customHeight="false" outlineLevel="0" collapsed="false">
      <c r="A274" s="17"/>
      <c r="B274" s="18" t="str">
        <f aca="false">IF($A274="","",TEXT($A274,"ddd"))</f>
        <v/>
      </c>
      <c r="C274" s="19"/>
      <c r="D274" s="19"/>
      <c r="E274" s="18" t="str">
        <f aca="false">IF($C274="","",IFERROR(INDEX(Lists!$B$2:$B$40,MATCH($C274,Lists!$A$2:$A$40,0)),""))</f>
        <v/>
      </c>
      <c r="F274" s="20"/>
      <c r="G274" s="20"/>
      <c r="H274" s="20"/>
      <c r="I274" s="20"/>
      <c r="J274" s="20"/>
      <c r="K274" s="18" t="str">
        <f aca="false">IF(COUNT($F274:$J274)=0,"",SUM($F274:$J274))</f>
        <v/>
      </c>
      <c r="L274" s="18" t="str">
        <f aca="false">IF(COUNT($F274:$J274)=0,"",MAX($F274:$J274))</f>
        <v/>
      </c>
      <c r="M274" s="18" t="str">
        <f aca="false">IFERROR(IF(OR($C274="",COUNT($F274:$J274)&lt;3),"",IF(N(INDEX(Lists!$C$2:$C$40,MATCH($C274,Lists!$A$2:$A$40,0)))=0,"",IF(MIN($F274:$J274)&gt;=INDEX(Lists!$C$2:$C$40,MATCH($C274,Lists!$A$2:$A$40,0)),"LEVEL UP",""))),"")</f>
        <v/>
      </c>
      <c r="N274" s="20"/>
      <c r="O274" s="19"/>
    </row>
    <row r="275" customFormat="false" ht="15" hidden="false" customHeight="false" outlineLevel="0" collapsed="false">
      <c r="A275" s="17"/>
      <c r="B275" s="18" t="str">
        <f aca="false">IF($A275="","",TEXT($A275,"ddd"))</f>
        <v/>
      </c>
      <c r="C275" s="19"/>
      <c r="D275" s="19"/>
      <c r="E275" s="18" t="str">
        <f aca="false">IF($C275="","",IFERROR(INDEX(Lists!$B$2:$B$40,MATCH($C275,Lists!$A$2:$A$40,0)),""))</f>
        <v/>
      </c>
      <c r="F275" s="20"/>
      <c r="G275" s="20"/>
      <c r="H275" s="20"/>
      <c r="I275" s="20"/>
      <c r="J275" s="20"/>
      <c r="K275" s="18" t="str">
        <f aca="false">IF(COUNT($F275:$J275)=0,"",SUM($F275:$J275))</f>
        <v/>
      </c>
      <c r="L275" s="18" t="str">
        <f aca="false">IF(COUNT($F275:$J275)=0,"",MAX($F275:$J275))</f>
        <v/>
      </c>
      <c r="M275" s="18" t="str">
        <f aca="false">IFERROR(IF(OR($C275="",COUNT($F275:$J275)&lt;3),"",IF(N(INDEX(Lists!$C$2:$C$40,MATCH($C275,Lists!$A$2:$A$40,0)))=0,"",IF(MIN($F275:$J275)&gt;=INDEX(Lists!$C$2:$C$40,MATCH($C275,Lists!$A$2:$A$40,0)),"LEVEL UP",""))),"")</f>
        <v/>
      </c>
      <c r="N275" s="20"/>
      <c r="O275" s="19"/>
    </row>
    <row r="276" customFormat="false" ht="15" hidden="false" customHeight="false" outlineLevel="0" collapsed="false">
      <c r="A276" s="17"/>
      <c r="B276" s="18" t="str">
        <f aca="false">IF($A276="","",TEXT($A276,"ddd"))</f>
        <v/>
      </c>
      <c r="C276" s="19"/>
      <c r="D276" s="19"/>
      <c r="E276" s="18" t="str">
        <f aca="false">IF($C276="","",IFERROR(INDEX(Lists!$B$2:$B$40,MATCH($C276,Lists!$A$2:$A$40,0)),""))</f>
        <v/>
      </c>
      <c r="F276" s="20"/>
      <c r="G276" s="20"/>
      <c r="H276" s="20"/>
      <c r="I276" s="20"/>
      <c r="J276" s="20"/>
      <c r="K276" s="18" t="str">
        <f aca="false">IF(COUNT($F276:$J276)=0,"",SUM($F276:$J276))</f>
        <v/>
      </c>
      <c r="L276" s="18" t="str">
        <f aca="false">IF(COUNT($F276:$J276)=0,"",MAX($F276:$J276))</f>
        <v/>
      </c>
      <c r="M276" s="18" t="str">
        <f aca="false">IFERROR(IF(OR($C276="",COUNT($F276:$J276)&lt;3),"",IF(N(INDEX(Lists!$C$2:$C$40,MATCH($C276,Lists!$A$2:$A$40,0)))=0,"",IF(MIN($F276:$J276)&gt;=INDEX(Lists!$C$2:$C$40,MATCH($C276,Lists!$A$2:$A$40,0)),"LEVEL UP",""))),"")</f>
        <v/>
      </c>
      <c r="N276" s="20"/>
      <c r="O276" s="19"/>
    </row>
    <row r="277" customFormat="false" ht="15" hidden="false" customHeight="false" outlineLevel="0" collapsed="false">
      <c r="A277" s="17"/>
      <c r="B277" s="18" t="str">
        <f aca="false">IF($A277="","",TEXT($A277,"ddd"))</f>
        <v/>
      </c>
      <c r="C277" s="19"/>
      <c r="D277" s="19"/>
      <c r="E277" s="18" t="str">
        <f aca="false">IF($C277="","",IFERROR(INDEX(Lists!$B$2:$B$40,MATCH($C277,Lists!$A$2:$A$40,0)),""))</f>
        <v/>
      </c>
      <c r="F277" s="20"/>
      <c r="G277" s="20"/>
      <c r="H277" s="20"/>
      <c r="I277" s="20"/>
      <c r="J277" s="20"/>
      <c r="K277" s="18" t="str">
        <f aca="false">IF(COUNT($F277:$J277)=0,"",SUM($F277:$J277))</f>
        <v/>
      </c>
      <c r="L277" s="18" t="str">
        <f aca="false">IF(COUNT($F277:$J277)=0,"",MAX($F277:$J277))</f>
        <v/>
      </c>
      <c r="M277" s="18" t="str">
        <f aca="false">IFERROR(IF(OR($C277="",COUNT($F277:$J277)&lt;3),"",IF(N(INDEX(Lists!$C$2:$C$40,MATCH($C277,Lists!$A$2:$A$40,0)))=0,"",IF(MIN($F277:$J277)&gt;=INDEX(Lists!$C$2:$C$40,MATCH($C277,Lists!$A$2:$A$40,0)),"LEVEL UP",""))),"")</f>
        <v/>
      </c>
      <c r="N277" s="20"/>
      <c r="O277" s="19"/>
    </row>
    <row r="278" customFormat="false" ht="15" hidden="false" customHeight="false" outlineLevel="0" collapsed="false">
      <c r="A278" s="17"/>
      <c r="B278" s="18" t="str">
        <f aca="false">IF($A278="","",TEXT($A278,"ddd"))</f>
        <v/>
      </c>
      <c r="C278" s="19"/>
      <c r="D278" s="19"/>
      <c r="E278" s="18" t="str">
        <f aca="false">IF($C278="","",IFERROR(INDEX(Lists!$B$2:$B$40,MATCH($C278,Lists!$A$2:$A$40,0)),""))</f>
        <v/>
      </c>
      <c r="F278" s="20"/>
      <c r="G278" s="20"/>
      <c r="H278" s="20"/>
      <c r="I278" s="20"/>
      <c r="J278" s="20"/>
      <c r="K278" s="18" t="str">
        <f aca="false">IF(COUNT($F278:$J278)=0,"",SUM($F278:$J278))</f>
        <v/>
      </c>
      <c r="L278" s="18" t="str">
        <f aca="false">IF(COUNT($F278:$J278)=0,"",MAX($F278:$J278))</f>
        <v/>
      </c>
      <c r="M278" s="18" t="str">
        <f aca="false">IFERROR(IF(OR($C278="",COUNT($F278:$J278)&lt;3),"",IF(N(INDEX(Lists!$C$2:$C$40,MATCH($C278,Lists!$A$2:$A$40,0)))=0,"",IF(MIN($F278:$J278)&gt;=INDEX(Lists!$C$2:$C$40,MATCH($C278,Lists!$A$2:$A$40,0)),"LEVEL UP",""))),"")</f>
        <v/>
      </c>
      <c r="N278" s="20"/>
      <c r="O278" s="19"/>
    </row>
    <row r="279" customFormat="false" ht="15" hidden="false" customHeight="false" outlineLevel="0" collapsed="false">
      <c r="A279" s="17"/>
      <c r="B279" s="18" t="str">
        <f aca="false">IF($A279="","",TEXT($A279,"ddd"))</f>
        <v/>
      </c>
      <c r="C279" s="19"/>
      <c r="D279" s="19"/>
      <c r="E279" s="18" t="str">
        <f aca="false">IF($C279="","",IFERROR(INDEX(Lists!$B$2:$B$40,MATCH($C279,Lists!$A$2:$A$40,0)),""))</f>
        <v/>
      </c>
      <c r="F279" s="20"/>
      <c r="G279" s="20"/>
      <c r="H279" s="20"/>
      <c r="I279" s="20"/>
      <c r="J279" s="20"/>
      <c r="K279" s="18" t="str">
        <f aca="false">IF(COUNT($F279:$J279)=0,"",SUM($F279:$J279))</f>
        <v/>
      </c>
      <c r="L279" s="18" t="str">
        <f aca="false">IF(COUNT($F279:$J279)=0,"",MAX($F279:$J279))</f>
        <v/>
      </c>
      <c r="M279" s="18" t="str">
        <f aca="false">IFERROR(IF(OR($C279="",COUNT($F279:$J279)&lt;3),"",IF(N(INDEX(Lists!$C$2:$C$40,MATCH($C279,Lists!$A$2:$A$40,0)))=0,"",IF(MIN($F279:$J279)&gt;=INDEX(Lists!$C$2:$C$40,MATCH($C279,Lists!$A$2:$A$40,0)),"LEVEL UP",""))),"")</f>
        <v/>
      </c>
      <c r="N279" s="20"/>
      <c r="O279" s="19"/>
    </row>
    <row r="280" customFormat="false" ht="15" hidden="false" customHeight="false" outlineLevel="0" collapsed="false">
      <c r="A280" s="17"/>
      <c r="B280" s="18" t="str">
        <f aca="false">IF($A280="","",TEXT($A280,"ddd"))</f>
        <v/>
      </c>
      <c r="C280" s="19"/>
      <c r="D280" s="19"/>
      <c r="E280" s="18" t="str">
        <f aca="false">IF($C280="","",IFERROR(INDEX(Lists!$B$2:$B$40,MATCH($C280,Lists!$A$2:$A$40,0)),""))</f>
        <v/>
      </c>
      <c r="F280" s="20"/>
      <c r="G280" s="20"/>
      <c r="H280" s="20"/>
      <c r="I280" s="20"/>
      <c r="J280" s="20"/>
      <c r="K280" s="18" t="str">
        <f aca="false">IF(COUNT($F280:$J280)=0,"",SUM($F280:$J280))</f>
        <v/>
      </c>
      <c r="L280" s="18" t="str">
        <f aca="false">IF(COUNT($F280:$J280)=0,"",MAX($F280:$J280))</f>
        <v/>
      </c>
      <c r="M280" s="18" t="str">
        <f aca="false">IFERROR(IF(OR($C280="",COUNT($F280:$J280)&lt;3),"",IF(N(INDEX(Lists!$C$2:$C$40,MATCH($C280,Lists!$A$2:$A$40,0)))=0,"",IF(MIN($F280:$J280)&gt;=INDEX(Lists!$C$2:$C$40,MATCH($C280,Lists!$A$2:$A$40,0)),"LEVEL UP",""))),"")</f>
        <v/>
      </c>
      <c r="N280" s="20"/>
      <c r="O280" s="19"/>
    </row>
    <row r="281" customFormat="false" ht="15" hidden="false" customHeight="false" outlineLevel="0" collapsed="false">
      <c r="A281" s="17"/>
      <c r="B281" s="18" t="str">
        <f aca="false">IF($A281="","",TEXT($A281,"ddd"))</f>
        <v/>
      </c>
      <c r="C281" s="19"/>
      <c r="D281" s="19"/>
      <c r="E281" s="18" t="str">
        <f aca="false">IF($C281="","",IFERROR(INDEX(Lists!$B$2:$B$40,MATCH($C281,Lists!$A$2:$A$40,0)),""))</f>
        <v/>
      </c>
      <c r="F281" s="20"/>
      <c r="G281" s="20"/>
      <c r="H281" s="20"/>
      <c r="I281" s="20"/>
      <c r="J281" s="20"/>
      <c r="K281" s="18" t="str">
        <f aca="false">IF(COUNT($F281:$J281)=0,"",SUM($F281:$J281))</f>
        <v/>
      </c>
      <c r="L281" s="18" t="str">
        <f aca="false">IF(COUNT($F281:$J281)=0,"",MAX($F281:$J281))</f>
        <v/>
      </c>
      <c r="M281" s="18" t="str">
        <f aca="false">IFERROR(IF(OR($C281="",COUNT($F281:$J281)&lt;3),"",IF(N(INDEX(Lists!$C$2:$C$40,MATCH($C281,Lists!$A$2:$A$40,0)))=0,"",IF(MIN($F281:$J281)&gt;=INDEX(Lists!$C$2:$C$40,MATCH($C281,Lists!$A$2:$A$40,0)),"LEVEL UP",""))),"")</f>
        <v/>
      </c>
      <c r="N281" s="20"/>
      <c r="O281" s="19"/>
    </row>
    <row r="282" customFormat="false" ht="15" hidden="false" customHeight="false" outlineLevel="0" collapsed="false">
      <c r="A282" s="17"/>
      <c r="B282" s="18" t="str">
        <f aca="false">IF($A282="","",TEXT($A282,"ddd"))</f>
        <v/>
      </c>
      <c r="C282" s="19"/>
      <c r="D282" s="19"/>
      <c r="E282" s="18" t="str">
        <f aca="false">IF($C282="","",IFERROR(INDEX(Lists!$B$2:$B$40,MATCH($C282,Lists!$A$2:$A$40,0)),""))</f>
        <v/>
      </c>
      <c r="F282" s="20"/>
      <c r="G282" s="20"/>
      <c r="H282" s="20"/>
      <c r="I282" s="20"/>
      <c r="J282" s="20"/>
      <c r="K282" s="18" t="str">
        <f aca="false">IF(COUNT($F282:$J282)=0,"",SUM($F282:$J282))</f>
        <v/>
      </c>
      <c r="L282" s="18" t="str">
        <f aca="false">IF(COUNT($F282:$J282)=0,"",MAX($F282:$J282))</f>
        <v/>
      </c>
      <c r="M282" s="18" t="str">
        <f aca="false">IFERROR(IF(OR($C282="",COUNT($F282:$J282)&lt;3),"",IF(N(INDEX(Lists!$C$2:$C$40,MATCH($C282,Lists!$A$2:$A$40,0)))=0,"",IF(MIN($F282:$J282)&gt;=INDEX(Lists!$C$2:$C$40,MATCH($C282,Lists!$A$2:$A$40,0)),"LEVEL UP",""))),"")</f>
        <v/>
      </c>
      <c r="N282" s="20"/>
      <c r="O282" s="19"/>
    </row>
    <row r="283" customFormat="false" ht="15" hidden="false" customHeight="false" outlineLevel="0" collapsed="false">
      <c r="A283" s="17"/>
      <c r="B283" s="18" t="str">
        <f aca="false">IF($A283="","",TEXT($A283,"ddd"))</f>
        <v/>
      </c>
      <c r="C283" s="19"/>
      <c r="D283" s="19"/>
      <c r="E283" s="18" t="str">
        <f aca="false">IF($C283="","",IFERROR(INDEX(Lists!$B$2:$B$40,MATCH($C283,Lists!$A$2:$A$40,0)),""))</f>
        <v/>
      </c>
      <c r="F283" s="20"/>
      <c r="G283" s="20"/>
      <c r="H283" s="20"/>
      <c r="I283" s="20"/>
      <c r="J283" s="20"/>
      <c r="K283" s="18" t="str">
        <f aca="false">IF(COUNT($F283:$J283)=0,"",SUM($F283:$J283))</f>
        <v/>
      </c>
      <c r="L283" s="18" t="str">
        <f aca="false">IF(COUNT($F283:$J283)=0,"",MAX($F283:$J283))</f>
        <v/>
      </c>
      <c r="M283" s="18" t="str">
        <f aca="false">IFERROR(IF(OR($C283="",COUNT($F283:$J283)&lt;3),"",IF(N(INDEX(Lists!$C$2:$C$40,MATCH($C283,Lists!$A$2:$A$40,0)))=0,"",IF(MIN($F283:$J283)&gt;=INDEX(Lists!$C$2:$C$40,MATCH($C283,Lists!$A$2:$A$40,0)),"LEVEL UP",""))),"")</f>
        <v/>
      </c>
      <c r="N283" s="20"/>
      <c r="O283" s="19"/>
    </row>
    <row r="284" customFormat="false" ht="15" hidden="false" customHeight="false" outlineLevel="0" collapsed="false">
      <c r="A284" s="17"/>
      <c r="B284" s="18" t="str">
        <f aca="false">IF($A284="","",TEXT($A284,"ddd"))</f>
        <v/>
      </c>
      <c r="C284" s="19"/>
      <c r="D284" s="19"/>
      <c r="E284" s="18" t="str">
        <f aca="false">IF($C284="","",IFERROR(INDEX(Lists!$B$2:$B$40,MATCH($C284,Lists!$A$2:$A$40,0)),""))</f>
        <v/>
      </c>
      <c r="F284" s="20"/>
      <c r="G284" s="20"/>
      <c r="H284" s="20"/>
      <c r="I284" s="20"/>
      <c r="J284" s="20"/>
      <c r="K284" s="18" t="str">
        <f aca="false">IF(COUNT($F284:$J284)=0,"",SUM($F284:$J284))</f>
        <v/>
      </c>
      <c r="L284" s="18" t="str">
        <f aca="false">IF(COUNT($F284:$J284)=0,"",MAX($F284:$J284))</f>
        <v/>
      </c>
      <c r="M284" s="18" t="str">
        <f aca="false">IFERROR(IF(OR($C284="",COUNT($F284:$J284)&lt;3),"",IF(N(INDEX(Lists!$C$2:$C$40,MATCH($C284,Lists!$A$2:$A$40,0)))=0,"",IF(MIN($F284:$J284)&gt;=INDEX(Lists!$C$2:$C$40,MATCH($C284,Lists!$A$2:$A$40,0)),"LEVEL UP",""))),"")</f>
        <v/>
      </c>
      <c r="N284" s="20"/>
      <c r="O284" s="19"/>
    </row>
    <row r="285" customFormat="false" ht="15" hidden="false" customHeight="false" outlineLevel="0" collapsed="false">
      <c r="A285" s="17"/>
      <c r="B285" s="18" t="str">
        <f aca="false">IF($A285="","",TEXT($A285,"ddd"))</f>
        <v/>
      </c>
      <c r="C285" s="19"/>
      <c r="D285" s="19"/>
      <c r="E285" s="18" t="str">
        <f aca="false">IF($C285="","",IFERROR(INDEX(Lists!$B$2:$B$40,MATCH($C285,Lists!$A$2:$A$40,0)),""))</f>
        <v/>
      </c>
      <c r="F285" s="20"/>
      <c r="G285" s="20"/>
      <c r="H285" s="20"/>
      <c r="I285" s="20"/>
      <c r="J285" s="20"/>
      <c r="K285" s="18" t="str">
        <f aca="false">IF(COUNT($F285:$J285)=0,"",SUM($F285:$J285))</f>
        <v/>
      </c>
      <c r="L285" s="18" t="str">
        <f aca="false">IF(COUNT($F285:$J285)=0,"",MAX($F285:$J285))</f>
        <v/>
      </c>
      <c r="M285" s="18" t="str">
        <f aca="false">IFERROR(IF(OR($C285="",COUNT($F285:$J285)&lt;3),"",IF(N(INDEX(Lists!$C$2:$C$40,MATCH($C285,Lists!$A$2:$A$40,0)))=0,"",IF(MIN($F285:$J285)&gt;=INDEX(Lists!$C$2:$C$40,MATCH($C285,Lists!$A$2:$A$40,0)),"LEVEL UP",""))),"")</f>
        <v/>
      </c>
      <c r="N285" s="20"/>
      <c r="O285" s="19"/>
    </row>
    <row r="286" customFormat="false" ht="15" hidden="false" customHeight="false" outlineLevel="0" collapsed="false">
      <c r="A286" s="17"/>
      <c r="B286" s="18" t="str">
        <f aca="false">IF($A286="","",TEXT($A286,"ddd"))</f>
        <v/>
      </c>
      <c r="C286" s="19"/>
      <c r="D286" s="19"/>
      <c r="E286" s="18" t="str">
        <f aca="false">IF($C286="","",IFERROR(INDEX(Lists!$B$2:$B$40,MATCH($C286,Lists!$A$2:$A$40,0)),""))</f>
        <v/>
      </c>
      <c r="F286" s="20"/>
      <c r="G286" s="20"/>
      <c r="H286" s="20"/>
      <c r="I286" s="20"/>
      <c r="J286" s="20"/>
      <c r="K286" s="18" t="str">
        <f aca="false">IF(COUNT($F286:$J286)=0,"",SUM($F286:$J286))</f>
        <v/>
      </c>
      <c r="L286" s="18" t="str">
        <f aca="false">IF(COUNT($F286:$J286)=0,"",MAX($F286:$J286))</f>
        <v/>
      </c>
      <c r="M286" s="18" t="str">
        <f aca="false">IFERROR(IF(OR($C286="",COUNT($F286:$J286)&lt;3),"",IF(N(INDEX(Lists!$C$2:$C$40,MATCH($C286,Lists!$A$2:$A$40,0)))=0,"",IF(MIN($F286:$J286)&gt;=INDEX(Lists!$C$2:$C$40,MATCH($C286,Lists!$A$2:$A$40,0)),"LEVEL UP",""))),"")</f>
        <v/>
      </c>
      <c r="N286" s="20"/>
      <c r="O286" s="19"/>
    </row>
    <row r="287" customFormat="false" ht="15" hidden="false" customHeight="false" outlineLevel="0" collapsed="false">
      <c r="A287" s="17"/>
      <c r="B287" s="18" t="str">
        <f aca="false">IF($A287="","",TEXT($A287,"ddd"))</f>
        <v/>
      </c>
      <c r="C287" s="19"/>
      <c r="D287" s="19"/>
      <c r="E287" s="18" t="str">
        <f aca="false">IF($C287="","",IFERROR(INDEX(Lists!$B$2:$B$40,MATCH($C287,Lists!$A$2:$A$40,0)),""))</f>
        <v/>
      </c>
      <c r="F287" s="20"/>
      <c r="G287" s="20"/>
      <c r="H287" s="20"/>
      <c r="I287" s="20"/>
      <c r="J287" s="20"/>
      <c r="K287" s="18" t="str">
        <f aca="false">IF(COUNT($F287:$J287)=0,"",SUM($F287:$J287))</f>
        <v/>
      </c>
      <c r="L287" s="18" t="str">
        <f aca="false">IF(COUNT($F287:$J287)=0,"",MAX($F287:$J287))</f>
        <v/>
      </c>
      <c r="M287" s="18" t="str">
        <f aca="false">IFERROR(IF(OR($C287="",COUNT($F287:$J287)&lt;3),"",IF(N(INDEX(Lists!$C$2:$C$40,MATCH($C287,Lists!$A$2:$A$40,0)))=0,"",IF(MIN($F287:$J287)&gt;=INDEX(Lists!$C$2:$C$40,MATCH($C287,Lists!$A$2:$A$40,0)),"LEVEL UP",""))),"")</f>
        <v/>
      </c>
      <c r="N287" s="20"/>
      <c r="O287" s="19"/>
    </row>
    <row r="288" customFormat="false" ht="15" hidden="false" customHeight="false" outlineLevel="0" collapsed="false">
      <c r="A288" s="17"/>
      <c r="B288" s="18" t="str">
        <f aca="false">IF($A288="","",TEXT($A288,"ddd"))</f>
        <v/>
      </c>
      <c r="C288" s="19"/>
      <c r="D288" s="19"/>
      <c r="E288" s="18" t="str">
        <f aca="false">IF($C288="","",IFERROR(INDEX(Lists!$B$2:$B$40,MATCH($C288,Lists!$A$2:$A$40,0)),""))</f>
        <v/>
      </c>
      <c r="F288" s="20"/>
      <c r="G288" s="20"/>
      <c r="H288" s="20"/>
      <c r="I288" s="20"/>
      <c r="J288" s="20"/>
      <c r="K288" s="18" t="str">
        <f aca="false">IF(COUNT($F288:$J288)=0,"",SUM($F288:$J288))</f>
        <v/>
      </c>
      <c r="L288" s="18" t="str">
        <f aca="false">IF(COUNT($F288:$J288)=0,"",MAX($F288:$J288))</f>
        <v/>
      </c>
      <c r="M288" s="18" t="str">
        <f aca="false">IFERROR(IF(OR($C288="",COUNT($F288:$J288)&lt;3),"",IF(N(INDEX(Lists!$C$2:$C$40,MATCH($C288,Lists!$A$2:$A$40,0)))=0,"",IF(MIN($F288:$J288)&gt;=INDEX(Lists!$C$2:$C$40,MATCH($C288,Lists!$A$2:$A$40,0)),"LEVEL UP",""))),"")</f>
        <v/>
      </c>
      <c r="N288" s="20"/>
      <c r="O288" s="19"/>
    </row>
    <row r="289" customFormat="false" ht="15" hidden="false" customHeight="false" outlineLevel="0" collapsed="false">
      <c r="A289" s="17"/>
      <c r="B289" s="18" t="str">
        <f aca="false">IF($A289="","",TEXT($A289,"ddd"))</f>
        <v/>
      </c>
      <c r="C289" s="19"/>
      <c r="D289" s="19"/>
      <c r="E289" s="18" t="str">
        <f aca="false">IF($C289="","",IFERROR(INDEX(Lists!$B$2:$B$40,MATCH($C289,Lists!$A$2:$A$40,0)),""))</f>
        <v/>
      </c>
      <c r="F289" s="20"/>
      <c r="G289" s="20"/>
      <c r="H289" s="20"/>
      <c r="I289" s="20"/>
      <c r="J289" s="20"/>
      <c r="K289" s="18" t="str">
        <f aca="false">IF(COUNT($F289:$J289)=0,"",SUM($F289:$J289))</f>
        <v/>
      </c>
      <c r="L289" s="18" t="str">
        <f aca="false">IF(COUNT($F289:$J289)=0,"",MAX($F289:$J289))</f>
        <v/>
      </c>
      <c r="M289" s="18" t="str">
        <f aca="false">IFERROR(IF(OR($C289="",COUNT($F289:$J289)&lt;3),"",IF(N(INDEX(Lists!$C$2:$C$40,MATCH($C289,Lists!$A$2:$A$40,0)))=0,"",IF(MIN($F289:$J289)&gt;=INDEX(Lists!$C$2:$C$40,MATCH($C289,Lists!$A$2:$A$40,0)),"LEVEL UP",""))),"")</f>
        <v/>
      </c>
      <c r="N289" s="20"/>
      <c r="O289" s="19"/>
    </row>
    <row r="290" customFormat="false" ht="15" hidden="false" customHeight="false" outlineLevel="0" collapsed="false">
      <c r="A290" s="17"/>
      <c r="B290" s="18" t="str">
        <f aca="false">IF($A290="","",TEXT($A290,"ddd"))</f>
        <v/>
      </c>
      <c r="C290" s="19"/>
      <c r="D290" s="19"/>
      <c r="E290" s="18" t="str">
        <f aca="false">IF($C290="","",IFERROR(INDEX(Lists!$B$2:$B$40,MATCH($C290,Lists!$A$2:$A$40,0)),""))</f>
        <v/>
      </c>
      <c r="F290" s="20"/>
      <c r="G290" s="20"/>
      <c r="H290" s="20"/>
      <c r="I290" s="20"/>
      <c r="J290" s="20"/>
      <c r="K290" s="18" t="str">
        <f aca="false">IF(COUNT($F290:$J290)=0,"",SUM($F290:$J290))</f>
        <v/>
      </c>
      <c r="L290" s="18" t="str">
        <f aca="false">IF(COUNT($F290:$J290)=0,"",MAX($F290:$J290))</f>
        <v/>
      </c>
      <c r="M290" s="18" t="str">
        <f aca="false">IFERROR(IF(OR($C290="",COUNT($F290:$J290)&lt;3),"",IF(N(INDEX(Lists!$C$2:$C$40,MATCH($C290,Lists!$A$2:$A$40,0)))=0,"",IF(MIN($F290:$J290)&gt;=INDEX(Lists!$C$2:$C$40,MATCH($C290,Lists!$A$2:$A$40,0)),"LEVEL UP",""))),"")</f>
        <v/>
      </c>
      <c r="N290" s="20"/>
      <c r="O290" s="19"/>
    </row>
    <row r="291" customFormat="false" ht="15" hidden="false" customHeight="false" outlineLevel="0" collapsed="false">
      <c r="A291" s="17"/>
      <c r="B291" s="18" t="str">
        <f aca="false">IF($A291="","",TEXT($A291,"ddd"))</f>
        <v/>
      </c>
      <c r="C291" s="19"/>
      <c r="D291" s="19"/>
      <c r="E291" s="18" t="str">
        <f aca="false">IF($C291="","",IFERROR(INDEX(Lists!$B$2:$B$40,MATCH($C291,Lists!$A$2:$A$40,0)),""))</f>
        <v/>
      </c>
      <c r="F291" s="20"/>
      <c r="G291" s="20"/>
      <c r="H291" s="20"/>
      <c r="I291" s="20"/>
      <c r="J291" s="20"/>
      <c r="K291" s="18" t="str">
        <f aca="false">IF(COUNT($F291:$J291)=0,"",SUM($F291:$J291))</f>
        <v/>
      </c>
      <c r="L291" s="18" t="str">
        <f aca="false">IF(COUNT($F291:$J291)=0,"",MAX($F291:$J291))</f>
        <v/>
      </c>
      <c r="M291" s="18" t="str">
        <f aca="false">IFERROR(IF(OR($C291="",COUNT($F291:$J291)&lt;3),"",IF(N(INDEX(Lists!$C$2:$C$40,MATCH($C291,Lists!$A$2:$A$40,0)))=0,"",IF(MIN($F291:$J291)&gt;=INDEX(Lists!$C$2:$C$40,MATCH($C291,Lists!$A$2:$A$40,0)),"LEVEL UP",""))),"")</f>
        <v/>
      </c>
      <c r="N291" s="20"/>
      <c r="O291" s="19"/>
    </row>
    <row r="292" customFormat="false" ht="15" hidden="false" customHeight="false" outlineLevel="0" collapsed="false">
      <c r="A292" s="17"/>
      <c r="B292" s="18" t="str">
        <f aca="false">IF($A292="","",TEXT($A292,"ddd"))</f>
        <v/>
      </c>
      <c r="C292" s="19"/>
      <c r="D292" s="19"/>
      <c r="E292" s="18" t="str">
        <f aca="false">IF($C292="","",IFERROR(INDEX(Lists!$B$2:$B$40,MATCH($C292,Lists!$A$2:$A$40,0)),""))</f>
        <v/>
      </c>
      <c r="F292" s="20"/>
      <c r="G292" s="20"/>
      <c r="H292" s="20"/>
      <c r="I292" s="20"/>
      <c r="J292" s="20"/>
      <c r="K292" s="18" t="str">
        <f aca="false">IF(COUNT($F292:$J292)=0,"",SUM($F292:$J292))</f>
        <v/>
      </c>
      <c r="L292" s="18" t="str">
        <f aca="false">IF(COUNT($F292:$J292)=0,"",MAX($F292:$J292))</f>
        <v/>
      </c>
      <c r="M292" s="18" t="str">
        <f aca="false">IFERROR(IF(OR($C292="",COUNT($F292:$J292)&lt;3),"",IF(N(INDEX(Lists!$C$2:$C$40,MATCH($C292,Lists!$A$2:$A$40,0)))=0,"",IF(MIN($F292:$J292)&gt;=INDEX(Lists!$C$2:$C$40,MATCH($C292,Lists!$A$2:$A$40,0)),"LEVEL UP",""))),"")</f>
        <v/>
      </c>
      <c r="N292" s="20"/>
      <c r="O292" s="19"/>
    </row>
    <row r="293" customFormat="false" ht="15" hidden="false" customHeight="false" outlineLevel="0" collapsed="false">
      <c r="A293" s="17"/>
      <c r="B293" s="18" t="str">
        <f aca="false">IF($A293="","",TEXT($A293,"ddd"))</f>
        <v/>
      </c>
      <c r="C293" s="19"/>
      <c r="D293" s="19"/>
      <c r="E293" s="18" t="str">
        <f aca="false">IF($C293="","",IFERROR(INDEX(Lists!$B$2:$B$40,MATCH($C293,Lists!$A$2:$A$40,0)),""))</f>
        <v/>
      </c>
      <c r="F293" s="20"/>
      <c r="G293" s="20"/>
      <c r="H293" s="20"/>
      <c r="I293" s="20"/>
      <c r="J293" s="20"/>
      <c r="K293" s="18" t="str">
        <f aca="false">IF(COUNT($F293:$J293)=0,"",SUM($F293:$J293))</f>
        <v/>
      </c>
      <c r="L293" s="18" t="str">
        <f aca="false">IF(COUNT($F293:$J293)=0,"",MAX($F293:$J293))</f>
        <v/>
      </c>
      <c r="M293" s="18" t="str">
        <f aca="false">IFERROR(IF(OR($C293="",COUNT($F293:$J293)&lt;3),"",IF(N(INDEX(Lists!$C$2:$C$40,MATCH($C293,Lists!$A$2:$A$40,0)))=0,"",IF(MIN($F293:$J293)&gt;=INDEX(Lists!$C$2:$C$40,MATCH($C293,Lists!$A$2:$A$40,0)),"LEVEL UP",""))),"")</f>
        <v/>
      </c>
      <c r="N293" s="20"/>
      <c r="O293" s="19"/>
    </row>
    <row r="294" customFormat="false" ht="15" hidden="false" customHeight="false" outlineLevel="0" collapsed="false">
      <c r="A294" s="17"/>
      <c r="B294" s="18" t="str">
        <f aca="false">IF($A294="","",TEXT($A294,"ddd"))</f>
        <v/>
      </c>
      <c r="C294" s="19"/>
      <c r="D294" s="19"/>
      <c r="E294" s="18" t="str">
        <f aca="false">IF($C294="","",IFERROR(INDEX(Lists!$B$2:$B$40,MATCH($C294,Lists!$A$2:$A$40,0)),""))</f>
        <v/>
      </c>
      <c r="F294" s="20"/>
      <c r="G294" s="20"/>
      <c r="H294" s="20"/>
      <c r="I294" s="20"/>
      <c r="J294" s="20"/>
      <c r="K294" s="18" t="str">
        <f aca="false">IF(COUNT($F294:$J294)=0,"",SUM($F294:$J294))</f>
        <v/>
      </c>
      <c r="L294" s="18" t="str">
        <f aca="false">IF(COUNT($F294:$J294)=0,"",MAX($F294:$J294))</f>
        <v/>
      </c>
      <c r="M294" s="18" t="str">
        <f aca="false">IFERROR(IF(OR($C294="",COUNT($F294:$J294)&lt;3),"",IF(N(INDEX(Lists!$C$2:$C$40,MATCH($C294,Lists!$A$2:$A$40,0)))=0,"",IF(MIN($F294:$J294)&gt;=INDEX(Lists!$C$2:$C$40,MATCH($C294,Lists!$A$2:$A$40,0)),"LEVEL UP",""))),"")</f>
        <v/>
      </c>
      <c r="N294" s="20"/>
      <c r="O294" s="19"/>
    </row>
    <row r="295" customFormat="false" ht="15" hidden="false" customHeight="false" outlineLevel="0" collapsed="false">
      <c r="A295" s="17"/>
      <c r="B295" s="18" t="str">
        <f aca="false">IF($A295="","",TEXT($A295,"ddd"))</f>
        <v/>
      </c>
      <c r="C295" s="19"/>
      <c r="D295" s="19"/>
      <c r="E295" s="18" t="str">
        <f aca="false">IF($C295="","",IFERROR(INDEX(Lists!$B$2:$B$40,MATCH($C295,Lists!$A$2:$A$40,0)),""))</f>
        <v/>
      </c>
      <c r="F295" s="20"/>
      <c r="G295" s="20"/>
      <c r="H295" s="20"/>
      <c r="I295" s="20"/>
      <c r="J295" s="20"/>
      <c r="K295" s="18" t="str">
        <f aca="false">IF(COUNT($F295:$J295)=0,"",SUM($F295:$J295))</f>
        <v/>
      </c>
      <c r="L295" s="18" t="str">
        <f aca="false">IF(COUNT($F295:$J295)=0,"",MAX($F295:$J295))</f>
        <v/>
      </c>
      <c r="M295" s="18" t="str">
        <f aca="false">IFERROR(IF(OR($C295="",COUNT($F295:$J295)&lt;3),"",IF(N(INDEX(Lists!$C$2:$C$40,MATCH($C295,Lists!$A$2:$A$40,0)))=0,"",IF(MIN($F295:$J295)&gt;=INDEX(Lists!$C$2:$C$40,MATCH($C295,Lists!$A$2:$A$40,0)),"LEVEL UP",""))),"")</f>
        <v/>
      </c>
      <c r="N295" s="20"/>
      <c r="O295" s="19"/>
    </row>
    <row r="296" customFormat="false" ht="15" hidden="false" customHeight="false" outlineLevel="0" collapsed="false">
      <c r="A296" s="17"/>
      <c r="B296" s="18" t="str">
        <f aca="false">IF($A296="","",TEXT($A296,"ddd"))</f>
        <v/>
      </c>
      <c r="C296" s="19"/>
      <c r="D296" s="19"/>
      <c r="E296" s="18" t="str">
        <f aca="false">IF($C296="","",IFERROR(INDEX(Lists!$B$2:$B$40,MATCH($C296,Lists!$A$2:$A$40,0)),""))</f>
        <v/>
      </c>
      <c r="F296" s="20"/>
      <c r="G296" s="20"/>
      <c r="H296" s="20"/>
      <c r="I296" s="20"/>
      <c r="J296" s="20"/>
      <c r="K296" s="18" t="str">
        <f aca="false">IF(COUNT($F296:$J296)=0,"",SUM($F296:$J296))</f>
        <v/>
      </c>
      <c r="L296" s="18" t="str">
        <f aca="false">IF(COUNT($F296:$J296)=0,"",MAX($F296:$J296))</f>
        <v/>
      </c>
      <c r="M296" s="18" t="str">
        <f aca="false">IFERROR(IF(OR($C296="",COUNT($F296:$J296)&lt;3),"",IF(N(INDEX(Lists!$C$2:$C$40,MATCH($C296,Lists!$A$2:$A$40,0)))=0,"",IF(MIN($F296:$J296)&gt;=INDEX(Lists!$C$2:$C$40,MATCH($C296,Lists!$A$2:$A$40,0)),"LEVEL UP",""))),"")</f>
        <v/>
      </c>
      <c r="N296" s="20"/>
      <c r="O296" s="19"/>
    </row>
    <row r="297" customFormat="false" ht="15" hidden="false" customHeight="false" outlineLevel="0" collapsed="false">
      <c r="A297" s="17"/>
      <c r="B297" s="18" t="str">
        <f aca="false">IF($A297="","",TEXT($A297,"ddd"))</f>
        <v/>
      </c>
      <c r="C297" s="19"/>
      <c r="D297" s="19"/>
      <c r="E297" s="18" t="str">
        <f aca="false">IF($C297="","",IFERROR(INDEX(Lists!$B$2:$B$40,MATCH($C297,Lists!$A$2:$A$40,0)),""))</f>
        <v/>
      </c>
      <c r="F297" s="20"/>
      <c r="G297" s="20"/>
      <c r="H297" s="20"/>
      <c r="I297" s="20"/>
      <c r="J297" s="20"/>
      <c r="K297" s="18" t="str">
        <f aca="false">IF(COUNT($F297:$J297)=0,"",SUM($F297:$J297))</f>
        <v/>
      </c>
      <c r="L297" s="18" t="str">
        <f aca="false">IF(COUNT($F297:$J297)=0,"",MAX($F297:$J297))</f>
        <v/>
      </c>
      <c r="M297" s="18" t="str">
        <f aca="false">IFERROR(IF(OR($C297="",COUNT($F297:$J297)&lt;3),"",IF(N(INDEX(Lists!$C$2:$C$40,MATCH($C297,Lists!$A$2:$A$40,0)))=0,"",IF(MIN($F297:$J297)&gt;=INDEX(Lists!$C$2:$C$40,MATCH($C297,Lists!$A$2:$A$40,0)),"LEVEL UP",""))),"")</f>
        <v/>
      </c>
      <c r="N297" s="20"/>
      <c r="O297" s="19"/>
    </row>
    <row r="298" customFormat="false" ht="15" hidden="false" customHeight="false" outlineLevel="0" collapsed="false">
      <c r="A298" s="17"/>
      <c r="B298" s="18" t="str">
        <f aca="false">IF($A298="","",TEXT($A298,"ddd"))</f>
        <v/>
      </c>
      <c r="C298" s="19"/>
      <c r="D298" s="19"/>
      <c r="E298" s="18" t="str">
        <f aca="false">IF($C298="","",IFERROR(INDEX(Lists!$B$2:$B$40,MATCH($C298,Lists!$A$2:$A$40,0)),""))</f>
        <v/>
      </c>
      <c r="F298" s="20"/>
      <c r="G298" s="20"/>
      <c r="H298" s="20"/>
      <c r="I298" s="20"/>
      <c r="J298" s="20"/>
      <c r="K298" s="18" t="str">
        <f aca="false">IF(COUNT($F298:$J298)=0,"",SUM($F298:$J298))</f>
        <v/>
      </c>
      <c r="L298" s="18" t="str">
        <f aca="false">IF(COUNT($F298:$J298)=0,"",MAX($F298:$J298))</f>
        <v/>
      </c>
      <c r="M298" s="18" t="str">
        <f aca="false">IFERROR(IF(OR($C298="",COUNT($F298:$J298)&lt;3),"",IF(N(INDEX(Lists!$C$2:$C$40,MATCH($C298,Lists!$A$2:$A$40,0)))=0,"",IF(MIN($F298:$J298)&gt;=INDEX(Lists!$C$2:$C$40,MATCH($C298,Lists!$A$2:$A$40,0)),"LEVEL UP",""))),"")</f>
        <v/>
      </c>
      <c r="N298" s="20"/>
      <c r="O298" s="19"/>
    </row>
    <row r="299" customFormat="false" ht="15" hidden="false" customHeight="false" outlineLevel="0" collapsed="false">
      <c r="A299" s="17"/>
      <c r="B299" s="18" t="str">
        <f aca="false">IF($A299="","",TEXT($A299,"ddd"))</f>
        <v/>
      </c>
      <c r="C299" s="19"/>
      <c r="D299" s="19"/>
      <c r="E299" s="18" t="str">
        <f aca="false">IF($C299="","",IFERROR(INDEX(Lists!$B$2:$B$40,MATCH($C299,Lists!$A$2:$A$40,0)),""))</f>
        <v/>
      </c>
      <c r="F299" s="20"/>
      <c r="G299" s="20"/>
      <c r="H299" s="20"/>
      <c r="I299" s="20"/>
      <c r="J299" s="20"/>
      <c r="K299" s="18" t="str">
        <f aca="false">IF(COUNT($F299:$J299)=0,"",SUM($F299:$J299))</f>
        <v/>
      </c>
      <c r="L299" s="18" t="str">
        <f aca="false">IF(COUNT($F299:$J299)=0,"",MAX($F299:$J299))</f>
        <v/>
      </c>
      <c r="M299" s="18" t="str">
        <f aca="false">IFERROR(IF(OR($C299="",COUNT($F299:$J299)&lt;3),"",IF(N(INDEX(Lists!$C$2:$C$40,MATCH($C299,Lists!$A$2:$A$40,0)))=0,"",IF(MIN($F299:$J299)&gt;=INDEX(Lists!$C$2:$C$40,MATCH($C299,Lists!$A$2:$A$40,0)),"LEVEL UP",""))),"")</f>
        <v/>
      </c>
      <c r="N299" s="20"/>
      <c r="O299" s="19"/>
    </row>
    <row r="300" customFormat="false" ht="15" hidden="false" customHeight="false" outlineLevel="0" collapsed="false">
      <c r="A300" s="17"/>
      <c r="B300" s="18" t="str">
        <f aca="false">IF($A300="","",TEXT($A300,"ddd"))</f>
        <v/>
      </c>
      <c r="C300" s="19"/>
      <c r="D300" s="19"/>
      <c r="E300" s="18" t="str">
        <f aca="false">IF($C300="","",IFERROR(INDEX(Lists!$B$2:$B$40,MATCH($C300,Lists!$A$2:$A$40,0)),""))</f>
        <v/>
      </c>
      <c r="F300" s="20"/>
      <c r="G300" s="20"/>
      <c r="H300" s="20"/>
      <c r="I300" s="20"/>
      <c r="J300" s="20"/>
      <c r="K300" s="18" t="str">
        <f aca="false">IF(COUNT($F300:$J300)=0,"",SUM($F300:$J300))</f>
        <v/>
      </c>
      <c r="L300" s="18" t="str">
        <f aca="false">IF(COUNT($F300:$J300)=0,"",MAX($F300:$J300))</f>
        <v/>
      </c>
      <c r="M300" s="18" t="str">
        <f aca="false">IFERROR(IF(OR($C300="",COUNT($F300:$J300)&lt;3),"",IF(N(INDEX(Lists!$C$2:$C$40,MATCH($C300,Lists!$A$2:$A$40,0)))=0,"",IF(MIN($F300:$J300)&gt;=INDEX(Lists!$C$2:$C$40,MATCH($C300,Lists!$A$2:$A$40,0)),"LEVEL UP",""))),"")</f>
        <v/>
      </c>
      <c r="N300" s="20"/>
      <c r="O300" s="19"/>
    </row>
    <row r="301" customFormat="false" ht="15" hidden="false" customHeight="false" outlineLevel="0" collapsed="false">
      <c r="A301" s="17"/>
      <c r="B301" s="18" t="str">
        <f aca="false">IF($A301="","",TEXT($A301,"ddd"))</f>
        <v/>
      </c>
      <c r="C301" s="19"/>
      <c r="D301" s="19"/>
      <c r="E301" s="18" t="str">
        <f aca="false">IF($C301="","",IFERROR(INDEX(Lists!$B$2:$B$40,MATCH($C301,Lists!$A$2:$A$40,0)),""))</f>
        <v/>
      </c>
      <c r="F301" s="20"/>
      <c r="G301" s="20"/>
      <c r="H301" s="20"/>
      <c r="I301" s="20"/>
      <c r="J301" s="20"/>
      <c r="K301" s="18" t="str">
        <f aca="false">IF(COUNT($F301:$J301)=0,"",SUM($F301:$J301))</f>
        <v/>
      </c>
      <c r="L301" s="18" t="str">
        <f aca="false">IF(COUNT($F301:$J301)=0,"",MAX($F301:$J301))</f>
        <v/>
      </c>
      <c r="M301" s="18" t="str">
        <f aca="false">IFERROR(IF(OR($C301="",COUNT($F301:$J301)&lt;3),"",IF(N(INDEX(Lists!$C$2:$C$40,MATCH($C301,Lists!$A$2:$A$40,0)))=0,"",IF(MIN($F301:$J301)&gt;=INDEX(Lists!$C$2:$C$40,MATCH($C301,Lists!$A$2:$A$40,0)),"LEVEL UP",""))),"")</f>
        <v/>
      </c>
      <c r="N301" s="20"/>
      <c r="O301" s="19"/>
    </row>
    <row r="302" customFormat="false" ht="15" hidden="false" customHeight="false" outlineLevel="0" collapsed="false">
      <c r="A302" s="17"/>
      <c r="B302" s="18" t="str">
        <f aca="false">IF($A302="","",TEXT($A302,"ddd"))</f>
        <v/>
      </c>
      <c r="C302" s="19"/>
      <c r="D302" s="19"/>
      <c r="E302" s="18" t="str">
        <f aca="false">IF($C302="","",IFERROR(INDEX(Lists!$B$2:$B$40,MATCH($C302,Lists!$A$2:$A$40,0)),""))</f>
        <v/>
      </c>
      <c r="F302" s="20"/>
      <c r="G302" s="20"/>
      <c r="H302" s="20"/>
      <c r="I302" s="20"/>
      <c r="J302" s="20"/>
      <c r="K302" s="18" t="str">
        <f aca="false">IF(COUNT($F302:$J302)=0,"",SUM($F302:$J302))</f>
        <v/>
      </c>
      <c r="L302" s="18" t="str">
        <f aca="false">IF(COUNT($F302:$J302)=0,"",MAX($F302:$J302))</f>
        <v/>
      </c>
      <c r="M302" s="18" t="str">
        <f aca="false">IFERROR(IF(OR($C302="",COUNT($F302:$J302)&lt;3),"",IF(N(INDEX(Lists!$C$2:$C$40,MATCH($C302,Lists!$A$2:$A$40,0)))=0,"",IF(MIN($F302:$J302)&gt;=INDEX(Lists!$C$2:$C$40,MATCH($C302,Lists!$A$2:$A$40,0)),"LEVEL UP",""))),"")</f>
        <v/>
      </c>
      <c r="N302" s="20"/>
      <c r="O302" s="19"/>
    </row>
    <row r="303" customFormat="false" ht="15" hidden="false" customHeight="false" outlineLevel="0" collapsed="false">
      <c r="A303" s="17"/>
      <c r="B303" s="18" t="str">
        <f aca="false">IF($A303="","",TEXT($A303,"ddd"))</f>
        <v/>
      </c>
      <c r="C303" s="19"/>
      <c r="D303" s="19"/>
      <c r="E303" s="18" t="str">
        <f aca="false">IF($C303="","",IFERROR(INDEX(Lists!$B$2:$B$40,MATCH($C303,Lists!$A$2:$A$40,0)),""))</f>
        <v/>
      </c>
      <c r="F303" s="20"/>
      <c r="G303" s="20"/>
      <c r="H303" s="20"/>
      <c r="I303" s="20"/>
      <c r="J303" s="20"/>
      <c r="K303" s="18" t="str">
        <f aca="false">IF(COUNT($F303:$J303)=0,"",SUM($F303:$J303))</f>
        <v/>
      </c>
      <c r="L303" s="18" t="str">
        <f aca="false">IF(COUNT($F303:$J303)=0,"",MAX($F303:$J303))</f>
        <v/>
      </c>
      <c r="M303" s="18" t="str">
        <f aca="false">IFERROR(IF(OR($C303="",COUNT($F303:$J303)&lt;3),"",IF(N(INDEX(Lists!$C$2:$C$40,MATCH($C303,Lists!$A$2:$A$40,0)))=0,"",IF(MIN($F303:$J303)&gt;=INDEX(Lists!$C$2:$C$40,MATCH($C303,Lists!$A$2:$A$40,0)),"LEVEL UP",""))),"")</f>
        <v/>
      </c>
      <c r="N303" s="20"/>
      <c r="O303" s="19"/>
    </row>
    <row r="304" customFormat="false" ht="15" hidden="false" customHeight="false" outlineLevel="0" collapsed="false">
      <c r="A304" s="17"/>
      <c r="B304" s="18" t="str">
        <f aca="false">IF($A304="","",TEXT($A304,"ddd"))</f>
        <v/>
      </c>
      <c r="C304" s="19"/>
      <c r="D304" s="19"/>
      <c r="E304" s="18" t="str">
        <f aca="false">IF($C304="","",IFERROR(INDEX(Lists!$B$2:$B$40,MATCH($C304,Lists!$A$2:$A$40,0)),""))</f>
        <v/>
      </c>
      <c r="F304" s="20"/>
      <c r="G304" s="20"/>
      <c r="H304" s="20"/>
      <c r="I304" s="20"/>
      <c r="J304" s="20"/>
      <c r="K304" s="18" t="str">
        <f aca="false">IF(COUNT($F304:$J304)=0,"",SUM($F304:$J304))</f>
        <v/>
      </c>
      <c r="L304" s="18" t="str">
        <f aca="false">IF(COUNT($F304:$J304)=0,"",MAX($F304:$J304))</f>
        <v/>
      </c>
      <c r="M304" s="18" t="str">
        <f aca="false">IFERROR(IF(OR($C304="",COUNT($F304:$J304)&lt;3),"",IF(N(INDEX(Lists!$C$2:$C$40,MATCH($C304,Lists!$A$2:$A$40,0)))=0,"",IF(MIN($F304:$J304)&gt;=INDEX(Lists!$C$2:$C$40,MATCH($C304,Lists!$A$2:$A$40,0)),"LEVEL UP",""))),"")</f>
        <v/>
      </c>
      <c r="N304" s="20"/>
      <c r="O304" s="19"/>
    </row>
    <row r="305" customFormat="false" ht="15" hidden="false" customHeight="false" outlineLevel="0" collapsed="false">
      <c r="A305" s="17"/>
      <c r="B305" s="18" t="str">
        <f aca="false">IF($A305="","",TEXT($A305,"ddd"))</f>
        <v/>
      </c>
      <c r="C305" s="19"/>
      <c r="D305" s="19"/>
      <c r="E305" s="18" t="str">
        <f aca="false">IF($C305="","",IFERROR(INDEX(Lists!$B$2:$B$40,MATCH($C305,Lists!$A$2:$A$40,0)),""))</f>
        <v/>
      </c>
      <c r="F305" s="20"/>
      <c r="G305" s="20"/>
      <c r="H305" s="20"/>
      <c r="I305" s="20"/>
      <c r="J305" s="20"/>
      <c r="K305" s="18" t="str">
        <f aca="false">IF(COUNT($F305:$J305)=0,"",SUM($F305:$J305))</f>
        <v/>
      </c>
      <c r="L305" s="18" t="str">
        <f aca="false">IF(COUNT($F305:$J305)=0,"",MAX($F305:$J305))</f>
        <v/>
      </c>
      <c r="M305" s="18" t="str">
        <f aca="false">IFERROR(IF(OR($C305="",COUNT($F305:$J305)&lt;3),"",IF(N(INDEX(Lists!$C$2:$C$40,MATCH($C305,Lists!$A$2:$A$40,0)))=0,"",IF(MIN($F305:$J305)&gt;=INDEX(Lists!$C$2:$C$40,MATCH($C305,Lists!$A$2:$A$40,0)),"LEVEL UP",""))),"")</f>
        <v/>
      </c>
      <c r="N305" s="20"/>
      <c r="O305" s="19"/>
    </row>
    <row r="306" customFormat="false" ht="15" hidden="false" customHeight="false" outlineLevel="0" collapsed="false">
      <c r="A306" s="17"/>
      <c r="B306" s="18" t="str">
        <f aca="false">IF($A306="","",TEXT($A306,"ddd"))</f>
        <v/>
      </c>
      <c r="C306" s="19"/>
      <c r="D306" s="19"/>
      <c r="E306" s="18" t="str">
        <f aca="false">IF($C306="","",IFERROR(INDEX(Lists!$B$2:$B$40,MATCH($C306,Lists!$A$2:$A$40,0)),""))</f>
        <v/>
      </c>
      <c r="F306" s="20"/>
      <c r="G306" s="20"/>
      <c r="H306" s="20"/>
      <c r="I306" s="20"/>
      <c r="J306" s="20"/>
      <c r="K306" s="18" t="str">
        <f aca="false">IF(COUNT($F306:$J306)=0,"",SUM($F306:$J306))</f>
        <v/>
      </c>
      <c r="L306" s="18" t="str">
        <f aca="false">IF(COUNT($F306:$J306)=0,"",MAX($F306:$J306))</f>
        <v/>
      </c>
      <c r="M306" s="18" t="str">
        <f aca="false">IFERROR(IF(OR($C306="",COUNT($F306:$J306)&lt;3),"",IF(N(INDEX(Lists!$C$2:$C$40,MATCH($C306,Lists!$A$2:$A$40,0)))=0,"",IF(MIN($F306:$J306)&gt;=INDEX(Lists!$C$2:$C$40,MATCH($C306,Lists!$A$2:$A$40,0)),"LEVEL UP",""))),"")</f>
        <v/>
      </c>
      <c r="N306" s="20"/>
      <c r="O306" s="19"/>
    </row>
    <row r="307" customFormat="false" ht="15" hidden="false" customHeight="false" outlineLevel="0" collapsed="false">
      <c r="A307" s="17"/>
      <c r="B307" s="18" t="str">
        <f aca="false">IF($A307="","",TEXT($A307,"ddd"))</f>
        <v/>
      </c>
      <c r="C307" s="19"/>
      <c r="D307" s="19"/>
      <c r="E307" s="18" t="str">
        <f aca="false">IF($C307="","",IFERROR(INDEX(Lists!$B$2:$B$40,MATCH($C307,Lists!$A$2:$A$40,0)),""))</f>
        <v/>
      </c>
      <c r="F307" s="20"/>
      <c r="G307" s="20"/>
      <c r="H307" s="20"/>
      <c r="I307" s="20"/>
      <c r="J307" s="20"/>
      <c r="K307" s="18" t="str">
        <f aca="false">IF(COUNT($F307:$J307)=0,"",SUM($F307:$J307))</f>
        <v/>
      </c>
      <c r="L307" s="18" t="str">
        <f aca="false">IF(COUNT($F307:$J307)=0,"",MAX($F307:$J307))</f>
        <v/>
      </c>
      <c r="M307" s="18" t="str">
        <f aca="false">IFERROR(IF(OR($C307="",COUNT($F307:$J307)&lt;3),"",IF(N(INDEX(Lists!$C$2:$C$40,MATCH($C307,Lists!$A$2:$A$40,0)))=0,"",IF(MIN($F307:$J307)&gt;=INDEX(Lists!$C$2:$C$40,MATCH($C307,Lists!$A$2:$A$40,0)),"LEVEL UP",""))),"")</f>
        <v/>
      </c>
      <c r="N307" s="20"/>
      <c r="O307" s="19"/>
    </row>
    <row r="308" customFormat="false" ht="15" hidden="false" customHeight="false" outlineLevel="0" collapsed="false">
      <c r="A308" s="17"/>
      <c r="B308" s="18" t="str">
        <f aca="false">IF($A308="","",TEXT($A308,"ddd"))</f>
        <v/>
      </c>
      <c r="C308" s="19"/>
      <c r="D308" s="19"/>
      <c r="E308" s="18" t="str">
        <f aca="false">IF($C308="","",IFERROR(INDEX(Lists!$B$2:$B$40,MATCH($C308,Lists!$A$2:$A$40,0)),""))</f>
        <v/>
      </c>
      <c r="F308" s="20"/>
      <c r="G308" s="20"/>
      <c r="H308" s="20"/>
      <c r="I308" s="20"/>
      <c r="J308" s="20"/>
      <c r="K308" s="18" t="str">
        <f aca="false">IF(COUNT($F308:$J308)=0,"",SUM($F308:$J308))</f>
        <v/>
      </c>
      <c r="L308" s="18" t="str">
        <f aca="false">IF(COUNT($F308:$J308)=0,"",MAX($F308:$J308))</f>
        <v/>
      </c>
      <c r="M308" s="18" t="str">
        <f aca="false">IFERROR(IF(OR($C308="",COUNT($F308:$J308)&lt;3),"",IF(N(INDEX(Lists!$C$2:$C$40,MATCH($C308,Lists!$A$2:$A$40,0)))=0,"",IF(MIN($F308:$J308)&gt;=INDEX(Lists!$C$2:$C$40,MATCH($C308,Lists!$A$2:$A$40,0)),"LEVEL UP",""))),"")</f>
        <v/>
      </c>
      <c r="N308" s="20"/>
      <c r="O308" s="19"/>
    </row>
    <row r="309" customFormat="false" ht="15" hidden="false" customHeight="false" outlineLevel="0" collapsed="false">
      <c r="A309" s="17"/>
      <c r="B309" s="18" t="str">
        <f aca="false">IF($A309="","",TEXT($A309,"ddd"))</f>
        <v/>
      </c>
      <c r="C309" s="19"/>
      <c r="D309" s="19"/>
      <c r="E309" s="18" t="str">
        <f aca="false">IF($C309="","",IFERROR(INDEX(Lists!$B$2:$B$40,MATCH($C309,Lists!$A$2:$A$40,0)),""))</f>
        <v/>
      </c>
      <c r="F309" s="20"/>
      <c r="G309" s="20"/>
      <c r="H309" s="20"/>
      <c r="I309" s="20"/>
      <c r="J309" s="20"/>
      <c r="K309" s="18" t="str">
        <f aca="false">IF(COUNT($F309:$J309)=0,"",SUM($F309:$J309))</f>
        <v/>
      </c>
      <c r="L309" s="18" t="str">
        <f aca="false">IF(COUNT($F309:$J309)=0,"",MAX($F309:$J309))</f>
        <v/>
      </c>
      <c r="M309" s="18" t="str">
        <f aca="false">IFERROR(IF(OR($C309="",COUNT($F309:$J309)&lt;3),"",IF(N(INDEX(Lists!$C$2:$C$40,MATCH($C309,Lists!$A$2:$A$40,0)))=0,"",IF(MIN($F309:$J309)&gt;=INDEX(Lists!$C$2:$C$40,MATCH($C309,Lists!$A$2:$A$40,0)),"LEVEL UP",""))),"")</f>
        <v/>
      </c>
      <c r="N309" s="20"/>
      <c r="O309" s="19"/>
    </row>
    <row r="310" customFormat="false" ht="15" hidden="false" customHeight="false" outlineLevel="0" collapsed="false">
      <c r="A310" s="17"/>
      <c r="B310" s="18" t="str">
        <f aca="false">IF($A310="","",TEXT($A310,"ddd"))</f>
        <v/>
      </c>
      <c r="C310" s="19"/>
      <c r="D310" s="19"/>
      <c r="E310" s="18" t="str">
        <f aca="false">IF($C310="","",IFERROR(INDEX(Lists!$B$2:$B$40,MATCH($C310,Lists!$A$2:$A$40,0)),""))</f>
        <v/>
      </c>
      <c r="F310" s="20"/>
      <c r="G310" s="20"/>
      <c r="H310" s="20"/>
      <c r="I310" s="20"/>
      <c r="J310" s="20"/>
      <c r="K310" s="18" t="str">
        <f aca="false">IF(COUNT($F310:$J310)=0,"",SUM($F310:$J310))</f>
        <v/>
      </c>
      <c r="L310" s="18" t="str">
        <f aca="false">IF(COUNT($F310:$J310)=0,"",MAX($F310:$J310))</f>
        <v/>
      </c>
      <c r="M310" s="18" t="str">
        <f aca="false">IFERROR(IF(OR($C310="",COUNT($F310:$J310)&lt;3),"",IF(N(INDEX(Lists!$C$2:$C$40,MATCH($C310,Lists!$A$2:$A$40,0)))=0,"",IF(MIN($F310:$J310)&gt;=INDEX(Lists!$C$2:$C$40,MATCH($C310,Lists!$A$2:$A$40,0)),"LEVEL UP",""))),"")</f>
        <v/>
      </c>
      <c r="N310" s="20"/>
      <c r="O310" s="19"/>
    </row>
    <row r="311" customFormat="false" ht="15" hidden="false" customHeight="false" outlineLevel="0" collapsed="false">
      <c r="A311" s="17"/>
      <c r="B311" s="18" t="str">
        <f aca="false">IF($A311="","",TEXT($A311,"ddd"))</f>
        <v/>
      </c>
      <c r="C311" s="19"/>
      <c r="D311" s="19"/>
      <c r="E311" s="18" t="str">
        <f aca="false">IF($C311="","",IFERROR(INDEX(Lists!$B$2:$B$40,MATCH($C311,Lists!$A$2:$A$40,0)),""))</f>
        <v/>
      </c>
      <c r="F311" s="20"/>
      <c r="G311" s="20"/>
      <c r="H311" s="20"/>
      <c r="I311" s="20"/>
      <c r="J311" s="20"/>
      <c r="K311" s="18" t="str">
        <f aca="false">IF(COUNT($F311:$J311)=0,"",SUM($F311:$J311))</f>
        <v/>
      </c>
      <c r="L311" s="18" t="str">
        <f aca="false">IF(COUNT($F311:$J311)=0,"",MAX($F311:$J311))</f>
        <v/>
      </c>
      <c r="M311" s="18" t="str">
        <f aca="false">IFERROR(IF(OR($C311="",COUNT($F311:$J311)&lt;3),"",IF(N(INDEX(Lists!$C$2:$C$40,MATCH($C311,Lists!$A$2:$A$40,0)))=0,"",IF(MIN($F311:$J311)&gt;=INDEX(Lists!$C$2:$C$40,MATCH($C311,Lists!$A$2:$A$40,0)),"LEVEL UP",""))),"")</f>
        <v/>
      </c>
      <c r="N311" s="20"/>
      <c r="O311" s="19"/>
    </row>
    <row r="312" customFormat="false" ht="15" hidden="false" customHeight="false" outlineLevel="0" collapsed="false">
      <c r="A312" s="17"/>
      <c r="B312" s="18" t="str">
        <f aca="false">IF($A312="","",TEXT($A312,"ddd"))</f>
        <v/>
      </c>
      <c r="C312" s="19"/>
      <c r="D312" s="19"/>
      <c r="E312" s="18" t="str">
        <f aca="false">IF($C312="","",IFERROR(INDEX(Lists!$B$2:$B$40,MATCH($C312,Lists!$A$2:$A$40,0)),""))</f>
        <v/>
      </c>
      <c r="F312" s="20"/>
      <c r="G312" s="20"/>
      <c r="H312" s="20"/>
      <c r="I312" s="20"/>
      <c r="J312" s="20"/>
      <c r="K312" s="18" t="str">
        <f aca="false">IF(COUNT($F312:$J312)=0,"",SUM($F312:$J312))</f>
        <v/>
      </c>
      <c r="L312" s="18" t="str">
        <f aca="false">IF(COUNT($F312:$J312)=0,"",MAX($F312:$J312))</f>
        <v/>
      </c>
      <c r="M312" s="18" t="str">
        <f aca="false">IFERROR(IF(OR($C312="",COUNT($F312:$J312)&lt;3),"",IF(N(INDEX(Lists!$C$2:$C$40,MATCH($C312,Lists!$A$2:$A$40,0)))=0,"",IF(MIN($F312:$J312)&gt;=INDEX(Lists!$C$2:$C$40,MATCH($C312,Lists!$A$2:$A$40,0)),"LEVEL UP",""))),"")</f>
        <v/>
      </c>
      <c r="N312" s="20"/>
      <c r="O312" s="19"/>
    </row>
    <row r="313" customFormat="false" ht="15" hidden="false" customHeight="false" outlineLevel="0" collapsed="false">
      <c r="A313" s="17"/>
      <c r="B313" s="18" t="str">
        <f aca="false">IF($A313="","",TEXT($A313,"ddd"))</f>
        <v/>
      </c>
      <c r="C313" s="19"/>
      <c r="D313" s="19"/>
      <c r="E313" s="18" t="str">
        <f aca="false">IF($C313="","",IFERROR(INDEX(Lists!$B$2:$B$40,MATCH($C313,Lists!$A$2:$A$40,0)),""))</f>
        <v/>
      </c>
      <c r="F313" s="20"/>
      <c r="G313" s="20"/>
      <c r="H313" s="20"/>
      <c r="I313" s="20"/>
      <c r="J313" s="20"/>
      <c r="K313" s="18" t="str">
        <f aca="false">IF(COUNT($F313:$J313)=0,"",SUM($F313:$J313))</f>
        <v/>
      </c>
      <c r="L313" s="18" t="str">
        <f aca="false">IF(COUNT($F313:$J313)=0,"",MAX($F313:$J313))</f>
        <v/>
      </c>
      <c r="M313" s="18" t="str">
        <f aca="false">IFERROR(IF(OR($C313="",COUNT($F313:$J313)&lt;3),"",IF(N(INDEX(Lists!$C$2:$C$40,MATCH($C313,Lists!$A$2:$A$40,0)))=0,"",IF(MIN($F313:$J313)&gt;=INDEX(Lists!$C$2:$C$40,MATCH($C313,Lists!$A$2:$A$40,0)),"LEVEL UP",""))),"")</f>
        <v/>
      </c>
      <c r="N313" s="20"/>
      <c r="O313" s="19"/>
    </row>
    <row r="314" customFormat="false" ht="15" hidden="false" customHeight="false" outlineLevel="0" collapsed="false">
      <c r="A314" s="17"/>
      <c r="B314" s="18" t="str">
        <f aca="false">IF($A314="","",TEXT($A314,"ddd"))</f>
        <v/>
      </c>
      <c r="C314" s="19"/>
      <c r="D314" s="19"/>
      <c r="E314" s="18" t="str">
        <f aca="false">IF($C314="","",IFERROR(INDEX(Lists!$B$2:$B$40,MATCH($C314,Lists!$A$2:$A$40,0)),""))</f>
        <v/>
      </c>
      <c r="F314" s="20"/>
      <c r="G314" s="20"/>
      <c r="H314" s="20"/>
      <c r="I314" s="20"/>
      <c r="J314" s="20"/>
      <c r="K314" s="18" t="str">
        <f aca="false">IF(COUNT($F314:$J314)=0,"",SUM($F314:$J314))</f>
        <v/>
      </c>
      <c r="L314" s="18" t="str">
        <f aca="false">IF(COUNT($F314:$J314)=0,"",MAX($F314:$J314))</f>
        <v/>
      </c>
      <c r="M314" s="18" t="str">
        <f aca="false">IFERROR(IF(OR($C314="",COUNT($F314:$J314)&lt;3),"",IF(N(INDEX(Lists!$C$2:$C$40,MATCH($C314,Lists!$A$2:$A$40,0)))=0,"",IF(MIN($F314:$J314)&gt;=INDEX(Lists!$C$2:$C$40,MATCH($C314,Lists!$A$2:$A$40,0)),"LEVEL UP",""))),"")</f>
        <v/>
      </c>
      <c r="N314" s="20"/>
      <c r="O314" s="19"/>
    </row>
    <row r="315" customFormat="false" ht="15" hidden="false" customHeight="false" outlineLevel="0" collapsed="false">
      <c r="A315" s="17"/>
      <c r="B315" s="18" t="str">
        <f aca="false">IF($A315="","",TEXT($A315,"ddd"))</f>
        <v/>
      </c>
      <c r="C315" s="19"/>
      <c r="D315" s="19"/>
      <c r="E315" s="18" t="str">
        <f aca="false">IF($C315="","",IFERROR(INDEX(Lists!$B$2:$B$40,MATCH($C315,Lists!$A$2:$A$40,0)),""))</f>
        <v/>
      </c>
      <c r="F315" s="20"/>
      <c r="G315" s="20"/>
      <c r="H315" s="20"/>
      <c r="I315" s="20"/>
      <c r="J315" s="20"/>
      <c r="K315" s="18" t="str">
        <f aca="false">IF(COUNT($F315:$J315)=0,"",SUM($F315:$J315))</f>
        <v/>
      </c>
      <c r="L315" s="18" t="str">
        <f aca="false">IF(COUNT($F315:$J315)=0,"",MAX($F315:$J315))</f>
        <v/>
      </c>
      <c r="M315" s="18" t="str">
        <f aca="false">IFERROR(IF(OR($C315="",COUNT($F315:$J315)&lt;3),"",IF(N(INDEX(Lists!$C$2:$C$40,MATCH($C315,Lists!$A$2:$A$40,0)))=0,"",IF(MIN($F315:$J315)&gt;=INDEX(Lists!$C$2:$C$40,MATCH($C315,Lists!$A$2:$A$40,0)),"LEVEL UP",""))),"")</f>
        <v/>
      </c>
      <c r="N315" s="20"/>
      <c r="O315" s="19"/>
    </row>
    <row r="316" customFormat="false" ht="15" hidden="false" customHeight="false" outlineLevel="0" collapsed="false">
      <c r="A316" s="17"/>
      <c r="B316" s="18" t="str">
        <f aca="false">IF($A316="","",TEXT($A316,"ddd"))</f>
        <v/>
      </c>
      <c r="C316" s="19"/>
      <c r="D316" s="19"/>
      <c r="E316" s="18" t="str">
        <f aca="false">IF($C316="","",IFERROR(INDEX(Lists!$B$2:$B$40,MATCH($C316,Lists!$A$2:$A$40,0)),""))</f>
        <v/>
      </c>
      <c r="F316" s="20"/>
      <c r="G316" s="20"/>
      <c r="H316" s="20"/>
      <c r="I316" s="20"/>
      <c r="J316" s="20"/>
      <c r="K316" s="18" t="str">
        <f aca="false">IF(COUNT($F316:$J316)=0,"",SUM($F316:$J316))</f>
        <v/>
      </c>
      <c r="L316" s="18" t="str">
        <f aca="false">IF(COUNT($F316:$J316)=0,"",MAX($F316:$J316))</f>
        <v/>
      </c>
      <c r="M316" s="18" t="str">
        <f aca="false">IFERROR(IF(OR($C316="",COUNT($F316:$J316)&lt;3),"",IF(N(INDEX(Lists!$C$2:$C$40,MATCH($C316,Lists!$A$2:$A$40,0)))=0,"",IF(MIN($F316:$J316)&gt;=INDEX(Lists!$C$2:$C$40,MATCH($C316,Lists!$A$2:$A$40,0)),"LEVEL UP",""))),"")</f>
        <v/>
      </c>
      <c r="N316" s="20"/>
      <c r="O316" s="19"/>
    </row>
    <row r="317" customFormat="false" ht="15" hidden="false" customHeight="false" outlineLevel="0" collapsed="false">
      <c r="A317" s="17"/>
      <c r="B317" s="18" t="str">
        <f aca="false">IF($A317="","",TEXT($A317,"ddd"))</f>
        <v/>
      </c>
      <c r="C317" s="19"/>
      <c r="D317" s="19"/>
      <c r="E317" s="18" t="str">
        <f aca="false">IF($C317="","",IFERROR(INDEX(Lists!$B$2:$B$40,MATCH($C317,Lists!$A$2:$A$40,0)),""))</f>
        <v/>
      </c>
      <c r="F317" s="20"/>
      <c r="G317" s="20"/>
      <c r="H317" s="20"/>
      <c r="I317" s="20"/>
      <c r="J317" s="20"/>
      <c r="K317" s="18" t="str">
        <f aca="false">IF(COUNT($F317:$J317)=0,"",SUM($F317:$J317))</f>
        <v/>
      </c>
      <c r="L317" s="18" t="str">
        <f aca="false">IF(COUNT($F317:$J317)=0,"",MAX($F317:$J317))</f>
        <v/>
      </c>
      <c r="M317" s="18" t="str">
        <f aca="false">IFERROR(IF(OR($C317="",COUNT($F317:$J317)&lt;3),"",IF(N(INDEX(Lists!$C$2:$C$40,MATCH($C317,Lists!$A$2:$A$40,0)))=0,"",IF(MIN($F317:$J317)&gt;=INDEX(Lists!$C$2:$C$40,MATCH($C317,Lists!$A$2:$A$40,0)),"LEVEL UP",""))),"")</f>
        <v/>
      </c>
      <c r="N317" s="20"/>
      <c r="O317" s="19"/>
    </row>
    <row r="318" customFormat="false" ht="15" hidden="false" customHeight="false" outlineLevel="0" collapsed="false">
      <c r="A318" s="17"/>
      <c r="B318" s="18" t="str">
        <f aca="false">IF($A318="","",TEXT($A318,"ddd"))</f>
        <v/>
      </c>
      <c r="C318" s="19"/>
      <c r="D318" s="19"/>
      <c r="E318" s="18" t="str">
        <f aca="false">IF($C318="","",IFERROR(INDEX(Lists!$B$2:$B$40,MATCH($C318,Lists!$A$2:$A$40,0)),""))</f>
        <v/>
      </c>
      <c r="F318" s="20"/>
      <c r="G318" s="20"/>
      <c r="H318" s="20"/>
      <c r="I318" s="20"/>
      <c r="J318" s="20"/>
      <c r="K318" s="18" t="str">
        <f aca="false">IF(COUNT($F318:$J318)=0,"",SUM($F318:$J318))</f>
        <v/>
      </c>
      <c r="L318" s="18" t="str">
        <f aca="false">IF(COUNT($F318:$J318)=0,"",MAX($F318:$J318))</f>
        <v/>
      </c>
      <c r="M318" s="18" t="str">
        <f aca="false">IFERROR(IF(OR($C318="",COUNT($F318:$J318)&lt;3),"",IF(N(INDEX(Lists!$C$2:$C$40,MATCH($C318,Lists!$A$2:$A$40,0)))=0,"",IF(MIN($F318:$J318)&gt;=INDEX(Lists!$C$2:$C$40,MATCH($C318,Lists!$A$2:$A$40,0)),"LEVEL UP",""))),"")</f>
        <v/>
      </c>
      <c r="N318" s="20"/>
      <c r="O318" s="19"/>
    </row>
    <row r="319" customFormat="false" ht="15" hidden="false" customHeight="false" outlineLevel="0" collapsed="false">
      <c r="A319" s="17"/>
      <c r="B319" s="18" t="str">
        <f aca="false">IF($A319="","",TEXT($A319,"ddd"))</f>
        <v/>
      </c>
      <c r="C319" s="19"/>
      <c r="D319" s="19"/>
      <c r="E319" s="18" t="str">
        <f aca="false">IF($C319="","",IFERROR(INDEX(Lists!$B$2:$B$40,MATCH($C319,Lists!$A$2:$A$40,0)),""))</f>
        <v/>
      </c>
      <c r="F319" s="20"/>
      <c r="G319" s="20"/>
      <c r="H319" s="20"/>
      <c r="I319" s="20"/>
      <c r="J319" s="20"/>
      <c r="K319" s="18" t="str">
        <f aca="false">IF(COUNT($F319:$J319)=0,"",SUM($F319:$J319))</f>
        <v/>
      </c>
      <c r="L319" s="18" t="str">
        <f aca="false">IF(COUNT($F319:$J319)=0,"",MAX($F319:$J319))</f>
        <v/>
      </c>
      <c r="M319" s="18" t="str">
        <f aca="false">IFERROR(IF(OR($C319="",COUNT($F319:$J319)&lt;3),"",IF(N(INDEX(Lists!$C$2:$C$40,MATCH($C319,Lists!$A$2:$A$40,0)))=0,"",IF(MIN($F319:$J319)&gt;=INDEX(Lists!$C$2:$C$40,MATCH($C319,Lists!$A$2:$A$40,0)),"LEVEL UP",""))),"")</f>
        <v/>
      </c>
      <c r="N319" s="20"/>
      <c r="O319" s="19"/>
    </row>
    <row r="320" customFormat="false" ht="15" hidden="false" customHeight="false" outlineLevel="0" collapsed="false">
      <c r="A320" s="17"/>
      <c r="B320" s="18" t="str">
        <f aca="false">IF($A320="","",TEXT($A320,"ddd"))</f>
        <v/>
      </c>
      <c r="C320" s="19"/>
      <c r="D320" s="19"/>
      <c r="E320" s="18" t="str">
        <f aca="false">IF($C320="","",IFERROR(INDEX(Lists!$B$2:$B$40,MATCH($C320,Lists!$A$2:$A$40,0)),""))</f>
        <v/>
      </c>
      <c r="F320" s="20"/>
      <c r="G320" s="20"/>
      <c r="H320" s="20"/>
      <c r="I320" s="20"/>
      <c r="J320" s="20"/>
      <c r="K320" s="18" t="str">
        <f aca="false">IF(COUNT($F320:$J320)=0,"",SUM($F320:$J320))</f>
        <v/>
      </c>
      <c r="L320" s="18" t="str">
        <f aca="false">IF(COUNT($F320:$J320)=0,"",MAX($F320:$J320))</f>
        <v/>
      </c>
      <c r="M320" s="18" t="str">
        <f aca="false">IFERROR(IF(OR($C320="",COUNT($F320:$J320)&lt;3),"",IF(N(INDEX(Lists!$C$2:$C$40,MATCH($C320,Lists!$A$2:$A$40,0)))=0,"",IF(MIN($F320:$J320)&gt;=INDEX(Lists!$C$2:$C$40,MATCH($C320,Lists!$A$2:$A$40,0)),"LEVEL UP",""))),"")</f>
        <v/>
      </c>
      <c r="N320" s="20"/>
      <c r="O320" s="19"/>
    </row>
    <row r="321" customFormat="false" ht="15" hidden="false" customHeight="false" outlineLevel="0" collapsed="false">
      <c r="A321" s="17"/>
      <c r="B321" s="18" t="str">
        <f aca="false">IF($A321="","",TEXT($A321,"ddd"))</f>
        <v/>
      </c>
      <c r="C321" s="19"/>
      <c r="D321" s="19"/>
      <c r="E321" s="18" t="str">
        <f aca="false">IF($C321="","",IFERROR(INDEX(Lists!$B$2:$B$40,MATCH($C321,Lists!$A$2:$A$40,0)),""))</f>
        <v/>
      </c>
      <c r="F321" s="20"/>
      <c r="G321" s="20"/>
      <c r="H321" s="20"/>
      <c r="I321" s="20"/>
      <c r="J321" s="20"/>
      <c r="K321" s="18" t="str">
        <f aca="false">IF(COUNT($F321:$J321)=0,"",SUM($F321:$J321))</f>
        <v/>
      </c>
      <c r="L321" s="18" t="str">
        <f aca="false">IF(COUNT($F321:$J321)=0,"",MAX($F321:$J321))</f>
        <v/>
      </c>
      <c r="M321" s="18" t="str">
        <f aca="false">IFERROR(IF(OR($C321="",COUNT($F321:$J321)&lt;3),"",IF(N(INDEX(Lists!$C$2:$C$40,MATCH($C321,Lists!$A$2:$A$40,0)))=0,"",IF(MIN($F321:$J321)&gt;=INDEX(Lists!$C$2:$C$40,MATCH($C321,Lists!$A$2:$A$40,0)),"LEVEL UP",""))),"")</f>
        <v/>
      </c>
      <c r="N321" s="20"/>
      <c r="O321" s="19"/>
    </row>
    <row r="322" customFormat="false" ht="15" hidden="false" customHeight="false" outlineLevel="0" collapsed="false">
      <c r="A322" s="17"/>
      <c r="B322" s="18" t="str">
        <f aca="false">IF($A322="","",TEXT($A322,"ddd"))</f>
        <v/>
      </c>
      <c r="C322" s="19"/>
      <c r="D322" s="19"/>
      <c r="E322" s="18" t="str">
        <f aca="false">IF($C322="","",IFERROR(INDEX(Lists!$B$2:$B$40,MATCH($C322,Lists!$A$2:$A$40,0)),""))</f>
        <v/>
      </c>
      <c r="F322" s="20"/>
      <c r="G322" s="20"/>
      <c r="H322" s="20"/>
      <c r="I322" s="20"/>
      <c r="J322" s="20"/>
      <c r="K322" s="18" t="str">
        <f aca="false">IF(COUNT($F322:$J322)=0,"",SUM($F322:$J322))</f>
        <v/>
      </c>
      <c r="L322" s="18" t="str">
        <f aca="false">IF(COUNT($F322:$J322)=0,"",MAX($F322:$J322))</f>
        <v/>
      </c>
      <c r="M322" s="18" t="str">
        <f aca="false">IFERROR(IF(OR($C322="",COUNT($F322:$J322)&lt;3),"",IF(N(INDEX(Lists!$C$2:$C$40,MATCH($C322,Lists!$A$2:$A$40,0)))=0,"",IF(MIN($F322:$J322)&gt;=INDEX(Lists!$C$2:$C$40,MATCH($C322,Lists!$A$2:$A$40,0)),"LEVEL UP",""))),"")</f>
        <v/>
      </c>
      <c r="N322" s="20"/>
      <c r="O322" s="19"/>
    </row>
    <row r="323" customFormat="false" ht="15" hidden="false" customHeight="false" outlineLevel="0" collapsed="false">
      <c r="A323" s="17"/>
      <c r="B323" s="18" t="str">
        <f aca="false">IF($A323="","",TEXT($A323,"ddd"))</f>
        <v/>
      </c>
      <c r="C323" s="19"/>
      <c r="D323" s="19"/>
      <c r="E323" s="18" t="str">
        <f aca="false">IF($C323="","",IFERROR(INDEX(Lists!$B$2:$B$40,MATCH($C323,Lists!$A$2:$A$40,0)),""))</f>
        <v/>
      </c>
      <c r="F323" s="20"/>
      <c r="G323" s="20"/>
      <c r="H323" s="20"/>
      <c r="I323" s="20"/>
      <c r="J323" s="20"/>
      <c r="K323" s="18" t="str">
        <f aca="false">IF(COUNT($F323:$J323)=0,"",SUM($F323:$J323))</f>
        <v/>
      </c>
      <c r="L323" s="18" t="str">
        <f aca="false">IF(COUNT($F323:$J323)=0,"",MAX($F323:$J323))</f>
        <v/>
      </c>
      <c r="M323" s="18" t="str">
        <f aca="false">IFERROR(IF(OR($C323="",COUNT($F323:$J323)&lt;3),"",IF(N(INDEX(Lists!$C$2:$C$40,MATCH($C323,Lists!$A$2:$A$40,0)))=0,"",IF(MIN($F323:$J323)&gt;=INDEX(Lists!$C$2:$C$40,MATCH($C323,Lists!$A$2:$A$40,0)),"LEVEL UP",""))),"")</f>
        <v/>
      </c>
      <c r="N323" s="20"/>
      <c r="O323" s="19"/>
    </row>
    <row r="324" customFormat="false" ht="15" hidden="false" customHeight="false" outlineLevel="0" collapsed="false">
      <c r="A324" s="17"/>
      <c r="B324" s="18" t="str">
        <f aca="false">IF($A324="","",TEXT($A324,"ddd"))</f>
        <v/>
      </c>
      <c r="C324" s="19"/>
      <c r="D324" s="19"/>
      <c r="E324" s="18" t="str">
        <f aca="false">IF($C324="","",IFERROR(INDEX(Lists!$B$2:$B$40,MATCH($C324,Lists!$A$2:$A$40,0)),""))</f>
        <v/>
      </c>
      <c r="F324" s="20"/>
      <c r="G324" s="20"/>
      <c r="H324" s="20"/>
      <c r="I324" s="20"/>
      <c r="J324" s="20"/>
      <c r="K324" s="18" t="str">
        <f aca="false">IF(COUNT($F324:$J324)=0,"",SUM($F324:$J324))</f>
        <v/>
      </c>
      <c r="L324" s="18" t="str">
        <f aca="false">IF(COUNT($F324:$J324)=0,"",MAX($F324:$J324))</f>
        <v/>
      </c>
      <c r="M324" s="18" t="str">
        <f aca="false">IFERROR(IF(OR($C324="",COUNT($F324:$J324)&lt;3),"",IF(N(INDEX(Lists!$C$2:$C$40,MATCH($C324,Lists!$A$2:$A$40,0)))=0,"",IF(MIN($F324:$J324)&gt;=INDEX(Lists!$C$2:$C$40,MATCH($C324,Lists!$A$2:$A$40,0)),"LEVEL UP",""))),"")</f>
        <v/>
      </c>
      <c r="N324" s="20"/>
      <c r="O324" s="19"/>
    </row>
    <row r="325" customFormat="false" ht="15" hidden="false" customHeight="false" outlineLevel="0" collapsed="false">
      <c r="A325" s="17"/>
      <c r="B325" s="18" t="str">
        <f aca="false">IF($A325="","",TEXT($A325,"ddd"))</f>
        <v/>
      </c>
      <c r="C325" s="19"/>
      <c r="D325" s="19"/>
      <c r="E325" s="18" t="str">
        <f aca="false">IF($C325="","",IFERROR(INDEX(Lists!$B$2:$B$40,MATCH($C325,Lists!$A$2:$A$40,0)),""))</f>
        <v/>
      </c>
      <c r="F325" s="20"/>
      <c r="G325" s="20"/>
      <c r="H325" s="20"/>
      <c r="I325" s="20"/>
      <c r="J325" s="20"/>
      <c r="K325" s="18" t="str">
        <f aca="false">IF(COUNT($F325:$J325)=0,"",SUM($F325:$J325))</f>
        <v/>
      </c>
      <c r="L325" s="18" t="str">
        <f aca="false">IF(COUNT($F325:$J325)=0,"",MAX($F325:$J325))</f>
        <v/>
      </c>
      <c r="M325" s="18" t="str">
        <f aca="false">IFERROR(IF(OR($C325="",COUNT($F325:$J325)&lt;3),"",IF(N(INDEX(Lists!$C$2:$C$40,MATCH($C325,Lists!$A$2:$A$40,0)))=0,"",IF(MIN($F325:$J325)&gt;=INDEX(Lists!$C$2:$C$40,MATCH($C325,Lists!$A$2:$A$40,0)),"LEVEL UP",""))),"")</f>
        <v/>
      </c>
      <c r="N325" s="20"/>
      <c r="O325" s="19"/>
    </row>
    <row r="326" customFormat="false" ht="15" hidden="false" customHeight="false" outlineLevel="0" collapsed="false">
      <c r="A326" s="17"/>
      <c r="B326" s="18" t="str">
        <f aca="false">IF($A326="","",TEXT($A326,"ddd"))</f>
        <v/>
      </c>
      <c r="C326" s="19"/>
      <c r="D326" s="19"/>
      <c r="E326" s="18" t="str">
        <f aca="false">IF($C326="","",IFERROR(INDEX(Lists!$B$2:$B$40,MATCH($C326,Lists!$A$2:$A$40,0)),""))</f>
        <v/>
      </c>
      <c r="F326" s="20"/>
      <c r="G326" s="20"/>
      <c r="H326" s="20"/>
      <c r="I326" s="20"/>
      <c r="J326" s="20"/>
      <c r="K326" s="18" t="str">
        <f aca="false">IF(COUNT($F326:$J326)=0,"",SUM($F326:$J326))</f>
        <v/>
      </c>
      <c r="L326" s="18" t="str">
        <f aca="false">IF(COUNT($F326:$J326)=0,"",MAX($F326:$J326))</f>
        <v/>
      </c>
      <c r="M326" s="18" t="str">
        <f aca="false">IFERROR(IF(OR($C326="",COUNT($F326:$J326)&lt;3),"",IF(N(INDEX(Lists!$C$2:$C$40,MATCH($C326,Lists!$A$2:$A$40,0)))=0,"",IF(MIN($F326:$J326)&gt;=INDEX(Lists!$C$2:$C$40,MATCH($C326,Lists!$A$2:$A$40,0)),"LEVEL UP",""))),"")</f>
        <v/>
      </c>
      <c r="N326" s="20"/>
      <c r="O326" s="19"/>
    </row>
    <row r="327" customFormat="false" ht="15" hidden="false" customHeight="false" outlineLevel="0" collapsed="false">
      <c r="A327" s="17"/>
      <c r="B327" s="18" t="str">
        <f aca="false">IF($A327="","",TEXT($A327,"ddd"))</f>
        <v/>
      </c>
      <c r="C327" s="19"/>
      <c r="D327" s="19"/>
      <c r="E327" s="18" t="str">
        <f aca="false">IF($C327="","",IFERROR(INDEX(Lists!$B$2:$B$40,MATCH($C327,Lists!$A$2:$A$40,0)),""))</f>
        <v/>
      </c>
      <c r="F327" s="20"/>
      <c r="G327" s="20"/>
      <c r="H327" s="20"/>
      <c r="I327" s="20"/>
      <c r="J327" s="20"/>
      <c r="K327" s="18" t="str">
        <f aca="false">IF(COUNT($F327:$J327)=0,"",SUM($F327:$J327))</f>
        <v/>
      </c>
      <c r="L327" s="18" t="str">
        <f aca="false">IF(COUNT($F327:$J327)=0,"",MAX($F327:$J327))</f>
        <v/>
      </c>
      <c r="M327" s="18" t="str">
        <f aca="false">IFERROR(IF(OR($C327="",COUNT($F327:$J327)&lt;3),"",IF(N(INDEX(Lists!$C$2:$C$40,MATCH($C327,Lists!$A$2:$A$40,0)))=0,"",IF(MIN($F327:$J327)&gt;=INDEX(Lists!$C$2:$C$40,MATCH($C327,Lists!$A$2:$A$40,0)),"LEVEL UP",""))),"")</f>
        <v/>
      </c>
      <c r="N327" s="20"/>
      <c r="O327" s="19"/>
    </row>
    <row r="328" customFormat="false" ht="15" hidden="false" customHeight="false" outlineLevel="0" collapsed="false">
      <c r="A328" s="17"/>
      <c r="B328" s="18" t="str">
        <f aca="false">IF($A328="","",TEXT($A328,"ddd"))</f>
        <v/>
      </c>
      <c r="C328" s="19"/>
      <c r="D328" s="19"/>
      <c r="E328" s="18" t="str">
        <f aca="false">IF($C328="","",IFERROR(INDEX(Lists!$B$2:$B$40,MATCH($C328,Lists!$A$2:$A$40,0)),""))</f>
        <v/>
      </c>
      <c r="F328" s="20"/>
      <c r="G328" s="20"/>
      <c r="H328" s="20"/>
      <c r="I328" s="20"/>
      <c r="J328" s="20"/>
      <c r="K328" s="18" t="str">
        <f aca="false">IF(COUNT($F328:$J328)=0,"",SUM($F328:$J328))</f>
        <v/>
      </c>
      <c r="L328" s="18" t="str">
        <f aca="false">IF(COUNT($F328:$J328)=0,"",MAX($F328:$J328))</f>
        <v/>
      </c>
      <c r="M328" s="18" t="str">
        <f aca="false">IFERROR(IF(OR($C328="",COUNT($F328:$J328)&lt;3),"",IF(N(INDEX(Lists!$C$2:$C$40,MATCH($C328,Lists!$A$2:$A$40,0)))=0,"",IF(MIN($F328:$J328)&gt;=INDEX(Lists!$C$2:$C$40,MATCH($C328,Lists!$A$2:$A$40,0)),"LEVEL UP",""))),"")</f>
        <v/>
      </c>
      <c r="N328" s="20"/>
      <c r="O328" s="19"/>
    </row>
    <row r="329" customFormat="false" ht="15" hidden="false" customHeight="false" outlineLevel="0" collapsed="false">
      <c r="A329" s="17"/>
      <c r="B329" s="18" t="str">
        <f aca="false">IF($A329="","",TEXT($A329,"ddd"))</f>
        <v/>
      </c>
      <c r="C329" s="19"/>
      <c r="D329" s="19"/>
      <c r="E329" s="18" t="str">
        <f aca="false">IF($C329="","",IFERROR(INDEX(Lists!$B$2:$B$40,MATCH($C329,Lists!$A$2:$A$40,0)),""))</f>
        <v/>
      </c>
      <c r="F329" s="20"/>
      <c r="G329" s="20"/>
      <c r="H329" s="20"/>
      <c r="I329" s="20"/>
      <c r="J329" s="20"/>
      <c r="K329" s="18" t="str">
        <f aca="false">IF(COUNT($F329:$J329)=0,"",SUM($F329:$J329))</f>
        <v/>
      </c>
      <c r="L329" s="18" t="str">
        <f aca="false">IF(COUNT($F329:$J329)=0,"",MAX($F329:$J329))</f>
        <v/>
      </c>
      <c r="M329" s="18" t="str">
        <f aca="false">IFERROR(IF(OR($C329="",COUNT($F329:$J329)&lt;3),"",IF(N(INDEX(Lists!$C$2:$C$40,MATCH($C329,Lists!$A$2:$A$40,0)))=0,"",IF(MIN($F329:$J329)&gt;=INDEX(Lists!$C$2:$C$40,MATCH($C329,Lists!$A$2:$A$40,0)),"LEVEL UP",""))),"")</f>
        <v/>
      </c>
      <c r="N329" s="20"/>
      <c r="O329" s="19"/>
    </row>
    <row r="330" customFormat="false" ht="15" hidden="false" customHeight="false" outlineLevel="0" collapsed="false">
      <c r="A330" s="17"/>
      <c r="B330" s="18" t="str">
        <f aca="false">IF($A330="","",TEXT($A330,"ddd"))</f>
        <v/>
      </c>
      <c r="C330" s="19"/>
      <c r="D330" s="19"/>
      <c r="E330" s="18" t="str">
        <f aca="false">IF($C330="","",IFERROR(INDEX(Lists!$B$2:$B$40,MATCH($C330,Lists!$A$2:$A$40,0)),""))</f>
        <v/>
      </c>
      <c r="F330" s="20"/>
      <c r="G330" s="20"/>
      <c r="H330" s="20"/>
      <c r="I330" s="20"/>
      <c r="J330" s="20"/>
      <c r="K330" s="18" t="str">
        <f aca="false">IF(COUNT($F330:$J330)=0,"",SUM($F330:$J330))</f>
        <v/>
      </c>
      <c r="L330" s="18" t="str">
        <f aca="false">IF(COUNT($F330:$J330)=0,"",MAX($F330:$J330))</f>
        <v/>
      </c>
      <c r="M330" s="18" t="str">
        <f aca="false">IFERROR(IF(OR($C330="",COUNT($F330:$J330)&lt;3),"",IF(N(INDEX(Lists!$C$2:$C$40,MATCH($C330,Lists!$A$2:$A$40,0)))=0,"",IF(MIN($F330:$J330)&gt;=INDEX(Lists!$C$2:$C$40,MATCH($C330,Lists!$A$2:$A$40,0)),"LEVEL UP",""))),"")</f>
        <v/>
      </c>
      <c r="N330" s="20"/>
      <c r="O330" s="19"/>
    </row>
    <row r="331" customFormat="false" ht="15" hidden="false" customHeight="false" outlineLevel="0" collapsed="false">
      <c r="A331" s="17"/>
      <c r="B331" s="18" t="str">
        <f aca="false">IF($A331="","",TEXT($A331,"ddd"))</f>
        <v/>
      </c>
      <c r="C331" s="19"/>
      <c r="D331" s="19"/>
      <c r="E331" s="18" t="str">
        <f aca="false">IF($C331="","",IFERROR(INDEX(Lists!$B$2:$B$40,MATCH($C331,Lists!$A$2:$A$40,0)),""))</f>
        <v/>
      </c>
      <c r="F331" s="20"/>
      <c r="G331" s="20"/>
      <c r="H331" s="20"/>
      <c r="I331" s="20"/>
      <c r="J331" s="20"/>
      <c r="K331" s="18" t="str">
        <f aca="false">IF(COUNT($F331:$J331)=0,"",SUM($F331:$J331))</f>
        <v/>
      </c>
      <c r="L331" s="18" t="str">
        <f aca="false">IF(COUNT($F331:$J331)=0,"",MAX($F331:$J331))</f>
        <v/>
      </c>
      <c r="M331" s="18" t="str">
        <f aca="false">IFERROR(IF(OR($C331="",COUNT($F331:$J331)&lt;3),"",IF(N(INDEX(Lists!$C$2:$C$40,MATCH($C331,Lists!$A$2:$A$40,0)))=0,"",IF(MIN($F331:$J331)&gt;=INDEX(Lists!$C$2:$C$40,MATCH($C331,Lists!$A$2:$A$40,0)),"LEVEL UP",""))),"")</f>
        <v/>
      </c>
      <c r="N331" s="20"/>
      <c r="O331" s="19"/>
    </row>
    <row r="332" customFormat="false" ht="15" hidden="false" customHeight="false" outlineLevel="0" collapsed="false">
      <c r="A332" s="17"/>
      <c r="B332" s="18" t="str">
        <f aca="false">IF($A332="","",TEXT($A332,"ddd"))</f>
        <v/>
      </c>
      <c r="C332" s="19"/>
      <c r="D332" s="19"/>
      <c r="E332" s="18" t="str">
        <f aca="false">IF($C332="","",IFERROR(INDEX(Lists!$B$2:$B$40,MATCH($C332,Lists!$A$2:$A$40,0)),""))</f>
        <v/>
      </c>
      <c r="F332" s="20"/>
      <c r="G332" s="20"/>
      <c r="H332" s="20"/>
      <c r="I332" s="20"/>
      <c r="J332" s="20"/>
      <c r="K332" s="18" t="str">
        <f aca="false">IF(COUNT($F332:$J332)=0,"",SUM($F332:$J332))</f>
        <v/>
      </c>
      <c r="L332" s="18" t="str">
        <f aca="false">IF(COUNT($F332:$J332)=0,"",MAX($F332:$J332))</f>
        <v/>
      </c>
      <c r="M332" s="18" t="str">
        <f aca="false">IFERROR(IF(OR($C332="",COUNT($F332:$J332)&lt;3),"",IF(N(INDEX(Lists!$C$2:$C$40,MATCH($C332,Lists!$A$2:$A$40,0)))=0,"",IF(MIN($F332:$J332)&gt;=INDEX(Lists!$C$2:$C$40,MATCH($C332,Lists!$A$2:$A$40,0)),"LEVEL UP",""))),"")</f>
        <v/>
      </c>
      <c r="N332" s="20"/>
      <c r="O332" s="19"/>
    </row>
    <row r="333" customFormat="false" ht="15" hidden="false" customHeight="false" outlineLevel="0" collapsed="false">
      <c r="A333" s="17"/>
      <c r="B333" s="18" t="str">
        <f aca="false">IF($A333="","",TEXT($A333,"ddd"))</f>
        <v/>
      </c>
      <c r="C333" s="19"/>
      <c r="D333" s="19"/>
      <c r="E333" s="18" t="str">
        <f aca="false">IF($C333="","",IFERROR(INDEX(Lists!$B$2:$B$40,MATCH($C333,Lists!$A$2:$A$40,0)),""))</f>
        <v/>
      </c>
      <c r="F333" s="20"/>
      <c r="G333" s="20"/>
      <c r="H333" s="20"/>
      <c r="I333" s="20"/>
      <c r="J333" s="20"/>
      <c r="K333" s="18" t="str">
        <f aca="false">IF(COUNT($F333:$J333)=0,"",SUM($F333:$J333))</f>
        <v/>
      </c>
      <c r="L333" s="18" t="str">
        <f aca="false">IF(COUNT($F333:$J333)=0,"",MAX($F333:$J333))</f>
        <v/>
      </c>
      <c r="M333" s="18" t="str">
        <f aca="false">IFERROR(IF(OR($C333="",COUNT($F333:$J333)&lt;3),"",IF(N(INDEX(Lists!$C$2:$C$40,MATCH($C333,Lists!$A$2:$A$40,0)))=0,"",IF(MIN($F333:$J333)&gt;=INDEX(Lists!$C$2:$C$40,MATCH($C333,Lists!$A$2:$A$40,0)),"LEVEL UP",""))),"")</f>
        <v/>
      </c>
      <c r="N333" s="20"/>
      <c r="O333" s="19"/>
    </row>
    <row r="334" customFormat="false" ht="15" hidden="false" customHeight="false" outlineLevel="0" collapsed="false">
      <c r="A334" s="17"/>
      <c r="B334" s="18" t="str">
        <f aca="false">IF($A334="","",TEXT($A334,"ddd"))</f>
        <v/>
      </c>
      <c r="C334" s="19"/>
      <c r="D334" s="19"/>
      <c r="E334" s="18" t="str">
        <f aca="false">IF($C334="","",IFERROR(INDEX(Lists!$B$2:$B$40,MATCH($C334,Lists!$A$2:$A$40,0)),""))</f>
        <v/>
      </c>
      <c r="F334" s="20"/>
      <c r="G334" s="20"/>
      <c r="H334" s="20"/>
      <c r="I334" s="20"/>
      <c r="J334" s="20"/>
      <c r="K334" s="18" t="str">
        <f aca="false">IF(COUNT($F334:$J334)=0,"",SUM($F334:$J334))</f>
        <v/>
      </c>
      <c r="L334" s="18" t="str">
        <f aca="false">IF(COUNT($F334:$J334)=0,"",MAX($F334:$J334))</f>
        <v/>
      </c>
      <c r="M334" s="18" t="str">
        <f aca="false">IFERROR(IF(OR($C334="",COUNT($F334:$J334)&lt;3),"",IF(N(INDEX(Lists!$C$2:$C$40,MATCH($C334,Lists!$A$2:$A$40,0)))=0,"",IF(MIN($F334:$J334)&gt;=INDEX(Lists!$C$2:$C$40,MATCH($C334,Lists!$A$2:$A$40,0)),"LEVEL UP",""))),"")</f>
        <v/>
      </c>
      <c r="N334" s="20"/>
      <c r="O334" s="19"/>
    </row>
    <row r="335" customFormat="false" ht="15" hidden="false" customHeight="false" outlineLevel="0" collapsed="false">
      <c r="A335" s="17"/>
      <c r="B335" s="18" t="str">
        <f aca="false">IF($A335="","",TEXT($A335,"ddd"))</f>
        <v/>
      </c>
      <c r="C335" s="19"/>
      <c r="D335" s="19"/>
      <c r="E335" s="18" t="str">
        <f aca="false">IF($C335="","",IFERROR(INDEX(Lists!$B$2:$B$40,MATCH($C335,Lists!$A$2:$A$40,0)),""))</f>
        <v/>
      </c>
      <c r="F335" s="20"/>
      <c r="G335" s="20"/>
      <c r="H335" s="20"/>
      <c r="I335" s="20"/>
      <c r="J335" s="20"/>
      <c r="K335" s="18" t="str">
        <f aca="false">IF(COUNT($F335:$J335)=0,"",SUM($F335:$J335))</f>
        <v/>
      </c>
      <c r="L335" s="18" t="str">
        <f aca="false">IF(COUNT($F335:$J335)=0,"",MAX($F335:$J335))</f>
        <v/>
      </c>
      <c r="M335" s="18" t="str">
        <f aca="false">IFERROR(IF(OR($C335="",COUNT($F335:$J335)&lt;3),"",IF(N(INDEX(Lists!$C$2:$C$40,MATCH($C335,Lists!$A$2:$A$40,0)))=0,"",IF(MIN($F335:$J335)&gt;=INDEX(Lists!$C$2:$C$40,MATCH($C335,Lists!$A$2:$A$40,0)),"LEVEL UP",""))),"")</f>
        <v/>
      </c>
      <c r="N335" s="20"/>
      <c r="O335" s="19"/>
    </row>
    <row r="336" customFormat="false" ht="15" hidden="false" customHeight="false" outlineLevel="0" collapsed="false">
      <c r="A336" s="17"/>
      <c r="B336" s="18" t="str">
        <f aca="false">IF($A336="","",TEXT($A336,"ddd"))</f>
        <v/>
      </c>
      <c r="C336" s="19"/>
      <c r="D336" s="19"/>
      <c r="E336" s="18" t="str">
        <f aca="false">IF($C336="","",IFERROR(INDEX(Lists!$B$2:$B$40,MATCH($C336,Lists!$A$2:$A$40,0)),""))</f>
        <v/>
      </c>
      <c r="F336" s="20"/>
      <c r="G336" s="20"/>
      <c r="H336" s="20"/>
      <c r="I336" s="20"/>
      <c r="J336" s="20"/>
      <c r="K336" s="18" t="str">
        <f aca="false">IF(COUNT($F336:$J336)=0,"",SUM($F336:$J336))</f>
        <v/>
      </c>
      <c r="L336" s="18" t="str">
        <f aca="false">IF(COUNT($F336:$J336)=0,"",MAX($F336:$J336))</f>
        <v/>
      </c>
      <c r="M336" s="18" t="str">
        <f aca="false">IFERROR(IF(OR($C336="",COUNT($F336:$J336)&lt;3),"",IF(N(INDEX(Lists!$C$2:$C$40,MATCH($C336,Lists!$A$2:$A$40,0)))=0,"",IF(MIN($F336:$J336)&gt;=INDEX(Lists!$C$2:$C$40,MATCH($C336,Lists!$A$2:$A$40,0)),"LEVEL UP",""))),"")</f>
        <v/>
      </c>
      <c r="N336" s="20"/>
      <c r="O336" s="19"/>
    </row>
    <row r="337" customFormat="false" ht="15" hidden="false" customHeight="false" outlineLevel="0" collapsed="false">
      <c r="A337" s="17"/>
      <c r="B337" s="18" t="str">
        <f aca="false">IF($A337="","",TEXT($A337,"ddd"))</f>
        <v/>
      </c>
      <c r="C337" s="19"/>
      <c r="D337" s="19"/>
      <c r="E337" s="18" t="str">
        <f aca="false">IF($C337="","",IFERROR(INDEX(Lists!$B$2:$B$40,MATCH($C337,Lists!$A$2:$A$40,0)),""))</f>
        <v/>
      </c>
      <c r="F337" s="20"/>
      <c r="G337" s="20"/>
      <c r="H337" s="20"/>
      <c r="I337" s="20"/>
      <c r="J337" s="20"/>
      <c r="K337" s="18" t="str">
        <f aca="false">IF(COUNT($F337:$J337)=0,"",SUM($F337:$J337))</f>
        <v/>
      </c>
      <c r="L337" s="18" t="str">
        <f aca="false">IF(COUNT($F337:$J337)=0,"",MAX($F337:$J337))</f>
        <v/>
      </c>
      <c r="M337" s="18" t="str">
        <f aca="false">IFERROR(IF(OR($C337="",COUNT($F337:$J337)&lt;3),"",IF(N(INDEX(Lists!$C$2:$C$40,MATCH($C337,Lists!$A$2:$A$40,0)))=0,"",IF(MIN($F337:$J337)&gt;=INDEX(Lists!$C$2:$C$40,MATCH($C337,Lists!$A$2:$A$40,0)),"LEVEL UP",""))),"")</f>
        <v/>
      </c>
      <c r="N337" s="20"/>
      <c r="O337" s="19"/>
    </row>
    <row r="338" customFormat="false" ht="15" hidden="false" customHeight="false" outlineLevel="0" collapsed="false">
      <c r="A338" s="17"/>
      <c r="B338" s="18" t="str">
        <f aca="false">IF($A338="","",TEXT($A338,"ddd"))</f>
        <v/>
      </c>
      <c r="C338" s="19"/>
      <c r="D338" s="19"/>
      <c r="E338" s="18" t="str">
        <f aca="false">IF($C338="","",IFERROR(INDEX(Lists!$B$2:$B$40,MATCH($C338,Lists!$A$2:$A$40,0)),""))</f>
        <v/>
      </c>
      <c r="F338" s="20"/>
      <c r="G338" s="20"/>
      <c r="H338" s="20"/>
      <c r="I338" s="20"/>
      <c r="J338" s="20"/>
      <c r="K338" s="18" t="str">
        <f aca="false">IF(COUNT($F338:$J338)=0,"",SUM($F338:$J338))</f>
        <v/>
      </c>
      <c r="L338" s="18" t="str">
        <f aca="false">IF(COUNT($F338:$J338)=0,"",MAX($F338:$J338))</f>
        <v/>
      </c>
      <c r="M338" s="18" t="str">
        <f aca="false">IFERROR(IF(OR($C338="",COUNT($F338:$J338)&lt;3),"",IF(N(INDEX(Lists!$C$2:$C$40,MATCH($C338,Lists!$A$2:$A$40,0)))=0,"",IF(MIN($F338:$J338)&gt;=INDEX(Lists!$C$2:$C$40,MATCH($C338,Lists!$A$2:$A$40,0)),"LEVEL UP",""))),"")</f>
        <v/>
      </c>
      <c r="N338" s="20"/>
      <c r="O338" s="19"/>
    </row>
    <row r="339" customFormat="false" ht="15" hidden="false" customHeight="false" outlineLevel="0" collapsed="false">
      <c r="A339" s="17"/>
      <c r="B339" s="18" t="str">
        <f aca="false">IF($A339="","",TEXT($A339,"ddd"))</f>
        <v/>
      </c>
      <c r="C339" s="19"/>
      <c r="D339" s="19"/>
      <c r="E339" s="18" t="str">
        <f aca="false">IF($C339="","",IFERROR(INDEX(Lists!$B$2:$B$40,MATCH($C339,Lists!$A$2:$A$40,0)),""))</f>
        <v/>
      </c>
      <c r="F339" s="20"/>
      <c r="G339" s="20"/>
      <c r="H339" s="20"/>
      <c r="I339" s="20"/>
      <c r="J339" s="20"/>
      <c r="K339" s="18" t="str">
        <f aca="false">IF(COUNT($F339:$J339)=0,"",SUM($F339:$J339))</f>
        <v/>
      </c>
      <c r="L339" s="18" t="str">
        <f aca="false">IF(COUNT($F339:$J339)=0,"",MAX($F339:$J339))</f>
        <v/>
      </c>
      <c r="M339" s="18" t="str">
        <f aca="false">IFERROR(IF(OR($C339="",COUNT($F339:$J339)&lt;3),"",IF(N(INDEX(Lists!$C$2:$C$40,MATCH($C339,Lists!$A$2:$A$40,0)))=0,"",IF(MIN($F339:$J339)&gt;=INDEX(Lists!$C$2:$C$40,MATCH($C339,Lists!$A$2:$A$40,0)),"LEVEL UP",""))),"")</f>
        <v/>
      </c>
      <c r="N339" s="20"/>
      <c r="O339" s="19"/>
    </row>
    <row r="340" customFormat="false" ht="15" hidden="false" customHeight="false" outlineLevel="0" collapsed="false">
      <c r="A340" s="17"/>
      <c r="B340" s="18" t="str">
        <f aca="false">IF($A340="","",TEXT($A340,"ddd"))</f>
        <v/>
      </c>
      <c r="C340" s="19"/>
      <c r="D340" s="19"/>
      <c r="E340" s="18" t="str">
        <f aca="false">IF($C340="","",IFERROR(INDEX(Lists!$B$2:$B$40,MATCH($C340,Lists!$A$2:$A$40,0)),""))</f>
        <v/>
      </c>
      <c r="F340" s="20"/>
      <c r="G340" s="20"/>
      <c r="H340" s="20"/>
      <c r="I340" s="20"/>
      <c r="J340" s="20"/>
      <c r="K340" s="18" t="str">
        <f aca="false">IF(COUNT($F340:$J340)=0,"",SUM($F340:$J340))</f>
        <v/>
      </c>
      <c r="L340" s="18" t="str">
        <f aca="false">IF(COUNT($F340:$J340)=0,"",MAX($F340:$J340))</f>
        <v/>
      </c>
      <c r="M340" s="18" t="str">
        <f aca="false">IFERROR(IF(OR($C340="",COUNT($F340:$J340)&lt;3),"",IF(N(INDEX(Lists!$C$2:$C$40,MATCH($C340,Lists!$A$2:$A$40,0)))=0,"",IF(MIN($F340:$J340)&gt;=INDEX(Lists!$C$2:$C$40,MATCH($C340,Lists!$A$2:$A$40,0)),"LEVEL UP",""))),"")</f>
        <v/>
      </c>
      <c r="N340" s="20"/>
      <c r="O340" s="19"/>
    </row>
    <row r="341" customFormat="false" ht="15" hidden="false" customHeight="false" outlineLevel="0" collapsed="false">
      <c r="A341" s="17"/>
      <c r="B341" s="18" t="str">
        <f aca="false">IF($A341="","",TEXT($A341,"ddd"))</f>
        <v/>
      </c>
      <c r="C341" s="19"/>
      <c r="D341" s="19"/>
      <c r="E341" s="18" t="str">
        <f aca="false">IF($C341="","",IFERROR(INDEX(Lists!$B$2:$B$40,MATCH($C341,Lists!$A$2:$A$40,0)),""))</f>
        <v/>
      </c>
      <c r="F341" s="20"/>
      <c r="G341" s="20"/>
      <c r="H341" s="20"/>
      <c r="I341" s="20"/>
      <c r="J341" s="20"/>
      <c r="K341" s="18" t="str">
        <f aca="false">IF(COUNT($F341:$J341)=0,"",SUM($F341:$J341))</f>
        <v/>
      </c>
      <c r="L341" s="18" t="str">
        <f aca="false">IF(COUNT($F341:$J341)=0,"",MAX($F341:$J341))</f>
        <v/>
      </c>
      <c r="M341" s="18" t="str">
        <f aca="false">IFERROR(IF(OR($C341="",COUNT($F341:$J341)&lt;3),"",IF(N(INDEX(Lists!$C$2:$C$40,MATCH($C341,Lists!$A$2:$A$40,0)))=0,"",IF(MIN($F341:$J341)&gt;=INDEX(Lists!$C$2:$C$40,MATCH($C341,Lists!$A$2:$A$40,0)),"LEVEL UP",""))),"")</f>
        <v/>
      </c>
      <c r="N341" s="20"/>
      <c r="O341" s="19"/>
    </row>
    <row r="342" customFormat="false" ht="15" hidden="false" customHeight="false" outlineLevel="0" collapsed="false">
      <c r="A342" s="17"/>
      <c r="B342" s="18" t="str">
        <f aca="false">IF($A342="","",TEXT($A342,"ddd"))</f>
        <v/>
      </c>
      <c r="C342" s="19"/>
      <c r="D342" s="19"/>
      <c r="E342" s="18" t="str">
        <f aca="false">IF($C342="","",IFERROR(INDEX(Lists!$B$2:$B$40,MATCH($C342,Lists!$A$2:$A$40,0)),""))</f>
        <v/>
      </c>
      <c r="F342" s="20"/>
      <c r="G342" s="20"/>
      <c r="H342" s="20"/>
      <c r="I342" s="20"/>
      <c r="J342" s="20"/>
      <c r="K342" s="18" t="str">
        <f aca="false">IF(COUNT($F342:$J342)=0,"",SUM($F342:$J342))</f>
        <v/>
      </c>
      <c r="L342" s="18" t="str">
        <f aca="false">IF(COUNT($F342:$J342)=0,"",MAX($F342:$J342))</f>
        <v/>
      </c>
      <c r="M342" s="18" t="str">
        <f aca="false">IFERROR(IF(OR($C342="",COUNT($F342:$J342)&lt;3),"",IF(N(INDEX(Lists!$C$2:$C$40,MATCH($C342,Lists!$A$2:$A$40,0)))=0,"",IF(MIN($F342:$J342)&gt;=INDEX(Lists!$C$2:$C$40,MATCH($C342,Lists!$A$2:$A$40,0)),"LEVEL UP",""))),"")</f>
        <v/>
      </c>
      <c r="N342" s="20"/>
      <c r="O342" s="19"/>
    </row>
    <row r="343" customFormat="false" ht="15" hidden="false" customHeight="false" outlineLevel="0" collapsed="false">
      <c r="A343" s="17"/>
      <c r="B343" s="18" t="str">
        <f aca="false">IF($A343="","",TEXT($A343,"ddd"))</f>
        <v/>
      </c>
      <c r="C343" s="19"/>
      <c r="D343" s="19"/>
      <c r="E343" s="18" t="str">
        <f aca="false">IF($C343="","",IFERROR(INDEX(Lists!$B$2:$B$40,MATCH($C343,Lists!$A$2:$A$40,0)),""))</f>
        <v/>
      </c>
      <c r="F343" s="20"/>
      <c r="G343" s="20"/>
      <c r="H343" s="20"/>
      <c r="I343" s="20"/>
      <c r="J343" s="20"/>
      <c r="K343" s="18" t="str">
        <f aca="false">IF(COUNT($F343:$J343)=0,"",SUM($F343:$J343))</f>
        <v/>
      </c>
      <c r="L343" s="18" t="str">
        <f aca="false">IF(COUNT($F343:$J343)=0,"",MAX($F343:$J343))</f>
        <v/>
      </c>
      <c r="M343" s="18" t="str">
        <f aca="false">IFERROR(IF(OR($C343="",COUNT($F343:$J343)&lt;3),"",IF(N(INDEX(Lists!$C$2:$C$40,MATCH($C343,Lists!$A$2:$A$40,0)))=0,"",IF(MIN($F343:$J343)&gt;=INDEX(Lists!$C$2:$C$40,MATCH($C343,Lists!$A$2:$A$40,0)),"LEVEL UP",""))),"")</f>
        <v/>
      </c>
      <c r="N343" s="20"/>
      <c r="O343" s="19"/>
    </row>
    <row r="344" customFormat="false" ht="15" hidden="false" customHeight="false" outlineLevel="0" collapsed="false">
      <c r="A344" s="17"/>
      <c r="B344" s="18" t="str">
        <f aca="false">IF($A344="","",TEXT($A344,"ddd"))</f>
        <v/>
      </c>
      <c r="C344" s="19"/>
      <c r="D344" s="19"/>
      <c r="E344" s="18" t="str">
        <f aca="false">IF($C344="","",IFERROR(INDEX(Lists!$B$2:$B$40,MATCH($C344,Lists!$A$2:$A$40,0)),""))</f>
        <v/>
      </c>
      <c r="F344" s="20"/>
      <c r="G344" s="20"/>
      <c r="H344" s="20"/>
      <c r="I344" s="20"/>
      <c r="J344" s="20"/>
      <c r="K344" s="18" t="str">
        <f aca="false">IF(COUNT($F344:$J344)=0,"",SUM($F344:$J344))</f>
        <v/>
      </c>
      <c r="L344" s="18" t="str">
        <f aca="false">IF(COUNT($F344:$J344)=0,"",MAX($F344:$J344))</f>
        <v/>
      </c>
      <c r="M344" s="18" t="str">
        <f aca="false">IFERROR(IF(OR($C344="",COUNT($F344:$J344)&lt;3),"",IF(N(INDEX(Lists!$C$2:$C$40,MATCH($C344,Lists!$A$2:$A$40,0)))=0,"",IF(MIN($F344:$J344)&gt;=INDEX(Lists!$C$2:$C$40,MATCH($C344,Lists!$A$2:$A$40,0)),"LEVEL UP",""))),"")</f>
        <v/>
      </c>
      <c r="N344" s="20"/>
      <c r="O344" s="19"/>
    </row>
    <row r="345" customFormat="false" ht="15" hidden="false" customHeight="false" outlineLevel="0" collapsed="false">
      <c r="A345" s="17"/>
      <c r="B345" s="18" t="str">
        <f aca="false">IF($A345="","",TEXT($A345,"ddd"))</f>
        <v/>
      </c>
      <c r="C345" s="19"/>
      <c r="D345" s="19"/>
      <c r="E345" s="18" t="str">
        <f aca="false">IF($C345="","",IFERROR(INDEX(Lists!$B$2:$B$40,MATCH($C345,Lists!$A$2:$A$40,0)),""))</f>
        <v/>
      </c>
      <c r="F345" s="20"/>
      <c r="G345" s="20"/>
      <c r="H345" s="20"/>
      <c r="I345" s="20"/>
      <c r="J345" s="20"/>
      <c r="K345" s="18" t="str">
        <f aca="false">IF(COUNT($F345:$J345)=0,"",SUM($F345:$J345))</f>
        <v/>
      </c>
      <c r="L345" s="18" t="str">
        <f aca="false">IF(COUNT($F345:$J345)=0,"",MAX($F345:$J345))</f>
        <v/>
      </c>
      <c r="M345" s="18" t="str">
        <f aca="false">IFERROR(IF(OR($C345="",COUNT($F345:$J345)&lt;3),"",IF(N(INDEX(Lists!$C$2:$C$40,MATCH($C345,Lists!$A$2:$A$40,0)))=0,"",IF(MIN($F345:$J345)&gt;=INDEX(Lists!$C$2:$C$40,MATCH($C345,Lists!$A$2:$A$40,0)),"LEVEL UP",""))),"")</f>
        <v/>
      </c>
      <c r="N345" s="20"/>
      <c r="O345" s="19"/>
    </row>
    <row r="346" customFormat="false" ht="15" hidden="false" customHeight="false" outlineLevel="0" collapsed="false">
      <c r="A346" s="17"/>
      <c r="B346" s="18" t="str">
        <f aca="false">IF($A346="","",TEXT($A346,"ddd"))</f>
        <v/>
      </c>
      <c r="C346" s="19"/>
      <c r="D346" s="19"/>
      <c r="E346" s="18" t="str">
        <f aca="false">IF($C346="","",IFERROR(INDEX(Lists!$B$2:$B$40,MATCH($C346,Lists!$A$2:$A$40,0)),""))</f>
        <v/>
      </c>
      <c r="F346" s="20"/>
      <c r="G346" s="20"/>
      <c r="H346" s="20"/>
      <c r="I346" s="20"/>
      <c r="J346" s="20"/>
      <c r="K346" s="18" t="str">
        <f aca="false">IF(COUNT($F346:$J346)=0,"",SUM($F346:$J346))</f>
        <v/>
      </c>
      <c r="L346" s="18" t="str">
        <f aca="false">IF(COUNT($F346:$J346)=0,"",MAX($F346:$J346))</f>
        <v/>
      </c>
      <c r="M346" s="18" t="str">
        <f aca="false">IFERROR(IF(OR($C346="",COUNT($F346:$J346)&lt;3),"",IF(N(INDEX(Lists!$C$2:$C$40,MATCH($C346,Lists!$A$2:$A$40,0)))=0,"",IF(MIN($F346:$J346)&gt;=INDEX(Lists!$C$2:$C$40,MATCH($C346,Lists!$A$2:$A$40,0)),"LEVEL UP",""))),"")</f>
        <v/>
      </c>
      <c r="N346" s="20"/>
      <c r="O346" s="19"/>
    </row>
    <row r="347" customFormat="false" ht="15" hidden="false" customHeight="false" outlineLevel="0" collapsed="false">
      <c r="A347" s="17"/>
      <c r="B347" s="18" t="str">
        <f aca="false">IF($A347="","",TEXT($A347,"ddd"))</f>
        <v/>
      </c>
      <c r="C347" s="19"/>
      <c r="D347" s="19"/>
      <c r="E347" s="18" t="str">
        <f aca="false">IF($C347="","",IFERROR(INDEX(Lists!$B$2:$B$40,MATCH($C347,Lists!$A$2:$A$40,0)),""))</f>
        <v/>
      </c>
      <c r="F347" s="20"/>
      <c r="G347" s="20"/>
      <c r="H347" s="20"/>
      <c r="I347" s="20"/>
      <c r="J347" s="20"/>
      <c r="K347" s="18" t="str">
        <f aca="false">IF(COUNT($F347:$J347)=0,"",SUM($F347:$J347))</f>
        <v/>
      </c>
      <c r="L347" s="18" t="str">
        <f aca="false">IF(COUNT($F347:$J347)=0,"",MAX($F347:$J347))</f>
        <v/>
      </c>
      <c r="M347" s="18" t="str">
        <f aca="false">IFERROR(IF(OR($C347="",COUNT($F347:$J347)&lt;3),"",IF(N(INDEX(Lists!$C$2:$C$40,MATCH($C347,Lists!$A$2:$A$40,0)))=0,"",IF(MIN($F347:$J347)&gt;=INDEX(Lists!$C$2:$C$40,MATCH($C347,Lists!$A$2:$A$40,0)),"LEVEL UP",""))),"")</f>
        <v/>
      </c>
      <c r="N347" s="20"/>
      <c r="O347" s="19"/>
    </row>
    <row r="348" customFormat="false" ht="15" hidden="false" customHeight="false" outlineLevel="0" collapsed="false">
      <c r="A348" s="17"/>
      <c r="B348" s="18" t="str">
        <f aca="false">IF($A348="","",TEXT($A348,"ddd"))</f>
        <v/>
      </c>
      <c r="C348" s="19"/>
      <c r="D348" s="19"/>
      <c r="E348" s="18" t="str">
        <f aca="false">IF($C348="","",IFERROR(INDEX(Lists!$B$2:$B$40,MATCH($C348,Lists!$A$2:$A$40,0)),""))</f>
        <v/>
      </c>
      <c r="F348" s="20"/>
      <c r="G348" s="20"/>
      <c r="H348" s="20"/>
      <c r="I348" s="20"/>
      <c r="J348" s="20"/>
      <c r="K348" s="18" t="str">
        <f aca="false">IF(COUNT($F348:$J348)=0,"",SUM($F348:$J348))</f>
        <v/>
      </c>
      <c r="L348" s="18" t="str">
        <f aca="false">IF(COUNT($F348:$J348)=0,"",MAX($F348:$J348))</f>
        <v/>
      </c>
      <c r="M348" s="18" t="str">
        <f aca="false">IFERROR(IF(OR($C348="",COUNT($F348:$J348)&lt;3),"",IF(N(INDEX(Lists!$C$2:$C$40,MATCH($C348,Lists!$A$2:$A$40,0)))=0,"",IF(MIN($F348:$J348)&gt;=INDEX(Lists!$C$2:$C$40,MATCH($C348,Lists!$A$2:$A$40,0)),"LEVEL UP",""))),"")</f>
        <v/>
      </c>
      <c r="N348" s="20"/>
      <c r="O348" s="19"/>
    </row>
    <row r="349" customFormat="false" ht="15" hidden="false" customHeight="false" outlineLevel="0" collapsed="false">
      <c r="A349" s="17"/>
      <c r="B349" s="18" t="str">
        <f aca="false">IF($A349="","",TEXT($A349,"ddd"))</f>
        <v/>
      </c>
      <c r="C349" s="19"/>
      <c r="D349" s="19"/>
      <c r="E349" s="18" t="str">
        <f aca="false">IF($C349="","",IFERROR(INDEX(Lists!$B$2:$B$40,MATCH($C349,Lists!$A$2:$A$40,0)),""))</f>
        <v/>
      </c>
      <c r="F349" s="20"/>
      <c r="G349" s="20"/>
      <c r="H349" s="20"/>
      <c r="I349" s="20"/>
      <c r="J349" s="20"/>
      <c r="K349" s="18" t="str">
        <f aca="false">IF(COUNT($F349:$J349)=0,"",SUM($F349:$J349))</f>
        <v/>
      </c>
      <c r="L349" s="18" t="str">
        <f aca="false">IF(COUNT($F349:$J349)=0,"",MAX($F349:$J349))</f>
        <v/>
      </c>
      <c r="M349" s="18" t="str">
        <f aca="false">IFERROR(IF(OR($C349="",COUNT($F349:$J349)&lt;3),"",IF(N(INDEX(Lists!$C$2:$C$40,MATCH($C349,Lists!$A$2:$A$40,0)))=0,"",IF(MIN($F349:$J349)&gt;=INDEX(Lists!$C$2:$C$40,MATCH($C349,Lists!$A$2:$A$40,0)),"LEVEL UP",""))),"")</f>
        <v/>
      </c>
      <c r="N349" s="20"/>
      <c r="O349" s="19"/>
    </row>
    <row r="350" customFormat="false" ht="15" hidden="false" customHeight="false" outlineLevel="0" collapsed="false">
      <c r="A350" s="17"/>
      <c r="B350" s="18" t="str">
        <f aca="false">IF($A350="","",TEXT($A350,"ddd"))</f>
        <v/>
      </c>
      <c r="C350" s="19"/>
      <c r="D350" s="19"/>
      <c r="E350" s="18" t="str">
        <f aca="false">IF($C350="","",IFERROR(INDEX(Lists!$B$2:$B$40,MATCH($C350,Lists!$A$2:$A$40,0)),""))</f>
        <v/>
      </c>
      <c r="F350" s="20"/>
      <c r="G350" s="20"/>
      <c r="H350" s="20"/>
      <c r="I350" s="20"/>
      <c r="J350" s="20"/>
      <c r="K350" s="18" t="str">
        <f aca="false">IF(COUNT($F350:$J350)=0,"",SUM($F350:$J350))</f>
        <v/>
      </c>
      <c r="L350" s="18" t="str">
        <f aca="false">IF(COUNT($F350:$J350)=0,"",MAX($F350:$J350))</f>
        <v/>
      </c>
      <c r="M350" s="18" t="str">
        <f aca="false">IFERROR(IF(OR($C350="",COUNT($F350:$J350)&lt;3),"",IF(N(INDEX(Lists!$C$2:$C$40,MATCH($C350,Lists!$A$2:$A$40,0)))=0,"",IF(MIN($F350:$J350)&gt;=INDEX(Lists!$C$2:$C$40,MATCH($C350,Lists!$A$2:$A$40,0)),"LEVEL UP",""))),"")</f>
        <v/>
      </c>
      <c r="N350" s="20"/>
      <c r="O350" s="19"/>
    </row>
    <row r="351" customFormat="false" ht="15" hidden="false" customHeight="false" outlineLevel="0" collapsed="false">
      <c r="A351" s="17"/>
      <c r="B351" s="18" t="str">
        <f aca="false">IF($A351="","",TEXT($A351,"ddd"))</f>
        <v/>
      </c>
      <c r="C351" s="19"/>
      <c r="D351" s="19"/>
      <c r="E351" s="18" t="str">
        <f aca="false">IF($C351="","",IFERROR(INDEX(Lists!$B$2:$B$40,MATCH($C351,Lists!$A$2:$A$40,0)),""))</f>
        <v/>
      </c>
      <c r="F351" s="20"/>
      <c r="G351" s="20"/>
      <c r="H351" s="20"/>
      <c r="I351" s="20"/>
      <c r="J351" s="20"/>
      <c r="K351" s="18" t="str">
        <f aca="false">IF(COUNT($F351:$J351)=0,"",SUM($F351:$J351))</f>
        <v/>
      </c>
      <c r="L351" s="18" t="str">
        <f aca="false">IF(COUNT($F351:$J351)=0,"",MAX($F351:$J351))</f>
        <v/>
      </c>
      <c r="M351" s="18" t="str">
        <f aca="false">IFERROR(IF(OR($C351="",COUNT($F351:$J351)&lt;3),"",IF(N(INDEX(Lists!$C$2:$C$40,MATCH($C351,Lists!$A$2:$A$40,0)))=0,"",IF(MIN($F351:$J351)&gt;=INDEX(Lists!$C$2:$C$40,MATCH($C351,Lists!$A$2:$A$40,0)),"LEVEL UP",""))),"")</f>
        <v/>
      </c>
      <c r="N351" s="20"/>
      <c r="O351" s="19"/>
    </row>
    <row r="352" customFormat="false" ht="15" hidden="false" customHeight="false" outlineLevel="0" collapsed="false">
      <c r="A352" s="17"/>
      <c r="B352" s="18" t="str">
        <f aca="false">IF($A352="","",TEXT($A352,"ddd"))</f>
        <v/>
      </c>
      <c r="C352" s="19"/>
      <c r="D352" s="19"/>
      <c r="E352" s="18" t="str">
        <f aca="false">IF($C352="","",IFERROR(INDEX(Lists!$B$2:$B$40,MATCH($C352,Lists!$A$2:$A$40,0)),""))</f>
        <v/>
      </c>
      <c r="F352" s="20"/>
      <c r="G352" s="20"/>
      <c r="H352" s="20"/>
      <c r="I352" s="20"/>
      <c r="J352" s="20"/>
      <c r="K352" s="18" t="str">
        <f aca="false">IF(COUNT($F352:$J352)=0,"",SUM($F352:$J352))</f>
        <v/>
      </c>
      <c r="L352" s="18" t="str">
        <f aca="false">IF(COUNT($F352:$J352)=0,"",MAX($F352:$J352))</f>
        <v/>
      </c>
      <c r="M352" s="18" t="str">
        <f aca="false">IFERROR(IF(OR($C352="",COUNT($F352:$J352)&lt;3),"",IF(N(INDEX(Lists!$C$2:$C$40,MATCH($C352,Lists!$A$2:$A$40,0)))=0,"",IF(MIN($F352:$J352)&gt;=INDEX(Lists!$C$2:$C$40,MATCH($C352,Lists!$A$2:$A$40,0)),"LEVEL UP",""))),"")</f>
        <v/>
      </c>
      <c r="N352" s="20"/>
      <c r="O352" s="19"/>
    </row>
    <row r="353" customFormat="false" ht="15" hidden="false" customHeight="false" outlineLevel="0" collapsed="false">
      <c r="A353" s="17"/>
      <c r="B353" s="18" t="str">
        <f aca="false">IF($A353="","",TEXT($A353,"ddd"))</f>
        <v/>
      </c>
      <c r="C353" s="19"/>
      <c r="D353" s="19"/>
      <c r="E353" s="18" t="str">
        <f aca="false">IF($C353="","",IFERROR(INDEX(Lists!$B$2:$B$40,MATCH($C353,Lists!$A$2:$A$40,0)),""))</f>
        <v/>
      </c>
      <c r="F353" s="20"/>
      <c r="G353" s="20"/>
      <c r="H353" s="20"/>
      <c r="I353" s="20"/>
      <c r="J353" s="20"/>
      <c r="K353" s="18" t="str">
        <f aca="false">IF(COUNT($F353:$J353)=0,"",SUM($F353:$J353))</f>
        <v/>
      </c>
      <c r="L353" s="18" t="str">
        <f aca="false">IF(COUNT($F353:$J353)=0,"",MAX($F353:$J353))</f>
        <v/>
      </c>
      <c r="M353" s="18" t="str">
        <f aca="false">IFERROR(IF(OR($C353="",COUNT($F353:$J353)&lt;3),"",IF(N(INDEX(Lists!$C$2:$C$40,MATCH($C353,Lists!$A$2:$A$40,0)))=0,"",IF(MIN($F353:$J353)&gt;=INDEX(Lists!$C$2:$C$40,MATCH($C353,Lists!$A$2:$A$40,0)),"LEVEL UP",""))),"")</f>
        <v/>
      </c>
      <c r="N353" s="20"/>
      <c r="O353" s="19"/>
    </row>
    <row r="354" customFormat="false" ht="15" hidden="false" customHeight="false" outlineLevel="0" collapsed="false">
      <c r="A354" s="17"/>
      <c r="B354" s="18" t="str">
        <f aca="false">IF($A354="","",TEXT($A354,"ddd"))</f>
        <v/>
      </c>
      <c r="C354" s="19"/>
      <c r="D354" s="19"/>
      <c r="E354" s="18" t="str">
        <f aca="false">IF($C354="","",IFERROR(INDEX(Lists!$B$2:$B$40,MATCH($C354,Lists!$A$2:$A$40,0)),""))</f>
        <v/>
      </c>
      <c r="F354" s="20"/>
      <c r="G354" s="20"/>
      <c r="H354" s="20"/>
      <c r="I354" s="20"/>
      <c r="J354" s="20"/>
      <c r="K354" s="18" t="str">
        <f aca="false">IF(COUNT($F354:$J354)=0,"",SUM($F354:$J354))</f>
        <v/>
      </c>
      <c r="L354" s="18" t="str">
        <f aca="false">IF(COUNT($F354:$J354)=0,"",MAX($F354:$J354))</f>
        <v/>
      </c>
      <c r="M354" s="18" t="str">
        <f aca="false">IFERROR(IF(OR($C354="",COUNT($F354:$J354)&lt;3),"",IF(N(INDEX(Lists!$C$2:$C$40,MATCH($C354,Lists!$A$2:$A$40,0)))=0,"",IF(MIN($F354:$J354)&gt;=INDEX(Lists!$C$2:$C$40,MATCH($C354,Lists!$A$2:$A$40,0)),"LEVEL UP",""))),"")</f>
        <v/>
      </c>
      <c r="N354" s="20"/>
      <c r="O354" s="19"/>
    </row>
    <row r="355" customFormat="false" ht="15" hidden="false" customHeight="false" outlineLevel="0" collapsed="false">
      <c r="A355" s="17"/>
      <c r="B355" s="18" t="str">
        <f aca="false">IF($A355="","",TEXT($A355,"ddd"))</f>
        <v/>
      </c>
      <c r="C355" s="19"/>
      <c r="D355" s="19"/>
      <c r="E355" s="18" t="str">
        <f aca="false">IF($C355="","",IFERROR(INDEX(Lists!$B$2:$B$40,MATCH($C355,Lists!$A$2:$A$40,0)),""))</f>
        <v/>
      </c>
      <c r="F355" s="20"/>
      <c r="G355" s="20"/>
      <c r="H355" s="20"/>
      <c r="I355" s="20"/>
      <c r="J355" s="20"/>
      <c r="K355" s="18" t="str">
        <f aca="false">IF(COUNT($F355:$J355)=0,"",SUM($F355:$J355))</f>
        <v/>
      </c>
      <c r="L355" s="18" t="str">
        <f aca="false">IF(COUNT($F355:$J355)=0,"",MAX($F355:$J355))</f>
        <v/>
      </c>
      <c r="M355" s="18" t="str">
        <f aca="false">IFERROR(IF(OR($C355="",COUNT($F355:$J355)&lt;3),"",IF(N(INDEX(Lists!$C$2:$C$40,MATCH($C355,Lists!$A$2:$A$40,0)))=0,"",IF(MIN($F355:$J355)&gt;=INDEX(Lists!$C$2:$C$40,MATCH($C355,Lists!$A$2:$A$40,0)),"LEVEL UP",""))),"")</f>
        <v/>
      </c>
      <c r="N355" s="20"/>
      <c r="O355" s="19"/>
    </row>
    <row r="356" customFormat="false" ht="15" hidden="false" customHeight="false" outlineLevel="0" collapsed="false">
      <c r="A356" s="17"/>
      <c r="B356" s="18" t="str">
        <f aca="false">IF($A356="","",TEXT($A356,"ddd"))</f>
        <v/>
      </c>
      <c r="C356" s="19"/>
      <c r="D356" s="19"/>
      <c r="E356" s="18" t="str">
        <f aca="false">IF($C356="","",IFERROR(INDEX(Lists!$B$2:$B$40,MATCH($C356,Lists!$A$2:$A$40,0)),""))</f>
        <v/>
      </c>
      <c r="F356" s="20"/>
      <c r="G356" s="20"/>
      <c r="H356" s="20"/>
      <c r="I356" s="20"/>
      <c r="J356" s="20"/>
      <c r="K356" s="18" t="str">
        <f aca="false">IF(COUNT($F356:$J356)=0,"",SUM($F356:$J356))</f>
        <v/>
      </c>
      <c r="L356" s="18" t="str">
        <f aca="false">IF(COUNT($F356:$J356)=0,"",MAX($F356:$J356))</f>
        <v/>
      </c>
      <c r="M356" s="18" t="str">
        <f aca="false">IFERROR(IF(OR($C356="",COUNT($F356:$J356)&lt;3),"",IF(N(INDEX(Lists!$C$2:$C$40,MATCH($C356,Lists!$A$2:$A$40,0)))=0,"",IF(MIN($F356:$J356)&gt;=INDEX(Lists!$C$2:$C$40,MATCH($C356,Lists!$A$2:$A$40,0)),"LEVEL UP",""))),"")</f>
        <v/>
      </c>
      <c r="N356" s="20"/>
      <c r="O356" s="19"/>
    </row>
    <row r="357" customFormat="false" ht="15" hidden="false" customHeight="false" outlineLevel="0" collapsed="false">
      <c r="A357" s="17"/>
      <c r="B357" s="18" t="str">
        <f aca="false">IF($A357="","",TEXT($A357,"ddd"))</f>
        <v/>
      </c>
      <c r="C357" s="19"/>
      <c r="D357" s="19"/>
      <c r="E357" s="18" t="str">
        <f aca="false">IF($C357="","",IFERROR(INDEX(Lists!$B$2:$B$40,MATCH($C357,Lists!$A$2:$A$40,0)),""))</f>
        <v/>
      </c>
      <c r="F357" s="20"/>
      <c r="G357" s="20"/>
      <c r="H357" s="20"/>
      <c r="I357" s="20"/>
      <c r="J357" s="20"/>
      <c r="K357" s="18" t="str">
        <f aca="false">IF(COUNT($F357:$J357)=0,"",SUM($F357:$J357))</f>
        <v/>
      </c>
      <c r="L357" s="18" t="str">
        <f aca="false">IF(COUNT($F357:$J357)=0,"",MAX($F357:$J357))</f>
        <v/>
      </c>
      <c r="M357" s="18" t="str">
        <f aca="false">IFERROR(IF(OR($C357="",COUNT($F357:$J357)&lt;3),"",IF(N(INDEX(Lists!$C$2:$C$40,MATCH($C357,Lists!$A$2:$A$40,0)))=0,"",IF(MIN($F357:$J357)&gt;=INDEX(Lists!$C$2:$C$40,MATCH($C357,Lists!$A$2:$A$40,0)),"LEVEL UP",""))),"")</f>
        <v/>
      </c>
      <c r="N357" s="20"/>
      <c r="O357" s="19"/>
    </row>
    <row r="358" customFormat="false" ht="15" hidden="false" customHeight="false" outlineLevel="0" collapsed="false">
      <c r="A358" s="17"/>
      <c r="B358" s="18" t="str">
        <f aca="false">IF($A358="","",TEXT($A358,"ddd"))</f>
        <v/>
      </c>
      <c r="C358" s="19"/>
      <c r="D358" s="19"/>
      <c r="E358" s="18" t="str">
        <f aca="false">IF($C358="","",IFERROR(INDEX(Lists!$B$2:$B$40,MATCH($C358,Lists!$A$2:$A$40,0)),""))</f>
        <v/>
      </c>
      <c r="F358" s="20"/>
      <c r="G358" s="20"/>
      <c r="H358" s="20"/>
      <c r="I358" s="20"/>
      <c r="J358" s="20"/>
      <c r="K358" s="18" t="str">
        <f aca="false">IF(COUNT($F358:$J358)=0,"",SUM($F358:$J358))</f>
        <v/>
      </c>
      <c r="L358" s="18" t="str">
        <f aca="false">IF(COUNT($F358:$J358)=0,"",MAX($F358:$J358))</f>
        <v/>
      </c>
      <c r="M358" s="18" t="str">
        <f aca="false">IFERROR(IF(OR($C358="",COUNT($F358:$J358)&lt;3),"",IF(N(INDEX(Lists!$C$2:$C$40,MATCH($C358,Lists!$A$2:$A$40,0)))=0,"",IF(MIN($F358:$J358)&gt;=INDEX(Lists!$C$2:$C$40,MATCH($C358,Lists!$A$2:$A$40,0)),"LEVEL UP",""))),"")</f>
        <v/>
      </c>
      <c r="N358" s="20"/>
      <c r="O358" s="19"/>
    </row>
    <row r="359" customFormat="false" ht="15" hidden="false" customHeight="false" outlineLevel="0" collapsed="false">
      <c r="A359" s="17"/>
      <c r="B359" s="18" t="str">
        <f aca="false">IF($A359="","",TEXT($A359,"ddd"))</f>
        <v/>
      </c>
      <c r="C359" s="19"/>
      <c r="D359" s="19"/>
      <c r="E359" s="18" t="str">
        <f aca="false">IF($C359="","",IFERROR(INDEX(Lists!$B$2:$B$40,MATCH($C359,Lists!$A$2:$A$40,0)),""))</f>
        <v/>
      </c>
      <c r="F359" s="20"/>
      <c r="G359" s="20"/>
      <c r="H359" s="20"/>
      <c r="I359" s="20"/>
      <c r="J359" s="20"/>
      <c r="K359" s="18" t="str">
        <f aca="false">IF(COUNT($F359:$J359)=0,"",SUM($F359:$J359))</f>
        <v/>
      </c>
      <c r="L359" s="18" t="str">
        <f aca="false">IF(COUNT($F359:$J359)=0,"",MAX($F359:$J359))</f>
        <v/>
      </c>
      <c r="M359" s="18" t="str">
        <f aca="false">IFERROR(IF(OR($C359="",COUNT($F359:$J359)&lt;3),"",IF(N(INDEX(Lists!$C$2:$C$40,MATCH($C359,Lists!$A$2:$A$40,0)))=0,"",IF(MIN($F359:$J359)&gt;=INDEX(Lists!$C$2:$C$40,MATCH($C359,Lists!$A$2:$A$40,0)),"LEVEL UP",""))),"")</f>
        <v/>
      </c>
      <c r="N359" s="20"/>
      <c r="O359" s="19"/>
    </row>
    <row r="360" customFormat="false" ht="15" hidden="false" customHeight="false" outlineLevel="0" collapsed="false">
      <c r="A360" s="17"/>
      <c r="B360" s="18" t="str">
        <f aca="false">IF($A360="","",TEXT($A360,"ddd"))</f>
        <v/>
      </c>
      <c r="C360" s="19"/>
      <c r="D360" s="19"/>
      <c r="E360" s="18" t="str">
        <f aca="false">IF($C360="","",IFERROR(INDEX(Lists!$B$2:$B$40,MATCH($C360,Lists!$A$2:$A$40,0)),""))</f>
        <v/>
      </c>
      <c r="F360" s="20"/>
      <c r="G360" s="20"/>
      <c r="H360" s="20"/>
      <c r="I360" s="20"/>
      <c r="J360" s="20"/>
      <c r="K360" s="18" t="str">
        <f aca="false">IF(COUNT($F360:$J360)=0,"",SUM($F360:$J360))</f>
        <v/>
      </c>
      <c r="L360" s="18" t="str">
        <f aca="false">IF(COUNT($F360:$J360)=0,"",MAX($F360:$J360))</f>
        <v/>
      </c>
      <c r="M360" s="18" t="str">
        <f aca="false">IFERROR(IF(OR($C360="",COUNT($F360:$J360)&lt;3),"",IF(N(INDEX(Lists!$C$2:$C$40,MATCH($C360,Lists!$A$2:$A$40,0)))=0,"",IF(MIN($F360:$J360)&gt;=INDEX(Lists!$C$2:$C$40,MATCH($C360,Lists!$A$2:$A$40,0)),"LEVEL UP",""))),"")</f>
        <v/>
      </c>
      <c r="N360" s="20"/>
      <c r="O360" s="19"/>
    </row>
    <row r="361" customFormat="false" ht="15" hidden="false" customHeight="false" outlineLevel="0" collapsed="false">
      <c r="A361" s="17"/>
      <c r="B361" s="18" t="str">
        <f aca="false">IF($A361="","",TEXT($A361,"ddd"))</f>
        <v/>
      </c>
      <c r="C361" s="19"/>
      <c r="D361" s="19"/>
      <c r="E361" s="18" t="str">
        <f aca="false">IF($C361="","",IFERROR(INDEX(Lists!$B$2:$B$40,MATCH($C361,Lists!$A$2:$A$40,0)),""))</f>
        <v/>
      </c>
      <c r="F361" s="20"/>
      <c r="G361" s="20"/>
      <c r="H361" s="20"/>
      <c r="I361" s="20"/>
      <c r="J361" s="20"/>
      <c r="K361" s="18" t="str">
        <f aca="false">IF(COUNT($F361:$J361)=0,"",SUM($F361:$J361))</f>
        <v/>
      </c>
      <c r="L361" s="18" t="str">
        <f aca="false">IF(COUNT($F361:$J361)=0,"",MAX($F361:$J361))</f>
        <v/>
      </c>
      <c r="M361" s="18" t="str">
        <f aca="false">IFERROR(IF(OR($C361="",COUNT($F361:$J361)&lt;3),"",IF(N(INDEX(Lists!$C$2:$C$40,MATCH($C361,Lists!$A$2:$A$40,0)))=0,"",IF(MIN($F361:$J361)&gt;=INDEX(Lists!$C$2:$C$40,MATCH($C361,Lists!$A$2:$A$40,0)),"LEVEL UP",""))),"")</f>
        <v/>
      </c>
      <c r="N361" s="20"/>
      <c r="O361" s="19"/>
    </row>
    <row r="362" customFormat="false" ht="15" hidden="false" customHeight="false" outlineLevel="0" collapsed="false">
      <c r="A362" s="17"/>
      <c r="B362" s="18" t="str">
        <f aca="false">IF($A362="","",TEXT($A362,"ddd"))</f>
        <v/>
      </c>
      <c r="C362" s="19"/>
      <c r="D362" s="19"/>
      <c r="E362" s="18" t="str">
        <f aca="false">IF($C362="","",IFERROR(INDEX(Lists!$B$2:$B$40,MATCH($C362,Lists!$A$2:$A$40,0)),""))</f>
        <v/>
      </c>
      <c r="F362" s="20"/>
      <c r="G362" s="20"/>
      <c r="H362" s="20"/>
      <c r="I362" s="20"/>
      <c r="J362" s="20"/>
      <c r="K362" s="18" t="str">
        <f aca="false">IF(COUNT($F362:$J362)=0,"",SUM($F362:$J362))</f>
        <v/>
      </c>
      <c r="L362" s="18" t="str">
        <f aca="false">IF(COUNT($F362:$J362)=0,"",MAX($F362:$J362))</f>
        <v/>
      </c>
      <c r="M362" s="18" t="str">
        <f aca="false">IFERROR(IF(OR($C362="",COUNT($F362:$J362)&lt;3),"",IF(N(INDEX(Lists!$C$2:$C$40,MATCH($C362,Lists!$A$2:$A$40,0)))=0,"",IF(MIN($F362:$J362)&gt;=INDEX(Lists!$C$2:$C$40,MATCH($C362,Lists!$A$2:$A$40,0)),"LEVEL UP",""))),"")</f>
        <v/>
      </c>
      <c r="N362" s="20"/>
      <c r="O362" s="19"/>
    </row>
    <row r="363" customFormat="false" ht="15" hidden="false" customHeight="false" outlineLevel="0" collapsed="false">
      <c r="A363" s="17"/>
      <c r="B363" s="18" t="str">
        <f aca="false">IF($A363="","",TEXT($A363,"ddd"))</f>
        <v/>
      </c>
      <c r="C363" s="19"/>
      <c r="D363" s="19"/>
      <c r="E363" s="18" t="str">
        <f aca="false">IF($C363="","",IFERROR(INDEX(Lists!$B$2:$B$40,MATCH($C363,Lists!$A$2:$A$40,0)),""))</f>
        <v/>
      </c>
      <c r="F363" s="20"/>
      <c r="G363" s="20"/>
      <c r="H363" s="20"/>
      <c r="I363" s="20"/>
      <c r="J363" s="20"/>
      <c r="K363" s="18" t="str">
        <f aca="false">IF(COUNT($F363:$J363)=0,"",SUM($F363:$J363))</f>
        <v/>
      </c>
      <c r="L363" s="18" t="str">
        <f aca="false">IF(COUNT($F363:$J363)=0,"",MAX($F363:$J363))</f>
        <v/>
      </c>
      <c r="M363" s="18" t="str">
        <f aca="false">IFERROR(IF(OR($C363="",COUNT($F363:$J363)&lt;3),"",IF(N(INDEX(Lists!$C$2:$C$40,MATCH($C363,Lists!$A$2:$A$40,0)))=0,"",IF(MIN($F363:$J363)&gt;=INDEX(Lists!$C$2:$C$40,MATCH($C363,Lists!$A$2:$A$40,0)),"LEVEL UP",""))),"")</f>
        <v/>
      </c>
      <c r="N363" s="20"/>
      <c r="O363" s="19"/>
    </row>
    <row r="364" customFormat="false" ht="15" hidden="false" customHeight="false" outlineLevel="0" collapsed="false">
      <c r="A364" s="17"/>
      <c r="B364" s="18" t="str">
        <f aca="false">IF($A364="","",TEXT($A364,"ddd"))</f>
        <v/>
      </c>
      <c r="C364" s="19"/>
      <c r="D364" s="19"/>
      <c r="E364" s="18" t="str">
        <f aca="false">IF($C364="","",IFERROR(INDEX(Lists!$B$2:$B$40,MATCH($C364,Lists!$A$2:$A$40,0)),""))</f>
        <v/>
      </c>
      <c r="F364" s="20"/>
      <c r="G364" s="20"/>
      <c r="H364" s="20"/>
      <c r="I364" s="20"/>
      <c r="J364" s="20"/>
      <c r="K364" s="18" t="str">
        <f aca="false">IF(COUNT($F364:$J364)=0,"",SUM($F364:$J364))</f>
        <v/>
      </c>
      <c r="L364" s="18" t="str">
        <f aca="false">IF(COUNT($F364:$J364)=0,"",MAX($F364:$J364))</f>
        <v/>
      </c>
      <c r="M364" s="18" t="str">
        <f aca="false">IFERROR(IF(OR($C364="",COUNT($F364:$J364)&lt;3),"",IF(N(INDEX(Lists!$C$2:$C$40,MATCH($C364,Lists!$A$2:$A$40,0)))=0,"",IF(MIN($F364:$J364)&gt;=INDEX(Lists!$C$2:$C$40,MATCH($C364,Lists!$A$2:$A$40,0)),"LEVEL UP",""))),"")</f>
        <v/>
      </c>
      <c r="N364" s="20"/>
      <c r="O364" s="19"/>
    </row>
    <row r="365" customFormat="false" ht="15" hidden="false" customHeight="false" outlineLevel="0" collapsed="false">
      <c r="A365" s="17"/>
      <c r="B365" s="18" t="str">
        <f aca="false">IF($A365="","",TEXT($A365,"ddd"))</f>
        <v/>
      </c>
      <c r="C365" s="19"/>
      <c r="D365" s="19"/>
      <c r="E365" s="18" t="str">
        <f aca="false">IF($C365="","",IFERROR(INDEX(Lists!$B$2:$B$40,MATCH($C365,Lists!$A$2:$A$40,0)),""))</f>
        <v/>
      </c>
      <c r="F365" s="20"/>
      <c r="G365" s="20"/>
      <c r="H365" s="20"/>
      <c r="I365" s="20"/>
      <c r="J365" s="20"/>
      <c r="K365" s="18" t="str">
        <f aca="false">IF(COUNT($F365:$J365)=0,"",SUM($F365:$J365))</f>
        <v/>
      </c>
      <c r="L365" s="18" t="str">
        <f aca="false">IF(COUNT($F365:$J365)=0,"",MAX($F365:$J365))</f>
        <v/>
      </c>
      <c r="M365" s="18" t="str">
        <f aca="false">IFERROR(IF(OR($C365="",COUNT($F365:$J365)&lt;3),"",IF(N(INDEX(Lists!$C$2:$C$40,MATCH($C365,Lists!$A$2:$A$40,0)))=0,"",IF(MIN($F365:$J365)&gt;=INDEX(Lists!$C$2:$C$40,MATCH($C365,Lists!$A$2:$A$40,0)),"LEVEL UP",""))),"")</f>
        <v/>
      </c>
      <c r="N365" s="20"/>
      <c r="O365" s="19"/>
    </row>
    <row r="366" customFormat="false" ht="15" hidden="false" customHeight="false" outlineLevel="0" collapsed="false">
      <c r="A366" s="17"/>
      <c r="B366" s="18" t="str">
        <f aca="false">IF($A366="","",TEXT($A366,"ddd"))</f>
        <v/>
      </c>
      <c r="C366" s="19"/>
      <c r="D366" s="19"/>
      <c r="E366" s="18" t="str">
        <f aca="false">IF($C366="","",IFERROR(INDEX(Lists!$B$2:$B$40,MATCH($C366,Lists!$A$2:$A$40,0)),""))</f>
        <v/>
      </c>
      <c r="F366" s="20"/>
      <c r="G366" s="20"/>
      <c r="H366" s="20"/>
      <c r="I366" s="20"/>
      <c r="J366" s="20"/>
      <c r="K366" s="18" t="str">
        <f aca="false">IF(COUNT($F366:$J366)=0,"",SUM($F366:$J366))</f>
        <v/>
      </c>
      <c r="L366" s="18" t="str">
        <f aca="false">IF(COUNT($F366:$J366)=0,"",MAX($F366:$J366))</f>
        <v/>
      </c>
      <c r="M366" s="18" t="str">
        <f aca="false">IFERROR(IF(OR($C366="",COUNT($F366:$J366)&lt;3),"",IF(N(INDEX(Lists!$C$2:$C$40,MATCH($C366,Lists!$A$2:$A$40,0)))=0,"",IF(MIN($F366:$J366)&gt;=INDEX(Lists!$C$2:$C$40,MATCH($C366,Lists!$A$2:$A$40,0)),"LEVEL UP",""))),"")</f>
        <v/>
      </c>
      <c r="N366" s="20"/>
      <c r="O366" s="19"/>
    </row>
    <row r="367" customFormat="false" ht="15" hidden="false" customHeight="false" outlineLevel="0" collapsed="false">
      <c r="A367" s="17"/>
      <c r="B367" s="18" t="str">
        <f aca="false">IF($A367="","",TEXT($A367,"ddd"))</f>
        <v/>
      </c>
      <c r="C367" s="19"/>
      <c r="D367" s="19"/>
      <c r="E367" s="18" t="str">
        <f aca="false">IF($C367="","",IFERROR(INDEX(Lists!$B$2:$B$40,MATCH($C367,Lists!$A$2:$A$40,0)),""))</f>
        <v/>
      </c>
      <c r="F367" s="20"/>
      <c r="G367" s="20"/>
      <c r="H367" s="20"/>
      <c r="I367" s="20"/>
      <c r="J367" s="20"/>
      <c r="K367" s="18" t="str">
        <f aca="false">IF(COUNT($F367:$J367)=0,"",SUM($F367:$J367))</f>
        <v/>
      </c>
      <c r="L367" s="18" t="str">
        <f aca="false">IF(COUNT($F367:$J367)=0,"",MAX($F367:$J367))</f>
        <v/>
      </c>
      <c r="M367" s="18" t="str">
        <f aca="false">IFERROR(IF(OR($C367="",COUNT($F367:$J367)&lt;3),"",IF(N(INDEX(Lists!$C$2:$C$40,MATCH($C367,Lists!$A$2:$A$40,0)))=0,"",IF(MIN($F367:$J367)&gt;=INDEX(Lists!$C$2:$C$40,MATCH($C367,Lists!$A$2:$A$40,0)),"LEVEL UP",""))),"")</f>
        <v/>
      </c>
      <c r="N367" s="20"/>
      <c r="O367" s="19"/>
    </row>
    <row r="368" customFormat="false" ht="15" hidden="false" customHeight="false" outlineLevel="0" collapsed="false">
      <c r="A368" s="17"/>
      <c r="B368" s="18" t="str">
        <f aca="false">IF($A368="","",TEXT($A368,"ddd"))</f>
        <v/>
      </c>
      <c r="C368" s="19"/>
      <c r="D368" s="19"/>
      <c r="E368" s="18" t="str">
        <f aca="false">IF($C368="","",IFERROR(INDEX(Lists!$B$2:$B$40,MATCH($C368,Lists!$A$2:$A$40,0)),""))</f>
        <v/>
      </c>
      <c r="F368" s="20"/>
      <c r="G368" s="20"/>
      <c r="H368" s="20"/>
      <c r="I368" s="20"/>
      <c r="J368" s="20"/>
      <c r="K368" s="18" t="str">
        <f aca="false">IF(COUNT($F368:$J368)=0,"",SUM($F368:$J368))</f>
        <v/>
      </c>
      <c r="L368" s="18" t="str">
        <f aca="false">IF(COUNT($F368:$J368)=0,"",MAX($F368:$J368))</f>
        <v/>
      </c>
      <c r="M368" s="18" t="str">
        <f aca="false">IFERROR(IF(OR($C368="",COUNT($F368:$J368)&lt;3),"",IF(N(INDEX(Lists!$C$2:$C$40,MATCH($C368,Lists!$A$2:$A$40,0)))=0,"",IF(MIN($F368:$J368)&gt;=INDEX(Lists!$C$2:$C$40,MATCH($C368,Lists!$A$2:$A$40,0)),"LEVEL UP",""))),"")</f>
        <v/>
      </c>
      <c r="N368" s="20"/>
      <c r="O368" s="19"/>
    </row>
    <row r="369" customFormat="false" ht="15" hidden="false" customHeight="false" outlineLevel="0" collapsed="false">
      <c r="A369" s="17"/>
      <c r="B369" s="18" t="str">
        <f aca="false">IF($A369="","",TEXT($A369,"ddd"))</f>
        <v/>
      </c>
      <c r="C369" s="19"/>
      <c r="D369" s="19"/>
      <c r="E369" s="18" t="str">
        <f aca="false">IF($C369="","",IFERROR(INDEX(Lists!$B$2:$B$40,MATCH($C369,Lists!$A$2:$A$40,0)),""))</f>
        <v/>
      </c>
      <c r="F369" s="20"/>
      <c r="G369" s="20"/>
      <c r="H369" s="20"/>
      <c r="I369" s="20"/>
      <c r="J369" s="20"/>
      <c r="K369" s="18" t="str">
        <f aca="false">IF(COUNT($F369:$J369)=0,"",SUM($F369:$J369))</f>
        <v/>
      </c>
      <c r="L369" s="18" t="str">
        <f aca="false">IF(COUNT($F369:$J369)=0,"",MAX($F369:$J369))</f>
        <v/>
      </c>
      <c r="M369" s="18" t="str">
        <f aca="false">IFERROR(IF(OR($C369="",COUNT($F369:$J369)&lt;3),"",IF(N(INDEX(Lists!$C$2:$C$40,MATCH($C369,Lists!$A$2:$A$40,0)))=0,"",IF(MIN($F369:$J369)&gt;=INDEX(Lists!$C$2:$C$40,MATCH($C369,Lists!$A$2:$A$40,0)),"LEVEL UP",""))),"")</f>
        <v/>
      </c>
      <c r="N369" s="20"/>
      <c r="O369" s="19"/>
    </row>
    <row r="370" customFormat="false" ht="15" hidden="false" customHeight="false" outlineLevel="0" collapsed="false">
      <c r="A370" s="17"/>
      <c r="B370" s="18" t="str">
        <f aca="false">IF($A370="","",TEXT($A370,"ddd"))</f>
        <v/>
      </c>
      <c r="C370" s="19"/>
      <c r="D370" s="19"/>
      <c r="E370" s="18" t="str">
        <f aca="false">IF($C370="","",IFERROR(INDEX(Lists!$B$2:$B$40,MATCH($C370,Lists!$A$2:$A$40,0)),""))</f>
        <v/>
      </c>
      <c r="F370" s="20"/>
      <c r="G370" s="20"/>
      <c r="H370" s="20"/>
      <c r="I370" s="20"/>
      <c r="J370" s="20"/>
      <c r="K370" s="18" t="str">
        <f aca="false">IF(COUNT($F370:$J370)=0,"",SUM($F370:$J370))</f>
        <v/>
      </c>
      <c r="L370" s="18" t="str">
        <f aca="false">IF(COUNT($F370:$J370)=0,"",MAX($F370:$J370))</f>
        <v/>
      </c>
      <c r="M370" s="18" t="str">
        <f aca="false">IFERROR(IF(OR($C370="",COUNT($F370:$J370)&lt;3),"",IF(N(INDEX(Lists!$C$2:$C$40,MATCH($C370,Lists!$A$2:$A$40,0)))=0,"",IF(MIN($F370:$J370)&gt;=INDEX(Lists!$C$2:$C$40,MATCH($C370,Lists!$A$2:$A$40,0)),"LEVEL UP",""))),"")</f>
        <v/>
      </c>
      <c r="N370" s="20"/>
      <c r="O370" s="19"/>
    </row>
    <row r="371" customFormat="false" ht="15" hidden="false" customHeight="false" outlineLevel="0" collapsed="false">
      <c r="A371" s="17"/>
      <c r="B371" s="18" t="str">
        <f aca="false">IF($A371="","",TEXT($A371,"ddd"))</f>
        <v/>
      </c>
      <c r="C371" s="19"/>
      <c r="D371" s="19"/>
      <c r="E371" s="18" t="str">
        <f aca="false">IF($C371="","",IFERROR(INDEX(Lists!$B$2:$B$40,MATCH($C371,Lists!$A$2:$A$40,0)),""))</f>
        <v/>
      </c>
      <c r="F371" s="20"/>
      <c r="G371" s="20"/>
      <c r="H371" s="20"/>
      <c r="I371" s="20"/>
      <c r="J371" s="20"/>
      <c r="K371" s="18" t="str">
        <f aca="false">IF(COUNT($F371:$J371)=0,"",SUM($F371:$J371))</f>
        <v/>
      </c>
      <c r="L371" s="18" t="str">
        <f aca="false">IF(COUNT($F371:$J371)=0,"",MAX($F371:$J371))</f>
        <v/>
      </c>
      <c r="M371" s="18" t="str">
        <f aca="false">IFERROR(IF(OR($C371="",COUNT($F371:$J371)&lt;3),"",IF(N(INDEX(Lists!$C$2:$C$40,MATCH($C371,Lists!$A$2:$A$40,0)))=0,"",IF(MIN($F371:$J371)&gt;=INDEX(Lists!$C$2:$C$40,MATCH($C371,Lists!$A$2:$A$40,0)),"LEVEL UP",""))),"")</f>
        <v/>
      </c>
      <c r="N371" s="20"/>
      <c r="O371" s="19"/>
    </row>
    <row r="372" customFormat="false" ht="15" hidden="false" customHeight="false" outlineLevel="0" collapsed="false">
      <c r="A372" s="17"/>
      <c r="B372" s="18" t="str">
        <f aca="false">IF($A372="","",TEXT($A372,"ddd"))</f>
        <v/>
      </c>
      <c r="C372" s="19"/>
      <c r="D372" s="19"/>
      <c r="E372" s="18" t="str">
        <f aca="false">IF($C372="","",IFERROR(INDEX(Lists!$B$2:$B$40,MATCH($C372,Lists!$A$2:$A$40,0)),""))</f>
        <v/>
      </c>
      <c r="F372" s="20"/>
      <c r="G372" s="20"/>
      <c r="H372" s="20"/>
      <c r="I372" s="20"/>
      <c r="J372" s="20"/>
      <c r="K372" s="18" t="str">
        <f aca="false">IF(COUNT($F372:$J372)=0,"",SUM($F372:$J372))</f>
        <v/>
      </c>
      <c r="L372" s="18" t="str">
        <f aca="false">IF(COUNT($F372:$J372)=0,"",MAX($F372:$J372))</f>
        <v/>
      </c>
      <c r="M372" s="18" t="str">
        <f aca="false">IFERROR(IF(OR($C372="",COUNT($F372:$J372)&lt;3),"",IF(N(INDEX(Lists!$C$2:$C$40,MATCH($C372,Lists!$A$2:$A$40,0)))=0,"",IF(MIN($F372:$J372)&gt;=INDEX(Lists!$C$2:$C$40,MATCH($C372,Lists!$A$2:$A$40,0)),"LEVEL UP",""))),"")</f>
        <v/>
      </c>
      <c r="N372" s="20"/>
      <c r="O372" s="19"/>
    </row>
    <row r="373" customFormat="false" ht="15" hidden="false" customHeight="false" outlineLevel="0" collapsed="false">
      <c r="A373" s="17"/>
      <c r="B373" s="18" t="str">
        <f aca="false">IF($A373="","",TEXT($A373,"ddd"))</f>
        <v/>
      </c>
      <c r="C373" s="19"/>
      <c r="D373" s="19"/>
      <c r="E373" s="18" t="str">
        <f aca="false">IF($C373="","",IFERROR(INDEX(Lists!$B$2:$B$40,MATCH($C373,Lists!$A$2:$A$40,0)),""))</f>
        <v/>
      </c>
      <c r="F373" s="20"/>
      <c r="G373" s="20"/>
      <c r="H373" s="20"/>
      <c r="I373" s="20"/>
      <c r="J373" s="20"/>
      <c r="K373" s="18" t="str">
        <f aca="false">IF(COUNT($F373:$J373)=0,"",SUM($F373:$J373))</f>
        <v/>
      </c>
      <c r="L373" s="18" t="str">
        <f aca="false">IF(COUNT($F373:$J373)=0,"",MAX($F373:$J373))</f>
        <v/>
      </c>
      <c r="M373" s="18" t="str">
        <f aca="false">IFERROR(IF(OR($C373="",COUNT($F373:$J373)&lt;3),"",IF(N(INDEX(Lists!$C$2:$C$40,MATCH($C373,Lists!$A$2:$A$40,0)))=0,"",IF(MIN($F373:$J373)&gt;=INDEX(Lists!$C$2:$C$40,MATCH($C373,Lists!$A$2:$A$40,0)),"LEVEL UP",""))),"")</f>
        <v/>
      </c>
      <c r="N373" s="20"/>
      <c r="O373" s="19"/>
    </row>
    <row r="374" customFormat="false" ht="15" hidden="false" customHeight="false" outlineLevel="0" collapsed="false">
      <c r="A374" s="17"/>
      <c r="B374" s="18" t="str">
        <f aca="false">IF($A374="","",TEXT($A374,"ddd"))</f>
        <v/>
      </c>
      <c r="C374" s="19"/>
      <c r="D374" s="19"/>
      <c r="E374" s="18" t="str">
        <f aca="false">IF($C374="","",IFERROR(INDEX(Lists!$B$2:$B$40,MATCH($C374,Lists!$A$2:$A$40,0)),""))</f>
        <v/>
      </c>
      <c r="F374" s="20"/>
      <c r="G374" s="20"/>
      <c r="H374" s="20"/>
      <c r="I374" s="20"/>
      <c r="J374" s="20"/>
      <c r="K374" s="18" t="str">
        <f aca="false">IF(COUNT($F374:$J374)=0,"",SUM($F374:$J374))</f>
        <v/>
      </c>
      <c r="L374" s="18" t="str">
        <f aca="false">IF(COUNT($F374:$J374)=0,"",MAX($F374:$J374))</f>
        <v/>
      </c>
      <c r="M374" s="18" t="str">
        <f aca="false">IFERROR(IF(OR($C374="",COUNT($F374:$J374)&lt;3),"",IF(N(INDEX(Lists!$C$2:$C$40,MATCH($C374,Lists!$A$2:$A$40,0)))=0,"",IF(MIN($F374:$J374)&gt;=INDEX(Lists!$C$2:$C$40,MATCH($C374,Lists!$A$2:$A$40,0)),"LEVEL UP",""))),"")</f>
        <v/>
      </c>
      <c r="N374" s="20"/>
      <c r="O374" s="19"/>
    </row>
    <row r="375" customFormat="false" ht="15" hidden="false" customHeight="false" outlineLevel="0" collapsed="false">
      <c r="A375" s="17"/>
      <c r="B375" s="18" t="str">
        <f aca="false">IF($A375="","",TEXT($A375,"ddd"))</f>
        <v/>
      </c>
      <c r="C375" s="19"/>
      <c r="D375" s="19"/>
      <c r="E375" s="18" t="str">
        <f aca="false">IF($C375="","",IFERROR(INDEX(Lists!$B$2:$B$40,MATCH($C375,Lists!$A$2:$A$40,0)),""))</f>
        <v/>
      </c>
      <c r="F375" s="20"/>
      <c r="G375" s="20"/>
      <c r="H375" s="20"/>
      <c r="I375" s="20"/>
      <c r="J375" s="20"/>
      <c r="K375" s="18" t="str">
        <f aca="false">IF(COUNT($F375:$J375)=0,"",SUM($F375:$J375))</f>
        <v/>
      </c>
      <c r="L375" s="18" t="str">
        <f aca="false">IF(COUNT($F375:$J375)=0,"",MAX($F375:$J375))</f>
        <v/>
      </c>
      <c r="M375" s="18" t="str">
        <f aca="false">IFERROR(IF(OR($C375="",COUNT($F375:$J375)&lt;3),"",IF(N(INDEX(Lists!$C$2:$C$40,MATCH($C375,Lists!$A$2:$A$40,0)))=0,"",IF(MIN($F375:$J375)&gt;=INDEX(Lists!$C$2:$C$40,MATCH($C375,Lists!$A$2:$A$40,0)),"LEVEL UP",""))),"")</f>
        <v/>
      </c>
      <c r="N375" s="20"/>
      <c r="O375" s="19"/>
    </row>
    <row r="376" customFormat="false" ht="15" hidden="false" customHeight="false" outlineLevel="0" collapsed="false">
      <c r="A376" s="17"/>
      <c r="B376" s="18" t="str">
        <f aca="false">IF($A376="","",TEXT($A376,"ddd"))</f>
        <v/>
      </c>
      <c r="C376" s="19"/>
      <c r="D376" s="19"/>
      <c r="E376" s="18" t="str">
        <f aca="false">IF($C376="","",IFERROR(INDEX(Lists!$B$2:$B$40,MATCH($C376,Lists!$A$2:$A$40,0)),""))</f>
        <v/>
      </c>
      <c r="F376" s="20"/>
      <c r="G376" s="20"/>
      <c r="H376" s="20"/>
      <c r="I376" s="20"/>
      <c r="J376" s="20"/>
      <c r="K376" s="18" t="str">
        <f aca="false">IF(COUNT($F376:$J376)=0,"",SUM($F376:$J376))</f>
        <v/>
      </c>
      <c r="L376" s="18" t="str">
        <f aca="false">IF(COUNT($F376:$J376)=0,"",MAX($F376:$J376))</f>
        <v/>
      </c>
      <c r="M376" s="18" t="str">
        <f aca="false">IFERROR(IF(OR($C376="",COUNT($F376:$J376)&lt;3),"",IF(N(INDEX(Lists!$C$2:$C$40,MATCH($C376,Lists!$A$2:$A$40,0)))=0,"",IF(MIN($F376:$J376)&gt;=INDEX(Lists!$C$2:$C$40,MATCH($C376,Lists!$A$2:$A$40,0)),"LEVEL UP",""))),"")</f>
        <v/>
      </c>
      <c r="N376" s="20"/>
      <c r="O376" s="19"/>
    </row>
    <row r="377" customFormat="false" ht="15" hidden="false" customHeight="false" outlineLevel="0" collapsed="false">
      <c r="A377" s="17"/>
      <c r="B377" s="18" t="str">
        <f aca="false">IF($A377="","",TEXT($A377,"ddd"))</f>
        <v/>
      </c>
      <c r="C377" s="19"/>
      <c r="D377" s="19"/>
      <c r="E377" s="18" t="str">
        <f aca="false">IF($C377="","",IFERROR(INDEX(Lists!$B$2:$B$40,MATCH($C377,Lists!$A$2:$A$40,0)),""))</f>
        <v/>
      </c>
      <c r="F377" s="20"/>
      <c r="G377" s="20"/>
      <c r="H377" s="20"/>
      <c r="I377" s="20"/>
      <c r="J377" s="20"/>
      <c r="K377" s="18" t="str">
        <f aca="false">IF(COUNT($F377:$J377)=0,"",SUM($F377:$J377))</f>
        <v/>
      </c>
      <c r="L377" s="18" t="str">
        <f aca="false">IF(COUNT($F377:$J377)=0,"",MAX($F377:$J377))</f>
        <v/>
      </c>
      <c r="M377" s="18" t="str">
        <f aca="false">IFERROR(IF(OR($C377="",COUNT($F377:$J377)&lt;3),"",IF(N(INDEX(Lists!$C$2:$C$40,MATCH($C377,Lists!$A$2:$A$40,0)))=0,"",IF(MIN($F377:$J377)&gt;=INDEX(Lists!$C$2:$C$40,MATCH($C377,Lists!$A$2:$A$40,0)),"LEVEL UP",""))),"")</f>
        <v/>
      </c>
      <c r="N377" s="20"/>
      <c r="O377" s="19"/>
    </row>
    <row r="378" customFormat="false" ht="15" hidden="false" customHeight="false" outlineLevel="0" collapsed="false">
      <c r="A378" s="17"/>
      <c r="B378" s="18" t="str">
        <f aca="false">IF($A378="","",TEXT($A378,"ddd"))</f>
        <v/>
      </c>
      <c r="C378" s="19"/>
      <c r="D378" s="19"/>
      <c r="E378" s="18" t="str">
        <f aca="false">IF($C378="","",IFERROR(INDEX(Lists!$B$2:$B$40,MATCH($C378,Lists!$A$2:$A$40,0)),""))</f>
        <v/>
      </c>
      <c r="F378" s="20"/>
      <c r="G378" s="20"/>
      <c r="H378" s="20"/>
      <c r="I378" s="20"/>
      <c r="J378" s="20"/>
      <c r="K378" s="18" t="str">
        <f aca="false">IF(COUNT($F378:$J378)=0,"",SUM($F378:$J378))</f>
        <v/>
      </c>
      <c r="L378" s="18" t="str">
        <f aca="false">IF(COUNT($F378:$J378)=0,"",MAX($F378:$J378))</f>
        <v/>
      </c>
      <c r="M378" s="18" t="str">
        <f aca="false">IFERROR(IF(OR($C378="",COUNT($F378:$J378)&lt;3),"",IF(N(INDEX(Lists!$C$2:$C$40,MATCH($C378,Lists!$A$2:$A$40,0)))=0,"",IF(MIN($F378:$J378)&gt;=INDEX(Lists!$C$2:$C$40,MATCH($C378,Lists!$A$2:$A$40,0)),"LEVEL UP",""))),"")</f>
        <v/>
      </c>
      <c r="N378" s="20"/>
      <c r="O378" s="19"/>
    </row>
    <row r="379" customFormat="false" ht="15" hidden="false" customHeight="false" outlineLevel="0" collapsed="false">
      <c r="A379" s="17"/>
      <c r="B379" s="18" t="str">
        <f aca="false">IF($A379="","",TEXT($A379,"ddd"))</f>
        <v/>
      </c>
      <c r="C379" s="19"/>
      <c r="D379" s="19"/>
      <c r="E379" s="18" t="str">
        <f aca="false">IF($C379="","",IFERROR(INDEX(Lists!$B$2:$B$40,MATCH($C379,Lists!$A$2:$A$40,0)),""))</f>
        <v/>
      </c>
      <c r="F379" s="20"/>
      <c r="G379" s="20"/>
      <c r="H379" s="20"/>
      <c r="I379" s="20"/>
      <c r="J379" s="20"/>
      <c r="K379" s="18" t="str">
        <f aca="false">IF(COUNT($F379:$J379)=0,"",SUM($F379:$J379))</f>
        <v/>
      </c>
      <c r="L379" s="18" t="str">
        <f aca="false">IF(COUNT($F379:$J379)=0,"",MAX($F379:$J379))</f>
        <v/>
      </c>
      <c r="M379" s="18" t="str">
        <f aca="false">IFERROR(IF(OR($C379="",COUNT($F379:$J379)&lt;3),"",IF(N(INDEX(Lists!$C$2:$C$40,MATCH($C379,Lists!$A$2:$A$40,0)))=0,"",IF(MIN($F379:$J379)&gt;=INDEX(Lists!$C$2:$C$40,MATCH($C379,Lists!$A$2:$A$40,0)),"LEVEL UP",""))),"")</f>
        <v/>
      </c>
      <c r="N379" s="20"/>
      <c r="O379" s="19"/>
    </row>
    <row r="380" customFormat="false" ht="15" hidden="false" customHeight="false" outlineLevel="0" collapsed="false">
      <c r="A380" s="17"/>
      <c r="B380" s="18" t="str">
        <f aca="false">IF($A380="","",TEXT($A380,"ddd"))</f>
        <v/>
      </c>
      <c r="C380" s="19"/>
      <c r="D380" s="19"/>
      <c r="E380" s="18" t="str">
        <f aca="false">IF($C380="","",IFERROR(INDEX(Lists!$B$2:$B$40,MATCH($C380,Lists!$A$2:$A$40,0)),""))</f>
        <v/>
      </c>
      <c r="F380" s="20"/>
      <c r="G380" s="20"/>
      <c r="H380" s="20"/>
      <c r="I380" s="20"/>
      <c r="J380" s="20"/>
      <c r="K380" s="18" t="str">
        <f aca="false">IF(COUNT($F380:$J380)=0,"",SUM($F380:$J380))</f>
        <v/>
      </c>
      <c r="L380" s="18" t="str">
        <f aca="false">IF(COUNT($F380:$J380)=0,"",MAX($F380:$J380))</f>
        <v/>
      </c>
      <c r="M380" s="18" t="str">
        <f aca="false">IFERROR(IF(OR($C380="",COUNT($F380:$J380)&lt;3),"",IF(N(INDEX(Lists!$C$2:$C$40,MATCH($C380,Lists!$A$2:$A$40,0)))=0,"",IF(MIN($F380:$J380)&gt;=INDEX(Lists!$C$2:$C$40,MATCH($C380,Lists!$A$2:$A$40,0)),"LEVEL UP",""))),"")</f>
        <v/>
      </c>
      <c r="N380" s="20"/>
      <c r="O380" s="19"/>
    </row>
    <row r="381" customFormat="false" ht="15" hidden="false" customHeight="false" outlineLevel="0" collapsed="false">
      <c r="A381" s="17"/>
      <c r="B381" s="18" t="str">
        <f aca="false">IF($A381="","",TEXT($A381,"ddd"))</f>
        <v/>
      </c>
      <c r="C381" s="19"/>
      <c r="D381" s="19"/>
      <c r="E381" s="18" t="str">
        <f aca="false">IF($C381="","",IFERROR(INDEX(Lists!$B$2:$B$40,MATCH($C381,Lists!$A$2:$A$40,0)),""))</f>
        <v/>
      </c>
      <c r="F381" s="20"/>
      <c r="G381" s="20"/>
      <c r="H381" s="20"/>
      <c r="I381" s="20"/>
      <c r="J381" s="20"/>
      <c r="K381" s="18" t="str">
        <f aca="false">IF(COUNT($F381:$J381)=0,"",SUM($F381:$J381))</f>
        <v/>
      </c>
      <c r="L381" s="18" t="str">
        <f aca="false">IF(COUNT($F381:$J381)=0,"",MAX($F381:$J381))</f>
        <v/>
      </c>
      <c r="M381" s="18" t="str">
        <f aca="false">IFERROR(IF(OR($C381="",COUNT($F381:$J381)&lt;3),"",IF(N(INDEX(Lists!$C$2:$C$40,MATCH($C381,Lists!$A$2:$A$40,0)))=0,"",IF(MIN($F381:$J381)&gt;=INDEX(Lists!$C$2:$C$40,MATCH($C381,Lists!$A$2:$A$40,0)),"LEVEL UP",""))),"")</f>
        <v/>
      </c>
      <c r="N381" s="20"/>
      <c r="O381" s="19"/>
    </row>
    <row r="382" customFormat="false" ht="15" hidden="false" customHeight="false" outlineLevel="0" collapsed="false">
      <c r="A382" s="17"/>
      <c r="B382" s="18" t="str">
        <f aca="false">IF($A382="","",TEXT($A382,"ddd"))</f>
        <v/>
      </c>
      <c r="C382" s="19"/>
      <c r="D382" s="19"/>
      <c r="E382" s="18" t="str">
        <f aca="false">IF($C382="","",IFERROR(INDEX(Lists!$B$2:$B$40,MATCH($C382,Lists!$A$2:$A$40,0)),""))</f>
        <v/>
      </c>
      <c r="F382" s="20"/>
      <c r="G382" s="20"/>
      <c r="H382" s="20"/>
      <c r="I382" s="20"/>
      <c r="J382" s="20"/>
      <c r="K382" s="18" t="str">
        <f aca="false">IF(COUNT($F382:$J382)=0,"",SUM($F382:$J382))</f>
        <v/>
      </c>
      <c r="L382" s="18" t="str">
        <f aca="false">IF(COUNT($F382:$J382)=0,"",MAX($F382:$J382))</f>
        <v/>
      </c>
      <c r="M382" s="18" t="str">
        <f aca="false">IFERROR(IF(OR($C382="",COUNT($F382:$J382)&lt;3),"",IF(N(INDEX(Lists!$C$2:$C$40,MATCH($C382,Lists!$A$2:$A$40,0)))=0,"",IF(MIN($F382:$J382)&gt;=INDEX(Lists!$C$2:$C$40,MATCH($C382,Lists!$A$2:$A$40,0)),"LEVEL UP",""))),"")</f>
        <v/>
      </c>
      <c r="N382" s="20"/>
      <c r="O382" s="19"/>
    </row>
    <row r="383" customFormat="false" ht="15" hidden="false" customHeight="false" outlineLevel="0" collapsed="false">
      <c r="A383" s="17"/>
      <c r="B383" s="18" t="str">
        <f aca="false">IF($A383="","",TEXT($A383,"ddd"))</f>
        <v/>
      </c>
      <c r="C383" s="19"/>
      <c r="D383" s="19"/>
      <c r="E383" s="18" t="str">
        <f aca="false">IF($C383="","",IFERROR(INDEX(Lists!$B$2:$B$40,MATCH($C383,Lists!$A$2:$A$40,0)),""))</f>
        <v/>
      </c>
      <c r="F383" s="20"/>
      <c r="G383" s="20"/>
      <c r="H383" s="20"/>
      <c r="I383" s="20"/>
      <c r="J383" s="20"/>
      <c r="K383" s="18" t="str">
        <f aca="false">IF(COUNT($F383:$J383)=0,"",SUM($F383:$J383))</f>
        <v/>
      </c>
      <c r="L383" s="18" t="str">
        <f aca="false">IF(COUNT($F383:$J383)=0,"",MAX($F383:$J383))</f>
        <v/>
      </c>
      <c r="M383" s="18" t="str">
        <f aca="false">IFERROR(IF(OR($C383="",COUNT($F383:$J383)&lt;3),"",IF(N(INDEX(Lists!$C$2:$C$40,MATCH($C383,Lists!$A$2:$A$40,0)))=0,"",IF(MIN($F383:$J383)&gt;=INDEX(Lists!$C$2:$C$40,MATCH($C383,Lists!$A$2:$A$40,0)),"LEVEL UP",""))),"")</f>
        <v/>
      </c>
      <c r="N383" s="20"/>
      <c r="O383" s="19"/>
    </row>
    <row r="384" customFormat="false" ht="15" hidden="false" customHeight="false" outlineLevel="0" collapsed="false">
      <c r="A384" s="17"/>
      <c r="B384" s="18" t="str">
        <f aca="false">IF($A384="","",TEXT($A384,"ddd"))</f>
        <v/>
      </c>
      <c r="C384" s="19"/>
      <c r="D384" s="19"/>
      <c r="E384" s="18" t="str">
        <f aca="false">IF($C384="","",IFERROR(INDEX(Lists!$B$2:$B$40,MATCH($C384,Lists!$A$2:$A$40,0)),""))</f>
        <v/>
      </c>
      <c r="F384" s="20"/>
      <c r="G384" s="20"/>
      <c r="H384" s="20"/>
      <c r="I384" s="20"/>
      <c r="J384" s="20"/>
      <c r="K384" s="18" t="str">
        <f aca="false">IF(COUNT($F384:$J384)=0,"",SUM($F384:$J384))</f>
        <v/>
      </c>
      <c r="L384" s="18" t="str">
        <f aca="false">IF(COUNT($F384:$J384)=0,"",MAX($F384:$J384))</f>
        <v/>
      </c>
      <c r="M384" s="18" t="str">
        <f aca="false">IFERROR(IF(OR($C384="",COUNT($F384:$J384)&lt;3),"",IF(N(INDEX(Lists!$C$2:$C$40,MATCH($C384,Lists!$A$2:$A$40,0)))=0,"",IF(MIN($F384:$J384)&gt;=INDEX(Lists!$C$2:$C$40,MATCH($C384,Lists!$A$2:$A$40,0)),"LEVEL UP",""))),"")</f>
        <v/>
      </c>
      <c r="N384" s="20"/>
      <c r="O384" s="19"/>
    </row>
    <row r="385" customFormat="false" ht="15" hidden="false" customHeight="false" outlineLevel="0" collapsed="false">
      <c r="A385" s="17"/>
      <c r="B385" s="18" t="str">
        <f aca="false">IF($A385="","",TEXT($A385,"ddd"))</f>
        <v/>
      </c>
      <c r="C385" s="19"/>
      <c r="D385" s="19"/>
      <c r="E385" s="18" t="str">
        <f aca="false">IF($C385="","",IFERROR(INDEX(Lists!$B$2:$B$40,MATCH($C385,Lists!$A$2:$A$40,0)),""))</f>
        <v/>
      </c>
      <c r="F385" s="20"/>
      <c r="G385" s="20"/>
      <c r="H385" s="20"/>
      <c r="I385" s="20"/>
      <c r="J385" s="20"/>
      <c r="K385" s="18" t="str">
        <f aca="false">IF(COUNT($F385:$J385)=0,"",SUM($F385:$J385))</f>
        <v/>
      </c>
      <c r="L385" s="18" t="str">
        <f aca="false">IF(COUNT($F385:$J385)=0,"",MAX($F385:$J385))</f>
        <v/>
      </c>
      <c r="M385" s="18" t="str">
        <f aca="false">IFERROR(IF(OR($C385="",COUNT($F385:$J385)&lt;3),"",IF(N(INDEX(Lists!$C$2:$C$40,MATCH($C385,Lists!$A$2:$A$40,0)))=0,"",IF(MIN($F385:$J385)&gt;=INDEX(Lists!$C$2:$C$40,MATCH($C385,Lists!$A$2:$A$40,0)),"LEVEL UP",""))),"")</f>
        <v/>
      </c>
      <c r="N385" s="20"/>
      <c r="O385" s="19"/>
    </row>
    <row r="386" customFormat="false" ht="15" hidden="false" customHeight="false" outlineLevel="0" collapsed="false">
      <c r="A386" s="17"/>
      <c r="B386" s="18" t="str">
        <f aca="false">IF($A386="","",TEXT($A386,"ddd"))</f>
        <v/>
      </c>
      <c r="C386" s="19"/>
      <c r="D386" s="19"/>
      <c r="E386" s="18" t="str">
        <f aca="false">IF($C386="","",IFERROR(INDEX(Lists!$B$2:$B$40,MATCH($C386,Lists!$A$2:$A$40,0)),""))</f>
        <v/>
      </c>
      <c r="F386" s="20"/>
      <c r="G386" s="20"/>
      <c r="H386" s="20"/>
      <c r="I386" s="20"/>
      <c r="J386" s="20"/>
      <c r="K386" s="18" t="str">
        <f aca="false">IF(COUNT($F386:$J386)=0,"",SUM($F386:$J386))</f>
        <v/>
      </c>
      <c r="L386" s="18" t="str">
        <f aca="false">IF(COUNT($F386:$J386)=0,"",MAX($F386:$J386))</f>
        <v/>
      </c>
      <c r="M386" s="18" t="str">
        <f aca="false">IFERROR(IF(OR($C386="",COUNT($F386:$J386)&lt;3),"",IF(N(INDEX(Lists!$C$2:$C$40,MATCH($C386,Lists!$A$2:$A$40,0)))=0,"",IF(MIN($F386:$J386)&gt;=INDEX(Lists!$C$2:$C$40,MATCH($C386,Lists!$A$2:$A$40,0)),"LEVEL UP",""))),"")</f>
        <v/>
      </c>
      <c r="N386" s="20"/>
      <c r="O386" s="19"/>
    </row>
    <row r="387" customFormat="false" ht="15" hidden="false" customHeight="false" outlineLevel="0" collapsed="false">
      <c r="A387" s="17"/>
      <c r="B387" s="18" t="str">
        <f aca="false">IF($A387="","",TEXT($A387,"ddd"))</f>
        <v/>
      </c>
      <c r="C387" s="19"/>
      <c r="D387" s="19"/>
      <c r="E387" s="18" t="str">
        <f aca="false">IF($C387="","",IFERROR(INDEX(Lists!$B$2:$B$40,MATCH($C387,Lists!$A$2:$A$40,0)),""))</f>
        <v/>
      </c>
      <c r="F387" s="20"/>
      <c r="G387" s="20"/>
      <c r="H387" s="20"/>
      <c r="I387" s="20"/>
      <c r="J387" s="20"/>
      <c r="K387" s="18" t="str">
        <f aca="false">IF(COUNT($F387:$J387)=0,"",SUM($F387:$J387))</f>
        <v/>
      </c>
      <c r="L387" s="18" t="str">
        <f aca="false">IF(COUNT($F387:$J387)=0,"",MAX($F387:$J387))</f>
        <v/>
      </c>
      <c r="M387" s="18" t="str">
        <f aca="false">IFERROR(IF(OR($C387="",COUNT($F387:$J387)&lt;3),"",IF(N(INDEX(Lists!$C$2:$C$40,MATCH($C387,Lists!$A$2:$A$40,0)))=0,"",IF(MIN($F387:$J387)&gt;=INDEX(Lists!$C$2:$C$40,MATCH($C387,Lists!$A$2:$A$40,0)),"LEVEL UP",""))),"")</f>
        <v/>
      </c>
      <c r="N387" s="20"/>
      <c r="O387" s="19"/>
    </row>
    <row r="388" customFormat="false" ht="15" hidden="false" customHeight="false" outlineLevel="0" collapsed="false">
      <c r="A388" s="17"/>
      <c r="B388" s="18" t="str">
        <f aca="false">IF($A388="","",TEXT($A388,"ddd"))</f>
        <v/>
      </c>
      <c r="C388" s="19"/>
      <c r="D388" s="19"/>
      <c r="E388" s="18" t="str">
        <f aca="false">IF($C388="","",IFERROR(INDEX(Lists!$B$2:$B$40,MATCH($C388,Lists!$A$2:$A$40,0)),""))</f>
        <v/>
      </c>
      <c r="F388" s="20"/>
      <c r="G388" s="20"/>
      <c r="H388" s="20"/>
      <c r="I388" s="20"/>
      <c r="J388" s="20"/>
      <c r="K388" s="18" t="str">
        <f aca="false">IF(COUNT($F388:$J388)=0,"",SUM($F388:$J388))</f>
        <v/>
      </c>
      <c r="L388" s="18" t="str">
        <f aca="false">IF(COUNT($F388:$J388)=0,"",MAX($F388:$J388))</f>
        <v/>
      </c>
      <c r="M388" s="18" t="str">
        <f aca="false">IFERROR(IF(OR($C388="",COUNT($F388:$J388)&lt;3),"",IF(N(INDEX(Lists!$C$2:$C$40,MATCH($C388,Lists!$A$2:$A$40,0)))=0,"",IF(MIN($F388:$J388)&gt;=INDEX(Lists!$C$2:$C$40,MATCH($C388,Lists!$A$2:$A$40,0)),"LEVEL UP",""))),"")</f>
        <v/>
      </c>
      <c r="N388" s="20"/>
      <c r="O388" s="19"/>
    </row>
    <row r="389" customFormat="false" ht="15" hidden="false" customHeight="false" outlineLevel="0" collapsed="false">
      <c r="A389" s="17"/>
      <c r="B389" s="18" t="str">
        <f aca="false">IF($A389="","",TEXT($A389,"ddd"))</f>
        <v/>
      </c>
      <c r="C389" s="19"/>
      <c r="D389" s="19"/>
      <c r="E389" s="18" t="str">
        <f aca="false">IF($C389="","",IFERROR(INDEX(Lists!$B$2:$B$40,MATCH($C389,Lists!$A$2:$A$40,0)),""))</f>
        <v/>
      </c>
      <c r="F389" s="20"/>
      <c r="G389" s="20"/>
      <c r="H389" s="20"/>
      <c r="I389" s="20"/>
      <c r="J389" s="20"/>
      <c r="K389" s="18" t="str">
        <f aca="false">IF(COUNT($F389:$J389)=0,"",SUM($F389:$J389))</f>
        <v/>
      </c>
      <c r="L389" s="18" t="str">
        <f aca="false">IF(COUNT($F389:$J389)=0,"",MAX($F389:$J389))</f>
        <v/>
      </c>
      <c r="M389" s="18" t="str">
        <f aca="false">IFERROR(IF(OR($C389="",COUNT($F389:$J389)&lt;3),"",IF(N(INDEX(Lists!$C$2:$C$40,MATCH($C389,Lists!$A$2:$A$40,0)))=0,"",IF(MIN($F389:$J389)&gt;=INDEX(Lists!$C$2:$C$40,MATCH($C389,Lists!$A$2:$A$40,0)),"LEVEL UP",""))),"")</f>
        <v/>
      </c>
      <c r="N389" s="20"/>
      <c r="O389" s="19"/>
    </row>
    <row r="390" customFormat="false" ht="15" hidden="false" customHeight="false" outlineLevel="0" collapsed="false">
      <c r="A390" s="17"/>
      <c r="B390" s="18" t="str">
        <f aca="false">IF($A390="","",TEXT($A390,"ddd"))</f>
        <v/>
      </c>
      <c r="C390" s="19"/>
      <c r="D390" s="19"/>
      <c r="E390" s="18" t="str">
        <f aca="false">IF($C390="","",IFERROR(INDEX(Lists!$B$2:$B$40,MATCH($C390,Lists!$A$2:$A$40,0)),""))</f>
        <v/>
      </c>
      <c r="F390" s="20"/>
      <c r="G390" s="20"/>
      <c r="H390" s="20"/>
      <c r="I390" s="20"/>
      <c r="J390" s="20"/>
      <c r="K390" s="18" t="str">
        <f aca="false">IF(COUNT($F390:$J390)=0,"",SUM($F390:$J390))</f>
        <v/>
      </c>
      <c r="L390" s="18" t="str">
        <f aca="false">IF(COUNT($F390:$J390)=0,"",MAX($F390:$J390))</f>
        <v/>
      </c>
      <c r="M390" s="18" t="str">
        <f aca="false">IFERROR(IF(OR($C390="",COUNT($F390:$J390)&lt;3),"",IF(N(INDEX(Lists!$C$2:$C$40,MATCH($C390,Lists!$A$2:$A$40,0)))=0,"",IF(MIN($F390:$J390)&gt;=INDEX(Lists!$C$2:$C$40,MATCH($C390,Lists!$A$2:$A$40,0)),"LEVEL UP",""))),"")</f>
        <v/>
      </c>
      <c r="N390" s="20"/>
      <c r="O390" s="19"/>
    </row>
    <row r="391" customFormat="false" ht="15" hidden="false" customHeight="false" outlineLevel="0" collapsed="false">
      <c r="A391" s="17"/>
      <c r="B391" s="18" t="str">
        <f aca="false">IF($A391="","",TEXT($A391,"ddd"))</f>
        <v/>
      </c>
      <c r="C391" s="19"/>
      <c r="D391" s="19"/>
      <c r="E391" s="18" t="str">
        <f aca="false">IF($C391="","",IFERROR(INDEX(Lists!$B$2:$B$40,MATCH($C391,Lists!$A$2:$A$40,0)),""))</f>
        <v/>
      </c>
      <c r="F391" s="20"/>
      <c r="G391" s="20"/>
      <c r="H391" s="20"/>
      <c r="I391" s="20"/>
      <c r="J391" s="20"/>
      <c r="K391" s="18" t="str">
        <f aca="false">IF(COUNT($F391:$J391)=0,"",SUM($F391:$J391))</f>
        <v/>
      </c>
      <c r="L391" s="18" t="str">
        <f aca="false">IF(COUNT($F391:$J391)=0,"",MAX($F391:$J391))</f>
        <v/>
      </c>
      <c r="M391" s="18" t="str">
        <f aca="false">IFERROR(IF(OR($C391="",COUNT($F391:$J391)&lt;3),"",IF(N(INDEX(Lists!$C$2:$C$40,MATCH($C391,Lists!$A$2:$A$40,0)))=0,"",IF(MIN($F391:$J391)&gt;=INDEX(Lists!$C$2:$C$40,MATCH($C391,Lists!$A$2:$A$40,0)),"LEVEL UP",""))),"")</f>
        <v/>
      </c>
      <c r="N391" s="20"/>
      <c r="O391" s="19"/>
    </row>
    <row r="392" customFormat="false" ht="15" hidden="false" customHeight="false" outlineLevel="0" collapsed="false">
      <c r="A392" s="17"/>
      <c r="B392" s="18" t="str">
        <f aca="false">IF($A392="","",TEXT($A392,"ddd"))</f>
        <v/>
      </c>
      <c r="C392" s="19"/>
      <c r="D392" s="19"/>
      <c r="E392" s="18" t="str">
        <f aca="false">IF($C392="","",IFERROR(INDEX(Lists!$B$2:$B$40,MATCH($C392,Lists!$A$2:$A$40,0)),""))</f>
        <v/>
      </c>
      <c r="F392" s="20"/>
      <c r="G392" s="20"/>
      <c r="H392" s="20"/>
      <c r="I392" s="20"/>
      <c r="J392" s="20"/>
      <c r="K392" s="18" t="str">
        <f aca="false">IF(COUNT($F392:$J392)=0,"",SUM($F392:$J392))</f>
        <v/>
      </c>
      <c r="L392" s="18" t="str">
        <f aca="false">IF(COUNT($F392:$J392)=0,"",MAX($F392:$J392))</f>
        <v/>
      </c>
      <c r="M392" s="18" t="str">
        <f aca="false">IFERROR(IF(OR($C392="",COUNT($F392:$J392)&lt;3),"",IF(N(INDEX(Lists!$C$2:$C$40,MATCH($C392,Lists!$A$2:$A$40,0)))=0,"",IF(MIN($F392:$J392)&gt;=INDEX(Lists!$C$2:$C$40,MATCH($C392,Lists!$A$2:$A$40,0)),"LEVEL UP",""))),"")</f>
        <v/>
      </c>
      <c r="N392" s="20"/>
      <c r="O392" s="19"/>
    </row>
    <row r="393" customFormat="false" ht="15" hidden="false" customHeight="false" outlineLevel="0" collapsed="false">
      <c r="A393" s="17"/>
      <c r="B393" s="18" t="str">
        <f aca="false">IF($A393="","",TEXT($A393,"ddd"))</f>
        <v/>
      </c>
      <c r="C393" s="19"/>
      <c r="D393" s="19"/>
      <c r="E393" s="18" t="str">
        <f aca="false">IF($C393="","",IFERROR(INDEX(Lists!$B$2:$B$40,MATCH($C393,Lists!$A$2:$A$40,0)),""))</f>
        <v/>
      </c>
      <c r="F393" s="20"/>
      <c r="G393" s="20"/>
      <c r="H393" s="20"/>
      <c r="I393" s="20"/>
      <c r="J393" s="20"/>
      <c r="K393" s="18" t="str">
        <f aca="false">IF(COUNT($F393:$J393)=0,"",SUM($F393:$J393))</f>
        <v/>
      </c>
      <c r="L393" s="18" t="str">
        <f aca="false">IF(COUNT($F393:$J393)=0,"",MAX($F393:$J393))</f>
        <v/>
      </c>
      <c r="M393" s="18" t="str">
        <f aca="false">IFERROR(IF(OR($C393="",COUNT($F393:$J393)&lt;3),"",IF(N(INDEX(Lists!$C$2:$C$40,MATCH($C393,Lists!$A$2:$A$40,0)))=0,"",IF(MIN($F393:$J393)&gt;=INDEX(Lists!$C$2:$C$40,MATCH($C393,Lists!$A$2:$A$40,0)),"LEVEL UP",""))),"")</f>
        <v/>
      </c>
      <c r="N393" s="20"/>
      <c r="O393" s="19"/>
    </row>
    <row r="394" customFormat="false" ht="15" hidden="false" customHeight="false" outlineLevel="0" collapsed="false">
      <c r="A394" s="17"/>
      <c r="B394" s="18" t="str">
        <f aca="false">IF($A394="","",TEXT($A394,"ddd"))</f>
        <v/>
      </c>
      <c r="C394" s="19"/>
      <c r="D394" s="19"/>
      <c r="E394" s="18" t="str">
        <f aca="false">IF($C394="","",IFERROR(INDEX(Lists!$B$2:$B$40,MATCH($C394,Lists!$A$2:$A$40,0)),""))</f>
        <v/>
      </c>
      <c r="F394" s="20"/>
      <c r="G394" s="20"/>
      <c r="H394" s="20"/>
      <c r="I394" s="20"/>
      <c r="J394" s="20"/>
      <c r="K394" s="18" t="str">
        <f aca="false">IF(COUNT($F394:$J394)=0,"",SUM($F394:$J394))</f>
        <v/>
      </c>
      <c r="L394" s="18" t="str">
        <f aca="false">IF(COUNT($F394:$J394)=0,"",MAX($F394:$J394))</f>
        <v/>
      </c>
      <c r="M394" s="18" t="str">
        <f aca="false">IFERROR(IF(OR($C394="",COUNT($F394:$J394)&lt;3),"",IF(N(INDEX(Lists!$C$2:$C$40,MATCH($C394,Lists!$A$2:$A$40,0)))=0,"",IF(MIN($F394:$J394)&gt;=INDEX(Lists!$C$2:$C$40,MATCH($C394,Lists!$A$2:$A$40,0)),"LEVEL UP",""))),"")</f>
        <v/>
      </c>
      <c r="N394" s="20"/>
      <c r="O394" s="19"/>
    </row>
    <row r="395" customFormat="false" ht="15" hidden="false" customHeight="false" outlineLevel="0" collapsed="false">
      <c r="A395" s="17"/>
      <c r="B395" s="18" t="str">
        <f aca="false">IF($A395="","",TEXT($A395,"ddd"))</f>
        <v/>
      </c>
      <c r="C395" s="19"/>
      <c r="D395" s="19"/>
      <c r="E395" s="18" t="str">
        <f aca="false">IF($C395="","",IFERROR(INDEX(Lists!$B$2:$B$40,MATCH($C395,Lists!$A$2:$A$40,0)),""))</f>
        <v/>
      </c>
      <c r="F395" s="20"/>
      <c r="G395" s="20"/>
      <c r="H395" s="20"/>
      <c r="I395" s="20"/>
      <c r="J395" s="20"/>
      <c r="K395" s="18" t="str">
        <f aca="false">IF(COUNT($F395:$J395)=0,"",SUM($F395:$J395))</f>
        <v/>
      </c>
      <c r="L395" s="18" t="str">
        <f aca="false">IF(COUNT($F395:$J395)=0,"",MAX($F395:$J395))</f>
        <v/>
      </c>
      <c r="M395" s="18" t="str">
        <f aca="false">IFERROR(IF(OR($C395="",COUNT($F395:$J395)&lt;3),"",IF(N(INDEX(Lists!$C$2:$C$40,MATCH($C395,Lists!$A$2:$A$40,0)))=0,"",IF(MIN($F395:$J395)&gt;=INDEX(Lists!$C$2:$C$40,MATCH($C395,Lists!$A$2:$A$40,0)),"LEVEL UP",""))),"")</f>
        <v/>
      </c>
      <c r="N395" s="20"/>
      <c r="O395" s="19"/>
    </row>
    <row r="396" customFormat="false" ht="15" hidden="false" customHeight="false" outlineLevel="0" collapsed="false">
      <c r="A396" s="17"/>
      <c r="B396" s="18" t="str">
        <f aca="false">IF($A396="","",TEXT($A396,"ddd"))</f>
        <v/>
      </c>
      <c r="C396" s="19"/>
      <c r="D396" s="19"/>
      <c r="E396" s="18" t="str">
        <f aca="false">IF($C396="","",IFERROR(INDEX(Lists!$B$2:$B$40,MATCH($C396,Lists!$A$2:$A$40,0)),""))</f>
        <v/>
      </c>
      <c r="F396" s="20"/>
      <c r="G396" s="20"/>
      <c r="H396" s="20"/>
      <c r="I396" s="20"/>
      <c r="J396" s="20"/>
      <c r="K396" s="18" t="str">
        <f aca="false">IF(COUNT($F396:$J396)=0,"",SUM($F396:$J396))</f>
        <v/>
      </c>
      <c r="L396" s="18" t="str">
        <f aca="false">IF(COUNT($F396:$J396)=0,"",MAX($F396:$J396))</f>
        <v/>
      </c>
      <c r="M396" s="18" t="str">
        <f aca="false">IFERROR(IF(OR($C396="",COUNT($F396:$J396)&lt;3),"",IF(N(INDEX(Lists!$C$2:$C$40,MATCH($C396,Lists!$A$2:$A$40,0)))=0,"",IF(MIN($F396:$J396)&gt;=INDEX(Lists!$C$2:$C$40,MATCH($C396,Lists!$A$2:$A$40,0)),"LEVEL UP",""))),"")</f>
        <v/>
      </c>
      <c r="N396" s="20"/>
      <c r="O396" s="19"/>
    </row>
    <row r="397" customFormat="false" ht="15" hidden="false" customHeight="false" outlineLevel="0" collapsed="false">
      <c r="A397" s="17"/>
      <c r="B397" s="18" t="str">
        <f aca="false">IF($A397="","",TEXT($A397,"ddd"))</f>
        <v/>
      </c>
      <c r="C397" s="19"/>
      <c r="D397" s="19"/>
      <c r="E397" s="18" t="str">
        <f aca="false">IF($C397="","",IFERROR(INDEX(Lists!$B$2:$B$40,MATCH($C397,Lists!$A$2:$A$40,0)),""))</f>
        <v/>
      </c>
      <c r="F397" s="20"/>
      <c r="G397" s="20"/>
      <c r="H397" s="20"/>
      <c r="I397" s="20"/>
      <c r="J397" s="20"/>
      <c r="K397" s="18" t="str">
        <f aca="false">IF(COUNT($F397:$J397)=0,"",SUM($F397:$J397))</f>
        <v/>
      </c>
      <c r="L397" s="18" t="str">
        <f aca="false">IF(COUNT($F397:$J397)=0,"",MAX($F397:$J397))</f>
        <v/>
      </c>
      <c r="M397" s="18" t="str">
        <f aca="false">IFERROR(IF(OR($C397="",COUNT($F397:$J397)&lt;3),"",IF(N(INDEX(Lists!$C$2:$C$40,MATCH($C397,Lists!$A$2:$A$40,0)))=0,"",IF(MIN($F397:$J397)&gt;=INDEX(Lists!$C$2:$C$40,MATCH($C397,Lists!$A$2:$A$40,0)),"LEVEL UP",""))),"")</f>
        <v/>
      </c>
      <c r="N397" s="20"/>
      <c r="O397" s="19"/>
    </row>
    <row r="398" customFormat="false" ht="15" hidden="false" customHeight="false" outlineLevel="0" collapsed="false">
      <c r="A398" s="17"/>
      <c r="B398" s="18" t="str">
        <f aca="false">IF($A398="","",TEXT($A398,"ddd"))</f>
        <v/>
      </c>
      <c r="C398" s="19"/>
      <c r="D398" s="19"/>
      <c r="E398" s="18" t="str">
        <f aca="false">IF($C398="","",IFERROR(INDEX(Lists!$B$2:$B$40,MATCH($C398,Lists!$A$2:$A$40,0)),""))</f>
        <v/>
      </c>
      <c r="F398" s="20"/>
      <c r="G398" s="20"/>
      <c r="H398" s="20"/>
      <c r="I398" s="20"/>
      <c r="J398" s="20"/>
      <c r="K398" s="18" t="str">
        <f aca="false">IF(COUNT($F398:$J398)=0,"",SUM($F398:$J398))</f>
        <v/>
      </c>
      <c r="L398" s="18" t="str">
        <f aca="false">IF(COUNT($F398:$J398)=0,"",MAX($F398:$J398))</f>
        <v/>
      </c>
      <c r="M398" s="18" t="str">
        <f aca="false">IFERROR(IF(OR($C398="",COUNT($F398:$J398)&lt;3),"",IF(N(INDEX(Lists!$C$2:$C$40,MATCH($C398,Lists!$A$2:$A$40,0)))=0,"",IF(MIN($F398:$J398)&gt;=INDEX(Lists!$C$2:$C$40,MATCH($C398,Lists!$A$2:$A$40,0)),"LEVEL UP",""))),"")</f>
        <v/>
      </c>
      <c r="N398" s="20"/>
      <c r="O398" s="19"/>
    </row>
    <row r="399" customFormat="false" ht="15" hidden="false" customHeight="false" outlineLevel="0" collapsed="false">
      <c r="A399" s="17"/>
      <c r="B399" s="18" t="str">
        <f aca="false">IF($A399="","",TEXT($A399,"ddd"))</f>
        <v/>
      </c>
      <c r="C399" s="19"/>
      <c r="D399" s="19"/>
      <c r="E399" s="18" t="str">
        <f aca="false">IF($C399="","",IFERROR(INDEX(Lists!$B$2:$B$40,MATCH($C399,Lists!$A$2:$A$40,0)),""))</f>
        <v/>
      </c>
      <c r="F399" s="20"/>
      <c r="G399" s="20"/>
      <c r="H399" s="20"/>
      <c r="I399" s="20"/>
      <c r="J399" s="20"/>
      <c r="K399" s="18" t="str">
        <f aca="false">IF(COUNT($F399:$J399)=0,"",SUM($F399:$J399))</f>
        <v/>
      </c>
      <c r="L399" s="18" t="str">
        <f aca="false">IF(COUNT($F399:$J399)=0,"",MAX($F399:$J399))</f>
        <v/>
      </c>
      <c r="M399" s="18" t="str">
        <f aca="false">IFERROR(IF(OR($C399="",COUNT($F399:$J399)&lt;3),"",IF(N(INDEX(Lists!$C$2:$C$40,MATCH($C399,Lists!$A$2:$A$40,0)))=0,"",IF(MIN($F399:$J399)&gt;=INDEX(Lists!$C$2:$C$40,MATCH($C399,Lists!$A$2:$A$40,0)),"LEVEL UP",""))),"")</f>
        <v/>
      </c>
      <c r="N399" s="20"/>
      <c r="O399" s="19"/>
    </row>
    <row r="400" customFormat="false" ht="15" hidden="false" customHeight="false" outlineLevel="0" collapsed="false">
      <c r="A400" s="17"/>
      <c r="B400" s="18" t="str">
        <f aca="false">IF($A400="","",TEXT($A400,"ddd"))</f>
        <v/>
      </c>
      <c r="C400" s="19"/>
      <c r="D400" s="19"/>
      <c r="E400" s="18" t="str">
        <f aca="false">IF($C400="","",IFERROR(INDEX(Lists!$B$2:$B$40,MATCH($C400,Lists!$A$2:$A$40,0)),""))</f>
        <v/>
      </c>
      <c r="F400" s="20"/>
      <c r="G400" s="20"/>
      <c r="H400" s="20"/>
      <c r="I400" s="20"/>
      <c r="J400" s="20"/>
      <c r="K400" s="18" t="str">
        <f aca="false">IF(COUNT($F400:$J400)=0,"",SUM($F400:$J400))</f>
        <v/>
      </c>
      <c r="L400" s="18" t="str">
        <f aca="false">IF(COUNT($F400:$J400)=0,"",MAX($F400:$J400))</f>
        <v/>
      </c>
      <c r="M400" s="18" t="str">
        <f aca="false">IFERROR(IF(OR($C400="",COUNT($F400:$J400)&lt;3),"",IF(N(INDEX(Lists!$C$2:$C$40,MATCH($C400,Lists!$A$2:$A$40,0)))=0,"",IF(MIN($F400:$J400)&gt;=INDEX(Lists!$C$2:$C$40,MATCH($C400,Lists!$A$2:$A$40,0)),"LEVEL UP",""))),"")</f>
        <v/>
      </c>
      <c r="N400" s="20"/>
      <c r="O400" s="19"/>
    </row>
    <row r="401" customFormat="false" ht="15" hidden="false" customHeight="false" outlineLevel="0" collapsed="false">
      <c r="A401" s="17"/>
      <c r="B401" s="18" t="str">
        <f aca="false">IF($A401="","",TEXT($A401,"ddd"))</f>
        <v/>
      </c>
      <c r="C401" s="19"/>
      <c r="D401" s="19"/>
      <c r="E401" s="18" t="str">
        <f aca="false">IF($C401="","",IFERROR(INDEX(Lists!$B$2:$B$40,MATCH($C401,Lists!$A$2:$A$40,0)),""))</f>
        <v/>
      </c>
      <c r="F401" s="20"/>
      <c r="G401" s="20"/>
      <c r="H401" s="20"/>
      <c r="I401" s="20"/>
      <c r="J401" s="20"/>
      <c r="K401" s="18" t="str">
        <f aca="false">IF(COUNT($F401:$J401)=0,"",SUM($F401:$J401))</f>
        <v/>
      </c>
      <c r="L401" s="18" t="str">
        <f aca="false">IF(COUNT($F401:$J401)=0,"",MAX($F401:$J401))</f>
        <v/>
      </c>
      <c r="M401" s="18" t="str">
        <f aca="false">IFERROR(IF(OR($C401="",COUNT($F401:$J401)&lt;3),"",IF(N(INDEX(Lists!$C$2:$C$40,MATCH($C401,Lists!$A$2:$A$40,0)))=0,"",IF(MIN($F401:$J401)&gt;=INDEX(Lists!$C$2:$C$40,MATCH($C401,Lists!$A$2:$A$40,0)),"LEVEL UP",""))),"")</f>
        <v/>
      </c>
      <c r="N401" s="20"/>
      <c r="O401" s="19"/>
    </row>
    <row r="402" customFormat="false" ht="15" hidden="false" customHeight="false" outlineLevel="0" collapsed="false">
      <c r="A402" s="17"/>
      <c r="B402" s="18" t="str">
        <f aca="false">IF($A402="","",TEXT($A402,"ddd"))</f>
        <v/>
      </c>
      <c r="C402" s="19"/>
      <c r="D402" s="19"/>
      <c r="E402" s="18" t="str">
        <f aca="false">IF($C402="","",IFERROR(INDEX(Lists!$B$2:$B$40,MATCH($C402,Lists!$A$2:$A$40,0)),""))</f>
        <v/>
      </c>
      <c r="F402" s="20"/>
      <c r="G402" s="20"/>
      <c r="H402" s="20"/>
      <c r="I402" s="20"/>
      <c r="J402" s="20"/>
      <c r="K402" s="18" t="str">
        <f aca="false">IF(COUNT($F402:$J402)=0,"",SUM($F402:$J402))</f>
        <v/>
      </c>
      <c r="L402" s="18" t="str">
        <f aca="false">IF(COUNT($F402:$J402)=0,"",MAX($F402:$J402))</f>
        <v/>
      </c>
      <c r="M402" s="18" t="str">
        <f aca="false">IFERROR(IF(OR($C402="",COUNT($F402:$J402)&lt;3),"",IF(N(INDEX(Lists!$C$2:$C$40,MATCH($C402,Lists!$A$2:$A$40,0)))=0,"",IF(MIN($F402:$J402)&gt;=INDEX(Lists!$C$2:$C$40,MATCH($C402,Lists!$A$2:$A$40,0)),"LEVEL UP",""))),"")</f>
        <v/>
      </c>
      <c r="N402" s="20"/>
      <c r="O402" s="19"/>
    </row>
    <row r="403" customFormat="false" ht="15" hidden="false" customHeight="false" outlineLevel="0" collapsed="false">
      <c r="A403" s="17"/>
      <c r="B403" s="18" t="str">
        <f aca="false">IF($A403="","",TEXT($A403,"ddd"))</f>
        <v/>
      </c>
      <c r="C403" s="19"/>
      <c r="D403" s="19"/>
      <c r="E403" s="18" t="str">
        <f aca="false">IF($C403="","",IFERROR(INDEX(Lists!$B$2:$B$40,MATCH($C403,Lists!$A$2:$A$40,0)),""))</f>
        <v/>
      </c>
      <c r="F403" s="20"/>
      <c r="G403" s="20"/>
      <c r="H403" s="20"/>
      <c r="I403" s="20"/>
      <c r="J403" s="20"/>
      <c r="K403" s="18" t="str">
        <f aca="false">IF(COUNT($F403:$J403)=0,"",SUM($F403:$J403))</f>
        <v/>
      </c>
      <c r="L403" s="18" t="str">
        <f aca="false">IF(COUNT($F403:$J403)=0,"",MAX($F403:$J403))</f>
        <v/>
      </c>
      <c r="M403" s="18" t="str">
        <f aca="false">IFERROR(IF(OR($C403="",COUNT($F403:$J403)&lt;3),"",IF(N(INDEX(Lists!$C$2:$C$40,MATCH($C403,Lists!$A$2:$A$40,0)))=0,"",IF(MIN($F403:$J403)&gt;=INDEX(Lists!$C$2:$C$40,MATCH($C403,Lists!$A$2:$A$40,0)),"LEVEL UP",""))),"")</f>
        <v/>
      </c>
      <c r="N403" s="20"/>
      <c r="O403" s="19"/>
    </row>
    <row r="404" customFormat="false" ht="15" hidden="false" customHeight="false" outlineLevel="0" collapsed="false">
      <c r="A404" s="17"/>
      <c r="B404" s="18" t="str">
        <f aca="false">IF($A404="","",TEXT($A404,"ddd"))</f>
        <v/>
      </c>
      <c r="C404" s="19"/>
      <c r="D404" s="19"/>
      <c r="E404" s="18" t="str">
        <f aca="false">IF($C404="","",IFERROR(INDEX(Lists!$B$2:$B$40,MATCH($C404,Lists!$A$2:$A$40,0)),""))</f>
        <v/>
      </c>
      <c r="F404" s="20"/>
      <c r="G404" s="20"/>
      <c r="H404" s="20"/>
      <c r="I404" s="20"/>
      <c r="J404" s="20"/>
      <c r="K404" s="18" t="str">
        <f aca="false">IF(COUNT($F404:$J404)=0,"",SUM($F404:$J404))</f>
        <v/>
      </c>
      <c r="L404" s="18" t="str">
        <f aca="false">IF(COUNT($F404:$J404)=0,"",MAX($F404:$J404))</f>
        <v/>
      </c>
      <c r="M404" s="18" t="str">
        <f aca="false">IFERROR(IF(OR($C404="",COUNT($F404:$J404)&lt;3),"",IF(N(INDEX(Lists!$C$2:$C$40,MATCH($C404,Lists!$A$2:$A$40,0)))=0,"",IF(MIN($F404:$J404)&gt;=INDEX(Lists!$C$2:$C$40,MATCH($C404,Lists!$A$2:$A$40,0)),"LEVEL UP",""))),"")</f>
        <v/>
      </c>
      <c r="N404" s="20"/>
      <c r="O404" s="19"/>
    </row>
    <row r="405" customFormat="false" ht="15" hidden="false" customHeight="false" outlineLevel="0" collapsed="false">
      <c r="A405" s="17"/>
      <c r="B405" s="18" t="str">
        <f aca="false">IF($A405="","",TEXT($A405,"ddd"))</f>
        <v/>
      </c>
      <c r="C405" s="19"/>
      <c r="D405" s="19"/>
      <c r="E405" s="18" t="str">
        <f aca="false">IF($C405="","",IFERROR(INDEX(Lists!$B$2:$B$40,MATCH($C405,Lists!$A$2:$A$40,0)),""))</f>
        <v/>
      </c>
      <c r="F405" s="20"/>
      <c r="G405" s="20"/>
      <c r="H405" s="20"/>
      <c r="I405" s="20"/>
      <c r="J405" s="20"/>
      <c r="K405" s="18" t="str">
        <f aca="false">IF(COUNT($F405:$J405)=0,"",SUM($F405:$J405))</f>
        <v/>
      </c>
      <c r="L405" s="18" t="str">
        <f aca="false">IF(COUNT($F405:$J405)=0,"",MAX($F405:$J405))</f>
        <v/>
      </c>
      <c r="M405" s="18" t="str">
        <f aca="false">IFERROR(IF(OR($C405="",COUNT($F405:$J405)&lt;3),"",IF(N(INDEX(Lists!$C$2:$C$40,MATCH($C405,Lists!$A$2:$A$40,0)))=0,"",IF(MIN($F405:$J405)&gt;=INDEX(Lists!$C$2:$C$40,MATCH($C405,Lists!$A$2:$A$40,0)),"LEVEL UP",""))),"")</f>
        <v/>
      </c>
      <c r="N405" s="20"/>
      <c r="O405" s="19"/>
    </row>
    <row r="406" customFormat="false" ht="15" hidden="false" customHeight="false" outlineLevel="0" collapsed="false">
      <c r="A406" s="17"/>
      <c r="B406" s="18" t="str">
        <f aca="false">IF($A406="","",TEXT($A406,"ddd"))</f>
        <v/>
      </c>
      <c r="C406" s="19"/>
      <c r="D406" s="19"/>
      <c r="E406" s="18" t="str">
        <f aca="false">IF($C406="","",IFERROR(INDEX(Lists!$B$2:$B$40,MATCH($C406,Lists!$A$2:$A$40,0)),""))</f>
        <v/>
      </c>
      <c r="F406" s="20"/>
      <c r="G406" s="20"/>
      <c r="H406" s="20"/>
      <c r="I406" s="20"/>
      <c r="J406" s="20"/>
      <c r="K406" s="18" t="str">
        <f aca="false">IF(COUNT($F406:$J406)=0,"",SUM($F406:$J406))</f>
        <v/>
      </c>
      <c r="L406" s="18" t="str">
        <f aca="false">IF(COUNT($F406:$J406)=0,"",MAX($F406:$J406))</f>
        <v/>
      </c>
      <c r="M406" s="18" t="str">
        <f aca="false">IFERROR(IF(OR($C406="",COUNT($F406:$J406)&lt;3),"",IF(N(INDEX(Lists!$C$2:$C$40,MATCH($C406,Lists!$A$2:$A$40,0)))=0,"",IF(MIN($F406:$J406)&gt;=INDEX(Lists!$C$2:$C$40,MATCH($C406,Lists!$A$2:$A$40,0)),"LEVEL UP",""))),"")</f>
        <v/>
      </c>
      <c r="N406" s="20"/>
      <c r="O406" s="19"/>
    </row>
    <row r="407" customFormat="false" ht="15" hidden="false" customHeight="false" outlineLevel="0" collapsed="false">
      <c r="A407" s="17"/>
      <c r="B407" s="18" t="str">
        <f aca="false">IF($A407="","",TEXT($A407,"ddd"))</f>
        <v/>
      </c>
      <c r="C407" s="19"/>
      <c r="D407" s="19"/>
      <c r="E407" s="18" t="str">
        <f aca="false">IF($C407="","",IFERROR(INDEX(Lists!$B$2:$B$40,MATCH($C407,Lists!$A$2:$A$40,0)),""))</f>
        <v/>
      </c>
      <c r="F407" s="20"/>
      <c r="G407" s="20"/>
      <c r="H407" s="20"/>
      <c r="I407" s="20"/>
      <c r="J407" s="20"/>
      <c r="K407" s="18" t="str">
        <f aca="false">IF(COUNT($F407:$J407)=0,"",SUM($F407:$J407))</f>
        <v/>
      </c>
      <c r="L407" s="18" t="str">
        <f aca="false">IF(COUNT($F407:$J407)=0,"",MAX($F407:$J407))</f>
        <v/>
      </c>
      <c r="M407" s="18" t="str">
        <f aca="false">IFERROR(IF(OR($C407="",COUNT($F407:$J407)&lt;3),"",IF(N(INDEX(Lists!$C$2:$C$40,MATCH($C407,Lists!$A$2:$A$40,0)))=0,"",IF(MIN($F407:$J407)&gt;=INDEX(Lists!$C$2:$C$40,MATCH($C407,Lists!$A$2:$A$40,0)),"LEVEL UP",""))),"")</f>
        <v/>
      </c>
      <c r="N407" s="20"/>
      <c r="O407" s="19"/>
    </row>
    <row r="408" customFormat="false" ht="15" hidden="false" customHeight="false" outlineLevel="0" collapsed="false">
      <c r="A408" s="17"/>
      <c r="B408" s="18" t="str">
        <f aca="false">IF($A408="","",TEXT($A408,"ddd"))</f>
        <v/>
      </c>
      <c r="C408" s="19"/>
      <c r="D408" s="19"/>
      <c r="E408" s="18" t="str">
        <f aca="false">IF($C408="","",IFERROR(INDEX(Lists!$B$2:$B$40,MATCH($C408,Lists!$A$2:$A$40,0)),""))</f>
        <v/>
      </c>
      <c r="F408" s="20"/>
      <c r="G408" s="20"/>
      <c r="H408" s="20"/>
      <c r="I408" s="20"/>
      <c r="J408" s="20"/>
      <c r="K408" s="18" t="str">
        <f aca="false">IF(COUNT($F408:$J408)=0,"",SUM($F408:$J408))</f>
        <v/>
      </c>
      <c r="L408" s="18" t="str">
        <f aca="false">IF(COUNT($F408:$J408)=0,"",MAX($F408:$J408))</f>
        <v/>
      </c>
      <c r="M408" s="18" t="str">
        <f aca="false">IFERROR(IF(OR($C408="",COUNT($F408:$J408)&lt;3),"",IF(N(INDEX(Lists!$C$2:$C$40,MATCH($C408,Lists!$A$2:$A$40,0)))=0,"",IF(MIN($F408:$J408)&gt;=INDEX(Lists!$C$2:$C$40,MATCH($C408,Lists!$A$2:$A$40,0)),"LEVEL UP",""))),"")</f>
        <v/>
      </c>
      <c r="N408" s="20"/>
      <c r="O408" s="19"/>
    </row>
    <row r="409" customFormat="false" ht="15" hidden="false" customHeight="false" outlineLevel="0" collapsed="false">
      <c r="A409" s="17"/>
      <c r="B409" s="18" t="str">
        <f aca="false">IF($A409="","",TEXT($A409,"ddd"))</f>
        <v/>
      </c>
      <c r="C409" s="19"/>
      <c r="D409" s="19"/>
      <c r="E409" s="18" t="str">
        <f aca="false">IF($C409="","",IFERROR(INDEX(Lists!$B$2:$B$40,MATCH($C409,Lists!$A$2:$A$40,0)),""))</f>
        <v/>
      </c>
      <c r="F409" s="20"/>
      <c r="G409" s="20"/>
      <c r="H409" s="20"/>
      <c r="I409" s="20"/>
      <c r="J409" s="20"/>
      <c r="K409" s="18" t="str">
        <f aca="false">IF(COUNT($F409:$J409)=0,"",SUM($F409:$J409))</f>
        <v/>
      </c>
      <c r="L409" s="18" t="str">
        <f aca="false">IF(COUNT($F409:$J409)=0,"",MAX($F409:$J409))</f>
        <v/>
      </c>
      <c r="M409" s="18" t="str">
        <f aca="false">IFERROR(IF(OR($C409="",COUNT($F409:$J409)&lt;3),"",IF(N(INDEX(Lists!$C$2:$C$40,MATCH($C409,Lists!$A$2:$A$40,0)))=0,"",IF(MIN($F409:$J409)&gt;=INDEX(Lists!$C$2:$C$40,MATCH($C409,Lists!$A$2:$A$40,0)),"LEVEL UP",""))),"")</f>
        <v/>
      </c>
      <c r="N409" s="20"/>
      <c r="O409" s="19"/>
    </row>
    <row r="410" customFormat="false" ht="15" hidden="false" customHeight="false" outlineLevel="0" collapsed="false">
      <c r="A410" s="17"/>
      <c r="B410" s="18" t="str">
        <f aca="false">IF($A410="","",TEXT($A410,"ddd"))</f>
        <v/>
      </c>
      <c r="C410" s="19"/>
      <c r="D410" s="19"/>
      <c r="E410" s="18" t="str">
        <f aca="false">IF($C410="","",IFERROR(INDEX(Lists!$B$2:$B$40,MATCH($C410,Lists!$A$2:$A$40,0)),""))</f>
        <v/>
      </c>
      <c r="F410" s="20"/>
      <c r="G410" s="20"/>
      <c r="H410" s="20"/>
      <c r="I410" s="20"/>
      <c r="J410" s="20"/>
      <c r="K410" s="18" t="str">
        <f aca="false">IF(COUNT($F410:$J410)=0,"",SUM($F410:$J410))</f>
        <v/>
      </c>
      <c r="L410" s="18" t="str">
        <f aca="false">IF(COUNT($F410:$J410)=0,"",MAX($F410:$J410))</f>
        <v/>
      </c>
      <c r="M410" s="18" t="str">
        <f aca="false">IFERROR(IF(OR($C410="",COUNT($F410:$J410)&lt;3),"",IF(N(INDEX(Lists!$C$2:$C$40,MATCH($C410,Lists!$A$2:$A$40,0)))=0,"",IF(MIN($F410:$J410)&gt;=INDEX(Lists!$C$2:$C$40,MATCH($C410,Lists!$A$2:$A$40,0)),"LEVEL UP",""))),"")</f>
        <v/>
      </c>
      <c r="N410" s="20"/>
      <c r="O410" s="19"/>
    </row>
    <row r="411" customFormat="false" ht="15" hidden="false" customHeight="false" outlineLevel="0" collapsed="false">
      <c r="A411" s="17"/>
      <c r="B411" s="18" t="str">
        <f aca="false">IF($A411="","",TEXT($A411,"ddd"))</f>
        <v/>
      </c>
      <c r="C411" s="19"/>
      <c r="D411" s="19"/>
      <c r="E411" s="18" t="str">
        <f aca="false">IF($C411="","",IFERROR(INDEX(Lists!$B$2:$B$40,MATCH($C411,Lists!$A$2:$A$40,0)),""))</f>
        <v/>
      </c>
      <c r="F411" s="20"/>
      <c r="G411" s="20"/>
      <c r="H411" s="20"/>
      <c r="I411" s="20"/>
      <c r="J411" s="20"/>
      <c r="K411" s="18" t="str">
        <f aca="false">IF(COUNT($F411:$J411)=0,"",SUM($F411:$J411))</f>
        <v/>
      </c>
      <c r="L411" s="18" t="str">
        <f aca="false">IF(COUNT($F411:$J411)=0,"",MAX($F411:$J411))</f>
        <v/>
      </c>
      <c r="M411" s="18" t="str">
        <f aca="false">IFERROR(IF(OR($C411="",COUNT($F411:$J411)&lt;3),"",IF(N(INDEX(Lists!$C$2:$C$40,MATCH($C411,Lists!$A$2:$A$40,0)))=0,"",IF(MIN($F411:$J411)&gt;=INDEX(Lists!$C$2:$C$40,MATCH($C411,Lists!$A$2:$A$40,0)),"LEVEL UP",""))),"")</f>
        <v/>
      </c>
      <c r="N411" s="20"/>
      <c r="O411" s="19"/>
    </row>
    <row r="412" customFormat="false" ht="15" hidden="false" customHeight="false" outlineLevel="0" collapsed="false">
      <c r="A412" s="17"/>
      <c r="B412" s="18" t="str">
        <f aca="false">IF($A412="","",TEXT($A412,"ddd"))</f>
        <v/>
      </c>
      <c r="C412" s="19"/>
      <c r="D412" s="19"/>
      <c r="E412" s="18" t="str">
        <f aca="false">IF($C412="","",IFERROR(INDEX(Lists!$B$2:$B$40,MATCH($C412,Lists!$A$2:$A$40,0)),""))</f>
        <v/>
      </c>
      <c r="F412" s="20"/>
      <c r="G412" s="20"/>
      <c r="H412" s="20"/>
      <c r="I412" s="20"/>
      <c r="J412" s="20"/>
      <c r="K412" s="18" t="str">
        <f aca="false">IF(COUNT($F412:$J412)=0,"",SUM($F412:$J412))</f>
        <v/>
      </c>
      <c r="L412" s="18" t="str">
        <f aca="false">IF(COUNT($F412:$J412)=0,"",MAX($F412:$J412))</f>
        <v/>
      </c>
      <c r="M412" s="18" t="str">
        <f aca="false">IFERROR(IF(OR($C412="",COUNT($F412:$J412)&lt;3),"",IF(N(INDEX(Lists!$C$2:$C$40,MATCH($C412,Lists!$A$2:$A$40,0)))=0,"",IF(MIN($F412:$J412)&gt;=INDEX(Lists!$C$2:$C$40,MATCH($C412,Lists!$A$2:$A$40,0)),"LEVEL UP",""))),"")</f>
        <v/>
      </c>
      <c r="N412" s="20"/>
      <c r="O412" s="19"/>
    </row>
    <row r="413" customFormat="false" ht="15" hidden="false" customHeight="false" outlineLevel="0" collapsed="false">
      <c r="A413" s="17"/>
      <c r="B413" s="18" t="str">
        <f aca="false">IF($A413="","",TEXT($A413,"ddd"))</f>
        <v/>
      </c>
      <c r="C413" s="19"/>
      <c r="D413" s="19"/>
      <c r="E413" s="18" t="str">
        <f aca="false">IF($C413="","",IFERROR(INDEX(Lists!$B$2:$B$40,MATCH($C413,Lists!$A$2:$A$40,0)),""))</f>
        <v/>
      </c>
      <c r="F413" s="20"/>
      <c r="G413" s="20"/>
      <c r="H413" s="20"/>
      <c r="I413" s="20"/>
      <c r="J413" s="20"/>
      <c r="K413" s="18" t="str">
        <f aca="false">IF(COUNT($F413:$J413)=0,"",SUM($F413:$J413))</f>
        <v/>
      </c>
      <c r="L413" s="18" t="str">
        <f aca="false">IF(COUNT($F413:$J413)=0,"",MAX($F413:$J413))</f>
        <v/>
      </c>
      <c r="M413" s="18" t="str">
        <f aca="false">IFERROR(IF(OR($C413="",COUNT($F413:$J413)&lt;3),"",IF(N(INDEX(Lists!$C$2:$C$40,MATCH($C413,Lists!$A$2:$A$40,0)))=0,"",IF(MIN($F413:$J413)&gt;=INDEX(Lists!$C$2:$C$40,MATCH($C413,Lists!$A$2:$A$40,0)),"LEVEL UP",""))),"")</f>
        <v/>
      </c>
      <c r="N413" s="20"/>
      <c r="O413" s="19"/>
    </row>
    <row r="414" customFormat="false" ht="15" hidden="false" customHeight="false" outlineLevel="0" collapsed="false">
      <c r="A414" s="17"/>
      <c r="B414" s="18" t="str">
        <f aca="false">IF($A414="","",TEXT($A414,"ddd"))</f>
        <v/>
      </c>
      <c r="C414" s="19"/>
      <c r="D414" s="19"/>
      <c r="E414" s="18" t="str">
        <f aca="false">IF($C414="","",IFERROR(INDEX(Lists!$B$2:$B$40,MATCH($C414,Lists!$A$2:$A$40,0)),""))</f>
        <v/>
      </c>
      <c r="F414" s="20"/>
      <c r="G414" s="20"/>
      <c r="H414" s="20"/>
      <c r="I414" s="20"/>
      <c r="J414" s="20"/>
      <c r="K414" s="18" t="str">
        <f aca="false">IF(COUNT($F414:$J414)=0,"",SUM($F414:$J414))</f>
        <v/>
      </c>
      <c r="L414" s="18" t="str">
        <f aca="false">IF(COUNT($F414:$J414)=0,"",MAX($F414:$J414))</f>
        <v/>
      </c>
      <c r="M414" s="18" t="str">
        <f aca="false">IFERROR(IF(OR($C414="",COUNT($F414:$J414)&lt;3),"",IF(N(INDEX(Lists!$C$2:$C$40,MATCH($C414,Lists!$A$2:$A$40,0)))=0,"",IF(MIN($F414:$J414)&gt;=INDEX(Lists!$C$2:$C$40,MATCH($C414,Lists!$A$2:$A$40,0)),"LEVEL UP",""))),"")</f>
        <v/>
      </c>
      <c r="N414" s="20"/>
      <c r="O414" s="19"/>
    </row>
    <row r="415" customFormat="false" ht="15" hidden="false" customHeight="false" outlineLevel="0" collapsed="false">
      <c r="A415" s="17"/>
      <c r="B415" s="18" t="str">
        <f aca="false">IF($A415="","",TEXT($A415,"ddd"))</f>
        <v/>
      </c>
      <c r="C415" s="19"/>
      <c r="D415" s="19"/>
      <c r="E415" s="18" t="str">
        <f aca="false">IF($C415="","",IFERROR(INDEX(Lists!$B$2:$B$40,MATCH($C415,Lists!$A$2:$A$40,0)),""))</f>
        <v/>
      </c>
      <c r="F415" s="20"/>
      <c r="G415" s="20"/>
      <c r="H415" s="20"/>
      <c r="I415" s="20"/>
      <c r="J415" s="20"/>
      <c r="K415" s="18" t="str">
        <f aca="false">IF(COUNT($F415:$J415)=0,"",SUM($F415:$J415))</f>
        <v/>
      </c>
      <c r="L415" s="18" t="str">
        <f aca="false">IF(COUNT($F415:$J415)=0,"",MAX($F415:$J415))</f>
        <v/>
      </c>
      <c r="M415" s="18" t="str">
        <f aca="false">IFERROR(IF(OR($C415="",COUNT($F415:$J415)&lt;3),"",IF(N(INDEX(Lists!$C$2:$C$40,MATCH($C415,Lists!$A$2:$A$40,0)))=0,"",IF(MIN($F415:$J415)&gt;=INDEX(Lists!$C$2:$C$40,MATCH($C415,Lists!$A$2:$A$40,0)),"LEVEL UP",""))),"")</f>
        <v/>
      </c>
      <c r="N415" s="20"/>
      <c r="O415" s="19"/>
    </row>
    <row r="416" customFormat="false" ht="15" hidden="false" customHeight="false" outlineLevel="0" collapsed="false">
      <c r="A416" s="17"/>
      <c r="B416" s="18" t="str">
        <f aca="false">IF($A416="","",TEXT($A416,"ddd"))</f>
        <v/>
      </c>
      <c r="C416" s="19"/>
      <c r="D416" s="19"/>
      <c r="E416" s="18" t="str">
        <f aca="false">IF($C416="","",IFERROR(INDEX(Lists!$B$2:$B$40,MATCH($C416,Lists!$A$2:$A$40,0)),""))</f>
        <v/>
      </c>
      <c r="F416" s="20"/>
      <c r="G416" s="20"/>
      <c r="H416" s="20"/>
      <c r="I416" s="20"/>
      <c r="J416" s="20"/>
      <c r="K416" s="18" t="str">
        <f aca="false">IF(COUNT($F416:$J416)=0,"",SUM($F416:$J416))</f>
        <v/>
      </c>
      <c r="L416" s="18" t="str">
        <f aca="false">IF(COUNT($F416:$J416)=0,"",MAX($F416:$J416))</f>
        <v/>
      </c>
      <c r="M416" s="18" t="str">
        <f aca="false">IFERROR(IF(OR($C416="",COUNT($F416:$J416)&lt;3),"",IF(N(INDEX(Lists!$C$2:$C$40,MATCH($C416,Lists!$A$2:$A$40,0)))=0,"",IF(MIN($F416:$J416)&gt;=INDEX(Lists!$C$2:$C$40,MATCH($C416,Lists!$A$2:$A$40,0)),"LEVEL UP",""))),"")</f>
        <v/>
      </c>
      <c r="N416" s="20"/>
      <c r="O416" s="19"/>
    </row>
    <row r="417" customFormat="false" ht="15" hidden="false" customHeight="false" outlineLevel="0" collapsed="false">
      <c r="A417" s="17"/>
      <c r="B417" s="18" t="str">
        <f aca="false">IF($A417="","",TEXT($A417,"ddd"))</f>
        <v/>
      </c>
      <c r="C417" s="19"/>
      <c r="D417" s="19"/>
      <c r="E417" s="18" t="str">
        <f aca="false">IF($C417="","",IFERROR(INDEX(Lists!$B$2:$B$40,MATCH($C417,Lists!$A$2:$A$40,0)),""))</f>
        <v/>
      </c>
      <c r="F417" s="20"/>
      <c r="G417" s="20"/>
      <c r="H417" s="20"/>
      <c r="I417" s="20"/>
      <c r="J417" s="20"/>
      <c r="K417" s="18" t="str">
        <f aca="false">IF(COUNT($F417:$J417)=0,"",SUM($F417:$J417))</f>
        <v/>
      </c>
      <c r="L417" s="18" t="str">
        <f aca="false">IF(COUNT($F417:$J417)=0,"",MAX($F417:$J417))</f>
        <v/>
      </c>
      <c r="M417" s="18" t="str">
        <f aca="false">IFERROR(IF(OR($C417="",COUNT($F417:$J417)&lt;3),"",IF(N(INDEX(Lists!$C$2:$C$40,MATCH($C417,Lists!$A$2:$A$40,0)))=0,"",IF(MIN($F417:$J417)&gt;=INDEX(Lists!$C$2:$C$40,MATCH($C417,Lists!$A$2:$A$40,0)),"LEVEL UP",""))),"")</f>
        <v/>
      </c>
      <c r="N417" s="20"/>
      <c r="O417" s="19"/>
    </row>
    <row r="418" customFormat="false" ht="15" hidden="false" customHeight="false" outlineLevel="0" collapsed="false">
      <c r="A418" s="17"/>
      <c r="B418" s="18" t="str">
        <f aca="false">IF($A418="","",TEXT($A418,"ddd"))</f>
        <v/>
      </c>
      <c r="C418" s="19"/>
      <c r="D418" s="19"/>
      <c r="E418" s="18" t="str">
        <f aca="false">IF($C418="","",IFERROR(INDEX(Lists!$B$2:$B$40,MATCH($C418,Lists!$A$2:$A$40,0)),""))</f>
        <v/>
      </c>
      <c r="F418" s="20"/>
      <c r="G418" s="20"/>
      <c r="H418" s="20"/>
      <c r="I418" s="20"/>
      <c r="J418" s="20"/>
      <c r="K418" s="18" t="str">
        <f aca="false">IF(COUNT($F418:$J418)=0,"",SUM($F418:$J418))</f>
        <v/>
      </c>
      <c r="L418" s="18" t="str">
        <f aca="false">IF(COUNT($F418:$J418)=0,"",MAX($F418:$J418))</f>
        <v/>
      </c>
      <c r="M418" s="18" t="str">
        <f aca="false">IFERROR(IF(OR($C418="",COUNT($F418:$J418)&lt;3),"",IF(N(INDEX(Lists!$C$2:$C$40,MATCH($C418,Lists!$A$2:$A$40,0)))=0,"",IF(MIN($F418:$J418)&gt;=INDEX(Lists!$C$2:$C$40,MATCH($C418,Lists!$A$2:$A$40,0)),"LEVEL UP",""))),"")</f>
        <v/>
      </c>
      <c r="N418" s="20"/>
      <c r="O418" s="19"/>
    </row>
    <row r="419" customFormat="false" ht="15" hidden="false" customHeight="false" outlineLevel="0" collapsed="false">
      <c r="A419" s="17"/>
      <c r="B419" s="18" t="str">
        <f aca="false">IF($A419="","",TEXT($A419,"ddd"))</f>
        <v/>
      </c>
      <c r="C419" s="19"/>
      <c r="D419" s="19"/>
      <c r="E419" s="18" t="str">
        <f aca="false">IF($C419="","",IFERROR(INDEX(Lists!$B$2:$B$40,MATCH($C419,Lists!$A$2:$A$40,0)),""))</f>
        <v/>
      </c>
      <c r="F419" s="20"/>
      <c r="G419" s="20"/>
      <c r="H419" s="20"/>
      <c r="I419" s="20"/>
      <c r="J419" s="20"/>
      <c r="K419" s="18" t="str">
        <f aca="false">IF(COUNT($F419:$J419)=0,"",SUM($F419:$J419))</f>
        <v/>
      </c>
      <c r="L419" s="18" t="str">
        <f aca="false">IF(COUNT($F419:$J419)=0,"",MAX($F419:$J419))</f>
        <v/>
      </c>
      <c r="M419" s="18" t="str">
        <f aca="false">IFERROR(IF(OR($C419="",COUNT($F419:$J419)&lt;3),"",IF(N(INDEX(Lists!$C$2:$C$40,MATCH($C419,Lists!$A$2:$A$40,0)))=0,"",IF(MIN($F419:$J419)&gt;=INDEX(Lists!$C$2:$C$40,MATCH($C419,Lists!$A$2:$A$40,0)),"LEVEL UP",""))),"")</f>
        <v/>
      </c>
      <c r="N419" s="20"/>
      <c r="O419" s="19"/>
    </row>
    <row r="420" customFormat="false" ht="15" hidden="false" customHeight="false" outlineLevel="0" collapsed="false">
      <c r="A420" s="17"/>
      <c r="B420" s="18" t="str">
        <f aca="false">IF($A420="","",TEXT($A420,"ddd"))</f>
        <v/>
      </c>
      <c r="C420" s="19"/>
      <c r="D420" s="19"/>
      <c r="E420" s="18" t="str">
        <f aca="false">IF($C420="","",IFERROR(INDEX(Lists!$B$2:$B$40,MATCH($C420,Lists!$A$2:$A$40,0)),""))</f>
        <v/>
      </c>
      <c r="F420" s="20"/>
      <c r="G420" s="20"/>
      <c r="H420" s="20"/>
      <c r="I420" s="20"/>
      <c r="J420" s="20"/>
      <c r="K420" s="18" t="str">
        <f aca="false">IF(COUNT($F420:$J420)=0,"",SUM($F420:$J420))</f>
        <v/>
      </c>
      <c r="L420" s="18" t="str">
        <f aca="false">IF(COUNT($F420:$J420)=0,"",MAX($F420:$J420))</f>
        <v/>
      </c>
      <c r="M420" s="18" t="str">
        <f aca="false">IFERROR(IF(OR($C420="",COUNT($F420:$J420)&lt;3),"",IF(N(INDEX(Lists!$C$2:$C$40,MATCH($C420,Lists!$A$2:$A$40,0)))=0,"",IF(MIN($F420:$J420)&gt;=INDEX(Lists!$C$2:$C$40,MATCH($C420,Lists!$A$2:$A$40,0)),"LEVEL UP",""))),"")</f>
        <v/>
      </c>
      <c r="N420" s="20"/>
      <c r="O420" s="19"/>
    </row>
    <row r="421" customFormat="false" ht="15" hidden="false" customHeight="false" outlineLevel="0" collapsed="false">
      <c r="A421" s="17"/>
      <c r="B421" s="18" t="str">
        <f aca="false">IF($A421="","",TEXT($A421,"ddd"))</f>
        <v/>
      </c>
      <c r="C421" s="19"/>
      <c r="D421" s="19"/>
      <c r="E421" s="18" t="str">
        <f aca="false">IF($C421="","",IFERROR(INDEX(Lists!$B$2:$B$40,MATCH($C421,Lists!$A$2:$A$40,0)),""))</f>
        <v/>
      </c>
      <c r="F421" s="20"/>
      <c r="G421" s="20"/>
      <c r="H421" s="20"/>
      <c r="I421" s="20"/>
      <c r="J421" s="20"/>
      <c r="K421" s="18" t="str">
        <f aca="false">IF(COUNT($F421:$J421)=0,"",SUM($F421:$J421))</f>
        <v/>
      </c>
      <c r="L421" s="18" t="str">
        <f aca="false">IF(COUNT($F421:$J421)=0,"",MAX($F421:$J421))</f>
        <v/>
      </c>
      <c r="M421" s="18" t="str">
        <f aca="false">IFERROR(IF(OR($C421="",COUNT($F421:$J421)&lt;3),"",IF(N(INDEX(Lists!$C$2:$C$40,MATCH($C421,Lists!$A$2:$A$40,0)))=0,"",IF(MIN($F421:$J421)&gt;=INDEX(Lists!$C$2:$C$40,MATCH($C421,Lists!$A$2:$A$40,0)),"LEVEL UP",""))),"")</f>
        <v/>
      </c>
      <c r="N421" s="20"/>
      <c r="O421" s="19"/>
    </row>
    <row r="422" customFormat="false" ht="15" hidden="false" customHeight="false" outlineLevel="0" collapsed="false">
      <c r="A422" s="17"/>
      <c r="B422" s="18" t="str">
        <f aca="false">IF($A422="","",TEXT($A422,"ddd"))</f>
        <v/>
      </c>
      <c r="C422" s="19"/>
      <c r="D422" s="19"/>
      <c r="E422" s="18" t="str">
        <f aca="false">IF($C422="","",IFERROR(INDEX(Lists!$B$2:$B$40,MATCH($C422,Lists!$A$2:$A$40,0)),""))</f>
        <v/>
      </c>
      <c r="F422" s="20"/>
      <c r="G422" s="20"/>
      <c r="H422" s="20"/>
      <c r="I422" s="20"/>
      <c r="J422" s="20"/>
      <c r="K422" s="18" t="str">
        <f aca="false">IF(COUNT($F422:$J422)=0,"",SUM($F422:$J422))</f>
        <v/>
      </c>
      <c r="L422" s="18" t="str">
        <f aca="false">IF(COUNT($F422:$J422)=0,"",MAX($F422:$J422))</f>
        <v/>
      </c>
      <c r="M422" s="18" t="str">
        <f aca="false">IFERROR(IF(OR($C422="",COUNT($F422:$J422)&lt;3),"",IF(N(INDEX(Lists!$C$2:$C$40,MATCH($C422,Lists!$A$2:$A$40,0)))=0,"",IF(MIN($F422:$J422)&gt;=INDEX(Lists!$C$2:$C$40,MATCH($C422,Lists!$A$2:$A$40,0)),"LEVEL UP",""))),"")</f>
        <v/>
      </c>
      <c r="N422" s="20"/>
      <c r="O422" s="19"/>
    </row>
    <row r="423" customFormat="false" ht="15" hidden="false" customHeight="false" outlineLevel="0" collapsed="false">
      <c r="A423" s="17"/>
      <c r="B423" s="18" t="str">
        <f aca="false">IF($A423="","",TEXT($A423,"ddd"))</f>
        <v/>
      </c>
      <c r="C423" s="19"/>
      <c r="D423" s="19"/>
      <c r="E423" s="18" t="str">
        <f aca="false">IF($C423="","",IFERROR(INDEX(Lists!$B$2:$B$40,MATCH($C423,Lists!$A$2:$A$40,0)),""))</f>
        <v/>
      </c>
      <c r="F423" s="20"/>
      <c r="G423" s="20"/>
      <c r="H423" s="20"/>
      <c r="I423" s="20"/>
      <c r="J423" s="20"/>
      <c r="K423" s="18" t="str">
        <f aca="false">IF(COUNT($F423:$J423)=0,"",SUM($F423:$J423))</f>
        <v/>
      </c>
      <c r="L423" s="18" t="str">
        <f aca="false">IF(COUNT($F423:$J423)=0,"",MAX($F423:$J423))</f>
        <v/>
      </c>
      <c r="M423" s="18" t="str">
        <f aca="false">IFERROR(IF(OR($C423="",COUNT($F423:$J423)&lt;3),"",IF(N(INDEX(Lists!$C$2:$C$40,MATCH($C423,Lists!$A$2:$A$40,0)))=0,"",IF(MIN($F423:$J423)&gt;=INDEX(Lists!$C$2:$C$40,MATCH($C423,Lists!$A$2:$A$40,0)),"LEVEL UP",""))),"")</f>
        <v/>
      </c>
      <c r="N423" s="20"/>
      <c r="O423" s="19"/>
    </row>
    <row r="424" customFormat="false" ht="15" hidden="false" customHeight="false" outlineLevel="0" collapsed="false">
      <c r="A424" s="17"/>
      <c r="B424" s="18" t="str">
        <f aca="false">IF($A424="","",TEXT($A424,"ddd"))</f>
        <v/>
      </c>
      <c r="C424" s="19"/>
      <c r="D424" s="19"/>
      <c r="E424" s="18" t="str">
        <f aca="false">IF($C424="","",IFERROR(INDEX(Lists!$B$2:$B$40,MATCH($C424,Lists!$A$2:$A$40,0)),""))</f>
        <v/>
      </c>
      <c r="F424" s="20"/>
      <c r="G424" s="20"/>
      <c r="H424" s="20"/>
      <c r="I424" s="20"/>
      <c r="J424" s="20"/>
      <c r="K424" s="18" t="str">
        <f aca="false">IF(COUNT($F424:$J424)=0,"",SUM($F424:$J424))</f>
        <v/>
      </c>
      <c r="L424" s="18" t="str">
        <f aca="false">IF(COUNT($F424:$J424)=0,"",MAX($F424:$J424))</f>
        <v/>
      </c>
      <c r="M424" s="18" t="str">
        <f aca="false">IFERROR(IF(OR($C424="",COUNT($F424:$J424)&lt;3),"",IF(N(INDEX(Lists!$C$2:$C$40,MATCH($C424,Lists!$A$2:$A$40,0)))=0,"",IF(MIN($F424:$J424)&gt;=INDEX(Lists!$C$2:$C$40,MATCH($C424,Lists!$A$2:$A$40,0)),"LEVEL UP",""))),"")</f>
        <v/>
      </c>
      <c r="N424" s="20"/>
      <c r="O424" s="19"/>
    </row>
    <row r="425" customFormat="false" ht="15" hidden="false" customHeight="false" outlineLevel="0" collapsed="false">
      <c r="A425" s="17"/>
      <c r="B425" s="18" t="str">
        <f aca="false">IF($A425="","",TEXT($A425,"ddd"))</f>
        <v/>
      </c>
      <c r="C425" s="19"/>
      <c r="D425" s="19"/>
      <c r="E425" s="18" t="str">
        <f aca="false">IF($C425="","",IFERROR(INDEX(Lists!$B$2:$B$40,MATCH($C425,Lists!$A$2:$A$40,0)),""))</f>
        <v/>
      </c>
      <c r="F425" s="20"/>
      <c r="G425" s="20"/>
      <c r="H425" s="20"/>
      <c r="I425" s="20"/>
      <c r="J425" s="20"/>
      <c r="K425" s="18" t="str">
        <f aca="false">IF(COUNT($F425:$J425)=0,"",SUM($F425:$J425))</f>
        <v/>
      </c>
      <c r="L425" s="18" t="str">
        <f aca="false">IF(COUNT($F425:$J425)=0,"",MAX($F425:$J425))</f>
        <v/>
      </c>
      <c r="M425" s="18" t="str">
        <f aca="false">IFERROR(IF(OR($C425="",COUNT($F425:$J425)&lt;3),"",IF(N(INDEX(Lists!$C$2:$C$40,MATCH($C425,Lists!$A$2:$A$40,0)))=0,"",IF(MIN($F425:$J425)&gt;=INDEX(Lists!$C$2:$C$40,MATCH($C425,Lists!$A$2:$A$40,0)),"LEVEL UP",""))),"")</f>
        <v/>
      </c>
      <c r="N425" s="20"/>
      <c r="O425" s="19"/>
    </row>
    <row r="426" customFormat="false" ht="15" hidden="false" customHeight="false" outlineLevel="0" collapsed="false">
      <c r="A426" s="17"/>
      <c r="B426" s="18" t="str">
        <f aca="false">IF($A426="","",TEXT($A426,"ddd"))</f>
        <v/>
      </c>
      <c r="C426" s="19"/>
      <c r="D426" s="19"/>
      <c r="E426" s="18" t="str">
        <f aca="false">IF($C426="","",IFERROR(INDEX(Lists!$B$2:$B$40,MATCH($C426,Lists!$A$2:$A$40,0)),""))</f>
        <v/>
      </c>
      <c r="F426" s="20"/>
      <c r="G426" s="20"/>
      <c r="H426" s="20"/>
      <c r="I426" s="20"/>
      <c r="J426" s="20"/>
      <c r="K426" s="18" t="str">
        <f aca="false">IF(COUNT($F426:$J426)=0,"",SUM($F426:$J426))</f>
        <v/>
      </c>
      <c r="L426" s="18" t="str">
        <f aca="false">IF(COUNT($F426:$J426)=0,"",MAX($F426:$J426))</f>
        <v/>
      </c>
      <c r="M426" s="18" t="str">
        <f aca="false">IFERROR(IF(OR($C426="",COUNT($F426:$J426)&lt;3),"",IF(N(INDEX(Lists!$C$2:$C$40,MATCH($C426,Lists!$A$2:$A$40,0)))=0,"",IF(MIN($F426:$J426)&gt;=INDEX(Lists!$C$2:$C$40,MATCH($C426,Lists!$A$2:$A$40,0)),"LEVEL UP",""))),"")</f>
        <v/>
      </c>
      <c r="N426" s="20"/>
      <c r="O426" s="19"/>
    </row>
    <row r="427" customFormat="false" ht="15" hidden="false" customHeight="false" outlineLevel="0" collapsed="false">
      <c r="A427" s="17"/>
      <c r="B427" s="18" t="str">
        <f aca="false">IF($A427="","",TEXT($A427,"ddd"))</f>
        <v/>
      </c>
      <c r="C427" s="19"/>
      <c r="D427" s="19"/>
      <c r="E427" s="18" t="str">
        <f aca="false">IF($C427="","",IFERROR(INDEX(Lists!$B$2:$B$40,MATCH($C427,Lists!$A$2:$A$40,0)),""))</f>
        <v/>
      </c>
      <c r="F427" s="20"/>
      <c r="G427" s="20"/>
      <c r="H427" s="20"/>
      <c r="I427" s="20"/>
      <c r="J427" s="20"/>
      <c r="K427" s="18" t="str">
        <f aca="false">IF(COUNT($F427:$J427)=0,"",SUM($F427:$J427))</f>
        <v/>
      </c>
      <c r="L427" s="18" t="str">
        <f aca="false">IF(COUNT($F427:$J427)=0,"",MAX($F427:$J427))</f>
        <v/>
      </c>
      <c r="M427" s="18" t="str">
        <f aca="false">IFERROR(IF(OR($C427="",COUNT($F427:$J427)&lt;3),"",IF(N(INDEX(Lists!$C$2:$C$40,MATCH($C427,Lists!$A$2:$A$40,0)))=0,"",IF(MIN($F427:$J427)&gt;=INDEX(Lists!$C$2:$C$40,MATCH($C427,Lists!$A$2:$A$40,0)),"LEVEL UP",""))),"")</f>
        <v/>
      </c>
      <c r="N427" s="20"/>
      <c r="O427" s="19"/>
    </row>
    <row r="428" customFormat="false" ht="15" hidden="false" customHeight="false" outlineLevel="0" collapsed="false">
      <c r="A428" s="17"/>
      <c r="B428" s="18" t="str">
        <f aca="false">IF($A428="","",TEXT($A428,"ddd"))</f>
        <v/>
      </c>
      <c r="C428" s="19"/>
      <c r="D428" s="19"/>
      <c r="E428" s="18" t="str">
        <f aca="false">IF($C428="","",IFERROR(INDEX(Lists!$B$2:$B$40,MATCH($C428,Lists!$A$2:$A$40,0)),""))</f>
        <v/>
      </c>
      <c r="F428" s="20"/>
      <c r="G428" s="20"/>
      <c r="H428" s="20"/>
      <c r="I428" s="20"/>
      <c r="J428" s="20"/>
      <c r="K428" s="18" t="str">
        <f aca="false">IF(COUNT($F428:$J428)=0,"",SUM($F428:$J428))</f>
        <v/>
      </c>
      <c r="L428" s="18" t="str">
        <f aca="false">IF(COUNT($F428:$J428)=0,"",MAX($F428:$J428))</f>
        <v/>
      </c>
      <c r="M428" s="18" t="str">
        <f aca="false">IFERROR(IF(OR($C428="",COUNT($F428:$J428)&lt;3),"",IF(N(INDEX(Lists!$C$2:$C$40,MATCH($C428,Lists!$A$2:$A$40,0)))=0,"",IF(MIN($F428:$J428)&gt;=INDEX(Lists!$C$2:$C$40,MATCH($C428,Lists!$A$2:$A$40,0)),"LEVEL UP",""))),"")</f>
        <v/>
      </c>
      <c r="N428" s="20"/>
      <c r="O428" s="19"/>
    </row>
    <row r="429" customFormat="false" ht="15" hidden="false" customHeight="false" outlineLevel="0" collapsed="false">
      <c r="A429" s="17"/>
      <c r="B429" s="18" t="str">
        <f aca="false">IF($A429="","",TEXT($A429,"ddd"))</f>
        <v/>
      </c>
      <c r="C429" s="19"/>
      <c r="D429" s="19"/>
      <c r="E429" s="18" t="str">
        <f aca="false">IF($C429="","",IFERROR(INDEX(Lists!$B$2:$B$40,MATCH($C429,Lists!$A$2:$A$40,0)),""))</f>
        <v/>
      </c>
      <c r="F429" s="20"/>
      <c r="G429" s="20"/>
      <c r="H429" s="20"/>
      <c r="I429" s="20"/>
      <c r="J429" s="20"/>
      <c r="K429" s="18" t="str">
        <f aca="false">IF(COUNT($F429:$J429)=0,"",SUM($F429:$J429))</f>
        <v/>
      </c>
      <c r="L429" s="18" t="str">
        <f aca="false">IF(COUNT($F429:$J429)=0,"",MAX($F429:$J429))</f>
        <v/>
      </c>
      <c r="M429" s="18" t="str">
        <f aca="false">IFERROR(IF(OR($C429="",COUNT($F429:$J429)&lt;3),"",IF(N(INDEX(Lists!$C$2:$C$40,MATCH($C429,Lists!$A$2:$A$40,0)))=0,"",IF(MIN($F429:$J429)&gt;=INDEX(Lists!$C$2:$C$40,MATCH($C429,Lists!$A$2:$A$40,0)),"LEVEL UP",""))),"")</f>
        <v/>
      </c>
      <c r="N429" s="20"/>
      <c r="O429" s="19"/>
    </row>
    <row r="430" customFormat="false" ht="15" hidden="false" customHeight="false" outlineLevel="0" collapsed="false">
      <c r="A430" s="17"/>
      <c r="B430" s="18" t="str">
        <f aca="false">IF($A430="","",TEXT($A430,"ddd"))</f>
        <v/>
      </c>
      <c r="C430" s="19"/>
      <c r="D430" s="19"/>
      <c r="E430" s="18" t="str">
        <f aca="false">IF($C430="","",IFERROR(INDEX(Lists!$B$2:$B$40,MATCH($C430,Lists!$A$2:$A$40,0)),""))</f>
        <v/>
      </c>
      <c r="F430" s="20"/>
      <c r="G430" s="20"/>
      <c r="H430" s="20"/>
      <c r="I430" s="20"/>
      <c r="J430" s="20"/>
      <c r="K430" s="18" t="str">
        <f aca="false">IF(COUNT($F430:$J430)=0,"",SUM($F430:$J430))</f>
        <v/>
      </c>
      <c r="L430" s="18" t="str">
        <f aca="false">IF(COUNT($F430:$J430)=0,"",MAX($F430:$J430))</f>
        <v/>
      </c>
      <c r="M430" s="18" t="str">
        <f aca="false">IFERROR(IF(OR($C430="",COUNT($F430:$J430)&lt;3),"",IF(N(INDEX(Lists!$C$2:$C$40,MATCH($C430,Lists!$A$2:$A$40,0)))=0,"",IF(MIN($F430:$J430)&gt;=INDEX(Lists!$C$2:$C$40,MATCH($C430,Lists!$A$2:$A$40,0)),"LEVEL UP",""))),"")</f>
        <v/>
      </c>
      <c r="N430" s="20"/>
      <c r="O430" s="19"/>
    </row>
    <row r="431" customFormat="false" ht="15" hidden="false" customHeight="false" outlineLevel="0" collapsed="false">
      <c r="A431" s="17"/>
      <c r="B431" s="18" t="str">
        <f aca="false">IF($A431="","",TEXT($A431,"ddd"))</f>
        <v/>
      </c>
      <c r="C431" s="19"/>
      <c r="D431" s="19"/>
      <c r="E431" s="18" t="str">
        <f aca="false">IF($C431="","",IFERROR(INDEX(Lists!$B$2:$B$40,MATCH($C431,Lists!$A$2:$A$40,0)),""))</f>
        <v/>
      </c>
      <c r="F431" s="20"/>
      <c r="G431" s="20"/>
      <c r="H431" s="20"/>
      <c r="I431" s="20"/>
      <c r="J431" s="20"/>
      <c r="K431" s="18" t="str">
        <f aca="false">IF(COUNT($F431:$J431)=0,"",SUM($F431:$J431))</f>
        <v/>
      </c>
      <c r="L431" s="18" t="str">
        <f aca="false">IF(COUNT($F431:$J431)=0,"",MAX($F431:$J431))</f>
        <v/>
      </c>
      <c r="M431" s="18" t="str">
        <f aca="false">IFERROR(IF(OR($C431="",COUNT($F431:$J431)&lt;3),"",IF(N(INDEX(Lists!$C$2:$C$40,MATCH($C431,Lists!$A$2:$A$40,0)))=0,"",IF(MIN($F431:$J431)&gt;=INDEX(Lists!$C$2:$C$40,MATCH($C431,Lists!$A$2:$A$40,0)),"LEVEL UP",""))),"")</f>
        <v/>
      </c>
      <c r="N431" s="20"/>
      <c r="O431" s="19"/>
    </row>
    <row r="432" customFormat="false" ht="15" hidden="false" customHeight="false" outlineLevel="0" collapsed="false">
      <c r="A432" s="17"/>
      <c r="B432" s="18" t="str">
        <f aca="false">IF($A432="","",TEXT($A432,"ddd"))</f>
        <v/>
      </c>
      <c r="C432" s="19"/>
      <c r="D432" s="19"/>
      <c r="E432" s="18" t="str">
        <f aca="false">IF($C432="","",IFERROR(INDEX(Lists!$B$2:$B$40,MATCH($C432,Lists!$A$2:$A$40,0)),""))</f>
        <v/>
      </c>
      <c r="F432" s="20"/>
      <c r="G432" s="20"/>
      <c r="H432" s="20"/>
      <c r="I432" s="20"/>
      <c r="J432" s="20"/>
      <c r="K432" s="18" t="str">
        <f aca="false">IF(COUNT($F432:$J432)=0,"",SUM($F432:$J432))</f>
        <v/>
      </c>
      <c r="L432" s="18" t="str">
        <f aca="false">IF(COUNT($F432:$J432)=0,"",MAX($F432:$J432))</f>
        <v/>
      </c>
      <c r="M432" s="18" t="str">
        <f aca="false">IFERROR(IF(OR($C432="",COUNT($F432:$J432)&lt;3),"",IF(N(INDEX(Lists!$C$2:$C$40,MATCH($C432,Lists!$A$2:$A$40,0)))=0,"",IF(MIN($F432:$J432)&gt;=INDEX(Lists!$C$2:$C$40,MATCH($C432,Lists!$A$2:$A$40,0)),"LEVEL UP",""))),"")</f>
        <v/>
      </c>
      <c r="N432" s="20"/>
      <c r="O432" s="19"/>
    </row>
    <row r="433" customFormat="false" ht="15" hidden="false" customHeight="false" outlineLevel="0" collapsed="false">
      <c r="A433" s="17"/>
      <c r="B433" s="18" t="str">
        <f aca="false">IF($A433="","",TEXT($A433,"ddd"))</f>
        <v/>
      </c>
      <c r="C433" s="19"/>
      <c r="D433" s="19"/>
      <c r="E433" s="18" t="str">
        <f aca="false">IF($C433="","",IFERROR(INDEX(Lists!$B$2:$B$40,MATCH($C433,Lists!$A$2:$A$40,0)),""))</f>
        <v/>
      </c>
      <c r="F433" s="20"/>
      <c r="G433" s="20"/>
      <c r="H433" s="20"/>
      <c r="I433" s="20"/>
      <c r="J433" s="20"/>
      <c r="K433" s="18" t="str">
        <f aca="false">IF(COUNT($F433:$J433)=0,"",SUM($F433:$J433))</f>
        <v/>
      </c>
      <c r="L433" s="18" t="str">
        <f aca="false">IF(COUNT($F433:$J433)=0,"",MAX($F433:$J433))</f>
        <v/>
      </c>
      <c r="M433" s="18" t="str">
        <f aca="false">IFERROR(IF(OR($C433="",COUNT($F433:$J433)&lt;3),"",IF(N(INDEX(Lists!$C$2:$C$40,MATCH($C433,Lists!$A$2:$A$40,0)))=0,"",IF(MIN($F433:$J433)&gt;=INDEX(Lists!$C$2:$C$40,MATCH($C433,Lists!$A$2:$A$40,0)),"LEVEL UP",""))),"")</f>
        <v/>
      </c>
      <c r="N433" s="20"/>
      <c r="O433" s="19"/>
    </row>
    <row r="434" customFormat="false" ht="15" hidden="false" customHeight="false" outlineLevel="0" collapsed="false">
      <c r="A434" s="17"/>
      <c r="B434" s="18" t="str">
        <f aca="false">IF($A434="","",TEXT($A434,"ddd"))</f>
        <v/>
      </c>
      <c r="C434" s="19"/>
      <c r="D434" s="19"/>
      <c r="E434" s="18" t="str">
        <f aca="false">IF($C434="","",IFERROR(INDEX(Lists!$B$2:$B$40,MATCH($C434,Lists!$A$2:$A$40,0)),""))</f>
        <v/>
      </c>
      <c r="F434" s="20"/>
      <c r="G434" s="20"/>
      <c r="H434" s="20"/>
      <c r="I434" s="20"/>
      <c r="J434" s="20"/>
      <c r="K434" s="18" t="str">
        <f aca="false">IF(COUNT($F434:$J434)=0,"",SUM($F434:$J434))</f>
        <v/>
      </c>
      <c r="L434" s="18" t="str">
        <f aca="false">IF(COUNT($F434:$J434)=0,"",MAX($F434:$J434))</f>
        <v/>
      </c>
      <c r="M434" s="18" t="str">
        <f aca="false">IFERROR(IF(OR($C434="",COUNT($F434:$J434)&lt;3),"",IF(N(INDEX(Lists!$C$2:$C$40,MATCH($C434,Lists!$A$2:$A$40,0)))=0,"",IF(MIN($F434:$J434)&gt;=INDEX(Lists!$C$2:$C$40,MATCH($C434,Lists!$A$2:$A$40,0)),"LEVEL UP",""))),"")</f>
        <v/>
      </c>
      <c r="N434" s="20"/>
      <c r="O434" s="19"/>
    </row>
    <row r="435" customFormat="false" ht="15" hidden="false" customHeight="false" outlineLevel="0" collapsed="false">
      <c r="A435" s="17"/>
      <c r="B435" s="18" t="str">
        <f aca="false">IF($A435="","",TEXT($A435,"ddd"))</f>
        <v/>
      </c>
      <c r="C435" s="19"/>
      <c r="D435" s="19"/>
      <c r="E435" s="18" t="str">
        <f aca="false">IF($C435="","",IFERROR(INDEX(Lists!$B$2:$B$40,MATCH($C435,Lists!$A$2:$A$40,0)),""))</f>
        <v/>
      </c>
      <c r="F435" s="20"/>
      <c r="G435" s="20"/>
      <c r="H435" s="20"/>
      <c r="I435" s="20"/>
      <c r="J435" s="20"/>
      <c r="K435" s="18" t="str">
        <f aca="false">IF(COUNT($F435:$J435)=0,"",SUM($F435:$J435))</f>
        <v/>
      </c>
      <c r="L435" s="18" t="str">
        <f aca="false">IF(COUNT($F435:$J435)=0,"",MAX($F435:$J435))</f>
        <v/>
      </c>
      <c r="M435" s="18" t="str">
        <f aca="false">IFERROR(IF(OR($C435="",COUNT($F435:$J435)&lt;3),"",IF(N(INDEX(Lists!$C$2:$C$40,MATCH($C435,Lists!$A$2:$A$40,0)))=0,"",IF(MIN($F435:$J435)&gt;=INDEX(Lists!$C$2:$C$40,MATCH($C435,Lists!$A$2:$A$40,0)),"LEVEL UP",""))),"")</f>
        <v/>
      </c>
      <c r="N435" s="20"/>
      <c r="O435" s="19"/>
    </row>
    <row r="436" customFormat="false" ht="15" hidden="false" customHeight="false" outlineLevel="0" collapsed="false">
      <c r="A436" s="17"/>
      <c r="B436" s="18" t="str">
        <f aca="false">IF($A436="","",TEXT($A436,"ddd"))</f>
        <v/>
      </c>
      <c r="C436" s="19"/>
      <c r="D436" s="19"/>
      <c r="E436" s="18" t="str">
        <f aca="false">IF($C436="","",IFERROR(INDEX(Lists!$B$2:$B$40,MATCH($C436,Lists!$A$2:$A$40,0)),""))</f>
        <v/>
      </c>
      <c r="F436" s="20"/>
      <c r="G436" s="20"/>
      <c r="H436" s="20"/>
      <c r="I436" s="20"/>
      <c r="J436" s="20"/>
      <c r="K436" s="18" t="str">
        <f aca="false">IF(COUNT($F436:$J436)=0,"",SUM($F436:$J436))</f>
        <v/>
      </c>
      <c r="L436" s="18" t="str">
        <f aca="false">IF(COUNT($F436:$J436)=0,"",MAX($F436:$J436))</f>
        <v/>
      </c>
      <c r="M436" s="18" t="str">
        <f aca="false">IFERROR(IF(OR($C436="",COUNT($F436:$J436)&lt;3),"",IF(N(INDEX(Lists!$C$2:$C$40,MATCH($C436,Lists!$A$2:$A$40,0)))=0,"",IF(MIN($F436:$J436)&gt;=INDEX(Lists!$C$2:$C$40,MATCH($C436,Lists!$A$2:$A$40,0)),"LEVEL UP",""))),"")</f>
        <v/>
      </c>
      <c r="N436" s="20"/>
      <c r="O436" s="19"/>
    </row>
    <row r="437" customFormat="false" ht="15" hidden="false" customHeight="false" outlineLevel="0" collapsed="false">
      <c r="A437" s="17"/>
      <c r="B437" s="18" t="str">
        <f aca="false">IF($A437="","",TEXT($A437,"ddd"))</f>
        <v/>
      </c>
      <c r="C437" s="19"/>
      <c r="D437" s="19"/>
      <c r="E437" s="18" t="str">
        <f aca="false">IF($C437="","",IFERROR(INDEX(Lists!$B$2:$B$40,MATCH($C437,Lists!$A$2:$A$40,0)),""))</f>
        <v/>
      </c>
      <c r="F437" s="20"/>
      <c r="G437" s="20"/>
      <c r="H437" s="20"/>
      <c r="I437" s="20"/>
      <c r="J437" s="20"/>
      <c r="K437" s="18" t="str">
        <f aca="false">IF(COUNT($F437:$J437)=0,"",SUM($F437:$J437))</f>
        <v/>
      </c>
      <c r="L437" s="18" t="str">
        <f aca="false">IF(COUNT($F437:$J437)=0,"",MAX($F437:$J437))</f>
        <v/>
      </c>
      <c r="M437" s="18" t="str">
        <f aca="false">IFERROR(IF(OR($C437="",COUNT($F437:$J437)&lt;3),"",IF(N(INDEX(Lists!$C$2:$C$40,MATCH($C437,Lists!$A$2:$A$40,0)))=0,"",IF(MIN($F437:$J437)&gt;=INDEX(Lists!$C$2:$C$40,MATCH($C437,Lists!$A$2:$A$40,0)),"LEVEL UP",""))),"")</f>
        <v/>
      </c>
      <c r="N437" s="20"/>
      <c r="O437" s="19"/>
    </row>
    <row r="438" customFormat="false" ht="15" hidden="false" customHeight="false" outlineLevel="0" collapsed="false">
      <c r="A438" s="17"/>
      <c r="B438" s="18" t="str">
        <f aca="false">IF($A438="","",TEXT($A438,"ddd"))</f>
        <v/>
      </c>
      <c r="C438" s="19"/>
      <c r="D438" s="19"/>
      <c r="E438" s="18" t="str">
        <f aca="false">IF($C438="","",IFERROR(INDEX(Lists!$B$2:$B$40,MATCH($C438,Lists!$A$2:$A$40,0)),""))</f>
        <v/>
      </c>
      <c r="F438" s="20"/>
      <c r="G438" s="20"/>
      <c r="H438" s="20"/>
      <c r="I438" s="20"/>
      <c r="J438" s="20"/>
      <c r="K438" s="18" t="str">
        <f aca="false">IF(COUNT($F438:$J438)=0,"",SUM($F438:$J438))</f>
        <v/>
      </c>
      <c r="L438" s="18" t="str">
        <f aca="false">IF(COUNT($F438:$J438)=0,"",MAX($F438:$J438))</f>
        <v/>
      </c>
      <c r="M438" s="18" t="str">
        <f aca="false">IFERROR(IF(OR($C438="",COUNT($F438:$J438)&lt;3),"",IF(N(INDEX(Lists!$C$2:$C$40,MATCH($C438,Lists!$A$2:$A$40,0)))=0,"",IF(MIN($F438:$J438)&gt;=INDEX(Lists!$C$2:$C$40,MATCH($C438,Lists!$A$2:$A$40,0)),"LEVEL UP",""))),"")</f>
        <v/>
      </c>
      <c r="N438" s="20"/>
      <c r="O438" s="19"/>
    </row>
    <row r="439" customFormat="false" ht="15" hidden="false" customHeight="false" outlineLevel="0" collapsed="false">
      <c r="A439" s="17"/>
      <c r="B439" s="18" t="str">
        <f aca="false">IF($A439="","",TEXT($A439,"ddd"))</f>
        <v/>
      </c>
      <c r="C439" s="19"/>
      <c r="D439" s="19"/>
      <c r="E439" s="18" t="str">
        <f aca="false">IF($C439="","",IFERROR(INDEX(Lists!$B$2:$B$40,MATCH($C439,Lists!$A$2:$A$40,0)),""))</f>
        <v/>
      </c>
      <c r="F439" s="20"/>
      <c r="G439" s="20"/>
      <c r="H439" s="20"/>
      <c r="I439" s="20"/>
      <c r="J439" s="20"/>
      <c r="K439" s="18" t="str">
        <f aca="false">IF(COUNT($F439:$J439)=0,"",SUM($F439:$J439))</f>
        <v/>
      </c>
      <c r="L439" s="18" t="str">
        <f aca="false">IF(COUNT($F439:$J439)=0,"",MAX($F439:$J439))</f>
        <v/>
      </c>
      <c r="M439" s="18" t="str">
        <f aca="false">IFERROR(IF(OR($C439="",COUNT($F439:$J439)&lt;3),"",IF(N(INDEX(Lists!$C$2:$C$40,MATCH($C439,Lists!$A$2:$A$40,0)))=0,"",IF(MIN($F439:$J439)&gt;=INDEX(Lists!$C$2:$C$40,MATCH($C439,Lists!$A$2:$A$40,0)),"LEVEL UP",""))),"")</f>
        <v/>
      </c>
      <c r="N439" s="20"/>
      <c r="O439" s="19"/>
    </row>
    <row r="440" customFormat="false" ht="15" hidden="false" customHeight="false" outlineLevel="0" collapsed="false">
      <c r="A440" s="17"/>
      <c r="B440" s="18" t="str">
        <f aca="false">IF($A440="","",TEXT($A440,"ddd"))</f>
        <v/>
      </c>
      <c r="C440" s="19"/>
      <c r="D440" s="19"/>
      <c r="E440" s="18" t="str">
        <f aca="false">IF($C440="","",IFERROR(INDEX(Lists!$B$2:$B$40,MATCH($C440,Lists!$A$2:$A$40,0)),""))</f>
        <v/>
      </c>
      <c r="F440" s="20"/>
      <c r="G440" s="20"/>
      <c r="H440" s="20"/>
      <c r="I440" s="20"/>
      <c r="J440" s="20"/>
      <c r="K440" s="18" t="str">
        <f aca="false">IF(COUNT($F440:$J440)=0,"",SUM($F440:$J440))</f>
        <v/>
      </c>
      <c r="L440" s="18" t="str">
        <f aca="false">IF(COUNT($F440:$J440)=0,"",MAX($F440:$J440))</f>
        <v/>
      </c>
      <c r="M440" s="18" t="str">
        <f aca="false">IFERROR(IF(OR($C440="",COUNT($F440:$J440)&lt;3),"",IF(N(INDEX(Lists!$C$2:$C$40,MATCH($C440,Lists!$A$2:$A$40,0)))=0,"",IF(MIN($F440:$J440)&gt;=INDEX(Lists!$C$2:$C$40,MATCH($C440,Lists!$A$2:$A$40,0)),"LEVEL UP",""))),"")</f>
        <v/>
      </c>
      <c r="N440" s="20"/>
      <c r="O440" s="19"/>
    </row>
    <row r="441" customFormat="false" ht="15" hidden="false" customHeight="false" outlineLevel="0" collapsed="false">
      <c r="A441" s="17"/>
      <c r="B441" s="18" t="str">
        <f aca="false">IF($A441="","",TEXT($A441,"ddd"))</f>
        <v/>
      </c>
      <c r="C441" s="19"/>
      <c r="D441" s="19"/>
      <c r="E441" s="18" t="str">
        <f aca="false">IF($C441="","",IFERROR(INDEX(Lists!$B$2:$B$40,MATCH($C441,Lists!$A$2:$A$40,0)),""))</f>
        <v/>
      </c>
      <c r="F441" s="20"/>
      <c r="G441" s="20"/>
      <c r="H441" s="20"/>
      <c r="I441" s="20"/>
      <c r="J441" s="20"/>
      <c r="K441" s="18" t="str">
        <f aca="false">IF(COUNT($F441:$J441)=0,"",SUM($F441:$J441))</f>
        <v/>
      </c>
      <c r="L441" s="18" t="str">
        <f aca="false">IF(COUNT($F441:$J441)=0,"",MAX($F441:$J441))</f>
        <v/>
      </c>
      <c r="M441" s="18" t="str">
        <f aca="false">IFERROR(IF(OR($C441="",COUNT($F441:$J441)&lt;3),"",IF(N(INDEX(Lists!$C$2:$C$40,MATCH($C441,Lists!$A$2:$A$40,0)))=0,"",IF(MIN($F441:$J441)&gt;=INDEX(Lists!$C$2:$C$40,MATCH($C441,Lists!$A$2:$A$40,0)),"LEVEL UP",""))),"")</f>
        <v/>
      </c>
      <c r="N441" s="20"/>
      <c r="O441" s="19"/>
    </row>
    <row r="442" customFormat="false" ht="15" hidden="false" customHeight="false" outlineLevel="0" collapsed="false">
      <c r="A442" s="17"/>
      <c r="B442" s="18" t="str">
        <f aca="false">IF($A442="","",TEXT($A442,"ddd"))</f>
        <v/>
      </c>
      <c r="C442" s="19"/>
      <c r="D442" s="19"/>
      <c r="E442" s="18" t="str">
        <f aca="false">IF($C442="","",IFERROR(INDEX(Lists!$B$2:$B$40,MATCH($C442,Lists!$A$2:$A$40,0)),""))</f>
        <v/>
      </c>
      <c r="F442" s="20"/>
      <c r="G442" s="20"/>
      <c r="H442" s="20"/>
      <c r="I442" s="20"/>
      <c r="J442" s="20"/>
      <c r="K442" s="18" t="str">
        <f aca="false">IF(COUNT($F442:$J442)=0,"",SUM($F442:$J442))</f>
        <v/>
      </c>
      <c r="L442" s="18" t="str">
        <f aca="false">IF(COUNT($F442:$J442)=0,"",MAX($F442:$J442))</f>
        <v/>
      </c>
      <c r="M442" s="18" t="str">
        <f aca="false">IFERROR(IF(OR($C442="",COUNT($F442:$J442)&lt;3),"",IF(N(INDEX(Lists!$C$2:$C$40,MATCH($C442,Lists!$A$2:$A$40,0)))=0,"",IF(MIN($F442:$J442)&gt;=INDEX(Lists!$C$2:$C$40,MATCH($C442,Lists!$A$2:$A$40,0)),"LEVEL UP",""))),"")</f>
        <v/>
      </c>
      <c r="N442" s="20"/>
      <c r="O442" s="19"/>
    </row>
    <row r="443" customFormat="false" ht="15" hidden="false" customHeight="false" outlineLevel="0" collapsed="false">
      <c r="A443" s="17"/>
      <c r="B443" s="18" t="str">
        <f aca="false">IF($A443="","",TEXT($A443,"ddd"))</f>
        <v/>
      </c>
      <c r="C443" s="19"/>
      <c r="D443" s="19"/>
      <c r="E443" s="18" t="str">
        <f aca="false">IF($C443="","",IFERROR(INDEX(Lists!$B$2:$B$40,MATCH($C443,Lists!$A$2:$A$40,0)),""))</f>
        <v/>
      </c>
      <c r="F443" s="20"/>
      <c r="G443" s="20"/>
      <c r="H443" s="20"/>
      <c r="I443" s="20"/>
      <c r="J443" s="20"/>
      <c r="K443" s="18" t="str">
        <f aca="false">IF(COUNT($F443:$J443)=0,"",SUM($F443:$J443))</f>
        <v/>
      </c>
      <c r="L443" s="18" t="str">
        <f aca="false">IF(COUNT($F443:$J443)=0,"",MAX($F443:$J443))</f>
        <v/>
      </c>
      <c r="M443" s="18" t="str">
        <f aca="false">IFERROR(IF(OR($C443="",COUNT($F443:$J443)&lt;3),"",IF(N(INDEX(Lists!$C$2:$C$40,MATCH($C443,Lists!$A$2:$A$40,0)))=0,"",IF(MIN($F443:$J443)&gt;=INDEX(Lists!$C$2:$C$40,MATCH($C443,Lists!$A$2:$A$40,0)),"LEVEL UP",""))),"")</f>
        <v/>
      </c>
      <c r="N443" s="20"/>
      <c r="O443" s="19"/>
    </row>
    <row r="444" customFormat="false" ht="15" hidden="false" customHeight="false" outlineLevel="0" collapsed="false">
      <c r="A444" s="17"/>
      <c r="B444" s="18" t="str">
        <f aca="false">IF($A444="","",TEXT($A444,"ddd"))</f>
        <v/>
      </c>
      <c r="C444" s="19"/>
      <c r="D444" s="19"/>
      <c r="E444" s="18" t="str">
        <f aca="false">IF($C444="","",IFERROR(INDEX(Lists!$B$2:$B$40,MATCH($C444,Lists!$A$2:$A$40,0)),""))</f>
        <v/>
      </c>
      <c r="F444" s="20"/>
      <c r="G444" s="20"/>
      <c r="H444" s="20"/>
      <c r="I444" s="20"/>
      <c r="J444" s="20"/>
      <c r="K444" s="18" t="str">
        <f aca="false">IF(COUNT($F444:$J444)=0,"",SUM($F444:$J444))</f>
        <v/>
      </c>
      <c r="L444" s="18" t="str">
        <f aca="false">IF(COUNT($F444:$J444)=0,"",MAX($F444:$J444))</f>
        <v/>
      </c>
      <c r="M444" s="18" t="str">
        <f aca="false">IFERROR(IF(OR($C444="",COUNT($F444:$J444)&lt;3),"",IF(N(INDEX(Lists!$C$2:$C$40,MATCH($C444,Lists!$A$2:$A$40,0)))=0,"",IF(MIN($F444:$J444)&gt;=INDEX(Lists!$C$2:$C$40,MATCH($C444,Lists!$A$2:$A$40,0)),"LEVEL UP",""))),"")</f>
        <v/>
      </c>
      <c r="N444" s="20"/>
      <c r="O444" s="19"/>
    </row>
    <row r="445" customFormat="false" ht="15" hidden="false" customHeight="false" outlineLevel="0" collapsed="false">
      <c r="A445" s="17"/>
      <c r="B445" s="18" t="str">
        <f aca="false">IF($A445="","",TEXT($A445,"ddd"))</f>
        <v/>
      </c>
      <c r="C445" s="19"/>
      <c r="D445" s="19"/>
      <c r="E445" s="18" t="str">
        <f aca="false">IF($C445="","",IFERROR(INDEX(Lists!$B$2:$B$40,MATCH($C445,Lists!$A$2:$A$40,0)),""))</f>
        <v/>
      </c>
      <c r="F445" s="20"/>
      <c r="G445" s="20"/>
      <c r="H445" s="20"/>
      <c r="I445" s="20"/>
      <c r="J445" s="20"/>
      <c r="K445" s="18" t="str">
        <f aca="false">IF(COUNT($F445:$J445)=0,"",SUM($F445:$J445))</f>
        <v/>
      </c>
      <c r="L445" s="18" t="str">
        <f aca="false">IF(COUNT($F445:$J445)=0,"",MAX($F445:$J445))</f>
        <v/>
      </c>
      <c r="M445" s="18" t="str">
        <f aca="false">IFERROR(IF(OR($C445="",COUNT($F445:$J445)&lt;3),"",IF(N(INDEX(Lists!$C$2:$C$40,MATCH($C445,Lists!$A$2:$A$40,0)))=0,"",IF(MIN($F445:$J445)&gt;=INDEX(Lists!$C$2:$C$40,MATCH($C445,Lists!$A$2:$A$40,0)),"LEVEL UP",""))),"")</f>
        <v/>
      </c>
      <c r="N445" s="20"/>
      <c r="O445" s="19"/>
    </row>
    <row r="446" customFormat="false" ht="15" hidden="false" customHeight="false" outlineLevel="0" collapsed="false">
      <c r="A446" s="17"/>
      <c r="B446" s="18" t="str">
        <f aca="false">IF($A446="","",TEXT($A446,"ddd"))</f>
        <v/>
      </c>
      <c r="C446" s="19"/>
      <c r="D446" s="19"/>
      <c r="E446" s="18" t="str">
        <f aca="false">IF($C446="","",IFERROR(INDEX(Lists!$B$2:$B$40,MATCH($C446,Lists!$A$2:$A$40,0)),""))</f>
        <v/>
      </c>
      <c r="F446" s="20"/>
      <c r="G446" s="20"/>
      <c r="H446" s="20"/>
      <c r="I446" s="20"/>
      <c r="J446" s="20"/>
      <c r="K446" s="18" t="str">
        <f aca="false">IF(COUNT($F446:$J446)=0,"",SUM($F446:$J446))</f>
        <v/>
      </c>
      <c r="L446" s="18" t="str">
        <f aca="false">IF(COUNT($F446:$J446)=0,"",MAX($F446:$J446))</f>
        <v/>
      </c>
      <c r="M446" s="18" t="str">
        <f aca="false">IFERROR(IF(OR($C446="",COUNT($F446:$J446)&lt;3),"",IF(N(INDEX(Lists!$C$2:$C$40,MATCH($C446,Lists!$A$2:$A$40,0)))=0,"",IF(MIN($F446:$J446)&gt;=INDEX(Lists!$C$2:$C$40,MATCH($C446,Lists!$A$2:$A$40,0)),"LEVEL UP",""))),"")</f>
        <v/>
      </c>
      <c r="N446" s="20"/>
      <c r="O446" s="19"/>
    </row>
    <row r="447" customFormat="false" ht="15" hidden="false" customHeight="false" outlineLevel="0" collapsed="false">
      <c r="A447" s="17"/>
      <c r="B447" s="18" t="str">
        <f aca="false">IF($A447="","",TEXT($A447,"ddd"))</f>
        <v/>
      </c>
      <c r="C447" s="19"/>
      <c r="D447" s="19"/>
      <c r="E447" s="18" t="str">
        <f aca="false">IF($C447="","",IFERROR(INDEX(Lists!$B$2:$B$40,MATCH($C447,Lists!$A$2:$A$40,0)),""))</f>
        <v/>
      </c>
      <c r="F447" s="20"/>
      <c r="G447" s="20"/>
      <c r="H447" s="20"/>
      <c r="I447" s="20"/>
      <c r="J447" s="20"/>
      <c r="K447" s="18" t="str">
        <f aca="false">IF(COUNT($F447:$J447)=0,"",SUM($F447:$J447))</f>
        <v/>
      </c>
      <c r="L447" s="18" t="str">
        <f aca="false">IF(COUNT($F447:$J447)=0,"",MAX($F447:$J447))</f>
        <v/>
      </c>
      <c r="M447" s="18" t="str">
        <f aca="false">IFERROR(IF(OR($C447="",COUNT($F447:$J447)&lt;3),"",IF(N(INDEX(Lists!$C$2:$C$40,MATCH($C447,Lists!$A$2:$A$40,0)))=0,"",IF(MIN($F447:$J447)&gt;=INDEX(Lists!$C$2:$C$40,MATCH($C447,Lists!$A$2:$A$40,0)),"LEVEL UP",""))),"")</f>
        <v/>
      </c>
      <c r="N447" s="20"/>
      <c r="O447" s="19"/>
    </row>
    <row r="448" customFormat="false" ht="15" hidden="false" customHeight="false" outlineLevel="0" collapsed="false">
      <c r="A448" s="17"/>
      <c r="B448" s="18" t="str">
        <f aca="false">IF($A448="","",TEXT($A448,"ddd"))</f>
        <v/>
      </c>
      <c r="C448" s="19"/>
      <c r="D448" s="19"/>
      <c r="E448" s="18" t="str">
        <f aca="false">IF($C448="","",IFERROR(INDEX(Lists!$B$2:$B$40,MATCH($C448,Lists!$A$2:$A$40,0)),""))</f>
        <v/>
      </c>
      <c r="F448" s="20"/>
      <c r="G448" s="20"/>
      <c r="H448" s="20"/>
      <c r="I448" s="20"/>
      <c r="J448" s="20"/>
      <c r="K448" s="18" t="str">
        <f aca="false">IF(COUNT($F448:$J448)=0,"",SUM($F448:$J448))</f>
        <v/>
      </c>
      <c r="L448" s="18" t="str">
        <f aca="false">IF(COUNT($F448:$J448)=0,"",MAX($F448:$J448))</f>
        <v/>
      </c>
      <c r="M448" s="18" t="str">
        <f aca="false">IFERROR(IF(OR($C448="",COUNT($F448:$J448)&lt;3),"",IF(N(INDEX(Lists!$C$2:$C$40,MATCH($C448,Lists!$A$2:$A$40,0)))=0,"",IF(MIN($F448:$J448)&gt;=INDEX(Lists!$C$2:$C$40,MATCH($C448,Lists!$A$2:$A$40,0)),"LEVEL UP",""))),"")</f>
        <v/>
      </c>
      <c r="N448" s="20"/>
      <c r="O448" s="19"/>
    </row>
    <row r="449" customFormat="false" ht="15" hidden="false" customHeight="false" outlineLevel="0" collapsed="false">
      <c r="A449" s="17"/>
      <c r="B449" s="18" t="str">
        <f aca="false">IF($A449="","",TEXT($A449,"ddd"))</f>
        <v/>
      </c>
      <c r="C449" s="19"/>
      <c r="D449" s="19"/>
      <c r="E449" s="18" t="str">
        <f aca="false">IF($C449="","",IFERROR(INDEX(Lists!$B$2:$B$40,MATCH($C449,Lists!$A$2:$A$40,0)),""))</f>
        <v/>
      </c>
      <c r="F449" s="20"/>
      <c r="G449" s="20"/>
      <c r="H449" s="20"/>
      <c r="I449" s="20"/>
      <c r="J449" s="20"/>
      <c r="K449" s="18" t="str">
        <f aca="false">IF(COUNT($F449:$J449)=0,"",SUM($F449:$J449))</f>
        <v/>
      </c>
      <c r="L449" s="18" t="str">
        <f aca="false">IF(COUNT($F449:$J449)=0,"",MAX($F449:$J449))</f>
        <v/>
      </c>
      <c r="M449" s="18" t="str">
        <f aca="false">IFERROR(IF(OR($C449="",COUNT($F449:$J449)&lt;3),"",IF(N(INDEX(Lists!$C$2:$C$40,MATCH($C449,Lists!$A$2:$A$40,0)))=0,"",IF(MIN($F449:$J449)&gt;=INDEX(Lists!$C$2:$C$40,MATCH($C449,Lists!$A$2:$A$40,0)),"LEVEL UP",""))),"")</f>
        <v/>
      </c>
      <c r="N449" s="20"/>
      <c r="O449" s="19"/>
    </row>
    <row r="450" customFormat="false" ht="15" hidden="false" customHeight="false" outlineLevel="0" collapsed="false">
      <c r="A450" s="17"/>
      <c r="B450" s="18" t="str">
        <f aca="false">IF($A450="","",TEXT($A450,"ddd"))</f>
        <v/>
      </c>
      <c r="C450" s="19"/>
      <c r="D450" s="19"/>
      <c r="E450" s="18" t="str">
        <f aca="false">IF($C450="","",IFERROR(INDEX(Lists!$B$2:$B$40,MATCH($C450,Lists!$A$2:$A$40,0)),""))</f>
        <v/>
      </c>
      <c r="F450" s="20"/>
      <c r="G450" s="20"/>
      <c r="H450" s="20"/>
      <c r="I450" s="20"/>
      <c r="J450" s="20"/>
      <c r="K450" s="18" t="str">
        <f aca="false">IF(COUNT($F450:$J450)=0,"",SUM($F450:$J450))</f>
        <v/>
      </c>
      <c r="L450" s="18" t="str">
        <f aca="false">IF(COUNT($F450:$J450)=0,"",MAX($F450:$J450))</f>
        <v/>
      </c>
      <c r="M450" s="18" t="str">
        <f aca="false">IFERROR(IF(OR($C450="",COUNT($F450:$J450)&lt;3),"",IF(N(INDEX(Lists!$C$2:$C$40,MATCH($C450,Lists!$A$2:$A$40,0)))=0,"",IF(MIN($F450:$J450)&gt;=INDEX(Lists!$C$2:$C$40,MATCH($C450,Lists!$A$2:$A$40,0)),"LEVEL UP",""))),"")</f>
        <v/>
      </c>
      <c r="N450" s="20"/>
      <c r="O450" s="19"/>
    </row>
    <row r="451" customFormat="false" ht="15" hidden="false" customHeight="false" outlineLevel="0" collapsed="false">
      <c r="A451" s="17"/>
      <c r="B451" s="18" t="str">
        <f aca="false">IF($A451="","",TEXT($A451,"ddd"))</f>
        <v/>
      </c>
      <c r="C451" s="19"/>
      <c r="D451" s="19"/>
      <c r="E451" s="18" t="str">
        <f aca="false">IF($C451="","",IFERROR(INDEX(Lists!$B$2:$B$40,MATCH($C451,Lists!$A$2:$A$40,0)),""))</f>
        <v/>
      </c>
      <c r="F451" s="20"/>
      <c r="G451" s="20"/>
      <c r="H451" s="20"/>
      <c r="I451" s="20"/>
      <c r="J451" s="20"/>
      <c r="K451" s="18" t="str">
        <f aca="false">IF(COUNT($F451:$J451)=0,"",SUM($F451:$J451))</f>
        <v/>
      </c>
      <c r="L451" s="18" t="str">
        <f aca="false">IF(COUNT($F451:$J451)=0,"",MAX($F451:$J451))</f>
        <v/>
      </c>
      <c r="M451" s="18" t="str">
        <f aca="false">IFERROR(IF(OR($C451="",COUNT($F451:$J451)&lt;3),"",IF(N(INDEX(Lists!$C$2:$C$40,MATCH($C451,Lists!$A$2:$A$40,0)))=0,"",IF(MIN($F451:$J451)&gt;=INDEX(Lists!$C$2:$C$40,MATCH($C451,Lists!$A$2:$A$40,0)),"LEVEL UP",""))),"")</f>
        <v/>
      </c>
      <c r="N451" s="20"/>
      <c r="O451" s="19"/>
    </row>
    <row r="452" customFormat="false" ht="15" hidden="false" customHeight="false" outlineLevel="0" collapsed="false">
      <c r="A452" s="17"/>
      <c r="B452" s="18" t="str">
        <f aca="false">IF($A452="","",TEXT($A452,"ddd"))</f>
        <v/>
      </c>
      <c r="C452" s="19"/>
      <c r="D452" s="19"/>
      <c r="E452" s="18" t="str">
        <f aca="false">IF($C452="","",IFERROR(INDEX(Lists!$B$2:$B$40,MATCH($C452,Lists!$A$2:$A$40,0)),""))</f>
        <v/>
      </c>
      <c r="F452" s="20"/>
      <c r="G452" s="20"/>
      <c r="H452" s="20"/>
      <c r="I452" s="20"/>
      <c r="J452" s="20"/>
      <c r="K452" s="18" t="str">
        <f aca="false">IF(COUNT($F452:$J452)=0,"",SUM($F452:$J452))</f>
        <v/>
      </c>
      <c r="L452" s="18" t="str">
        <f aca="false">IF(COUNT($F452:$J452)=0,"",MAX($F452:$J452))</f>
        <v/>
      </c>
      <c r="M452" s="18" t="str">
        <f aca="false">IFERROR(IF(OR($C452="",COUNT($F452:$J452)&lt;3),"",IF(N(INDEX(Lists!$C$2:$C$40,MATCH($C452,Lists!$A$2:$A$40,0)))=0,"",IF(MIN($F452:$J452)&gt;=INDEX(Lists!$C$2:$C$40,MATCH($C452,Lists!$A$2:$A$40,0)),"LEVEL UP",""))),"")</f>
        <v/>
      </c>
      <c r="N452" s="20"/>
      <c r="O452" s="19"/>
    </row>
    <row r="453" customFormat="false" ht="15" hidden="false" customHeight="false" outlineLevel="0" collapsed="false">
      <c r="A453" s="17"/>
      <c r="B453" s="18" t="str">
        <f aca="false">IF($A453="","",TEXT($A453,"ddd"))</f>
        <v/>
      </c>
      <c r="C453" s="19"/>
      <c r="D453" s="19"/>
      <c r="E453" s="18" t="str">
        <f aca="false">IF($C453="","",IFERROR(INDEX(Lists!$B$2:$B$40,MATCH($C453,Lists!$A$2:$A$40,0)),""))</f>
        <v/>
      </c>
      <c r="F453" s="20"/>
      <c r="G453" s="20"/>
      <c r="H453" s="20"/>
      <c r="I453" s="20"/>
      <c r="J453" s="20"/>
      <c r="K453" s="18" t="str">
        <f aca="false">IF(COUNT($F453:$J453)=0,"",SUM($F453:$J453))</f>
        <v/>
      </c>
      <c r="L453" s="18" t="str">
        <f aca="false">IF(COUNT($F453:$J453)=0,"",MAX($F453:$J453))</f>
        <v/>
      </c>
      <c r="M453" s="18" t="str">
        <f aca="false">IFERROR(IF(OR($C453="",COUNT($F453:$J453)&lt;3),"",IF(N(INDEX(Lists!$C$2:$C$40,MATCH($C453,Lists!$A$2:$A$40,0)))=0,"",IF(MIN($F453:$J453)&gt;=INDEX(Lists!$C$2:$C$40,MATCH($C453,Lists!$A$2:$A$40,0)),"LEVEL UP",""))),"")</f>
        <v/>
      </c>
      <c r="N453" s="20"/>
      <c r="O453" s="19"/>
    </row>
    <row r="454" customFormat="false" ht="15" hidden="false" customHeight="false" outlineLevel="0" collapsed="false">
      <c r="A454" s="17"/>
      <c r="B454" s="18" t="str">
        <f aca="false">IF($A454="","",TEXT($A454,"ddd"))</f>
        <v/>
      </c>
      <c r="C454" s="19"/>
      <c r="D454" s="19"/>
      <c r="E454" s="18" t="str">
        <f aca="false">IF($C454="","",IFERROR(INDEX(Lists!$B$2:$B$40,MATCH($C454,Lists!$A$2:$A$40,0)),""))</f>
        <v/>
      </c>
      <c r="F454" s="20"/>
      <c r="G454" s="20"/>
      <c r="H454" s="20"/>
      <c r="I454" s="20"/>
      <c r="J454" s="20"/>
      <c r="K454" s="18" t="str">
        <f aca="false">IF(COUNT($F454:$J454)=0,"",SUM($F454:$J454))</f>
        <v/>
      </c>
      <c r="L454" s="18" t="str">
        <f aca="false">IF(COUNT($F454:$J454)=0,"",MAX($F454:$J454))</f>
        <v/>
      </c>
      <c r="M454" s="18" t="str">
        <f aca="false">IFERROR(IF(OR($C454="",COUNT($F454:$J454)&lt;3),"",IF(N(INDEX(Lists!$C$2:$C$40,MATCH($C454,Lists!$A$2:$A$40,0)))=0,"",IF(MIN($F454:$J454)&gt;=INDEX(Lists!$C$2:$C$40,MATCH($C454,Lists!$A$2:$A$40,0)),"LEVEL UP",""))),"")</f>
        <v/>
      </c>
      <c r="N454" s="20"/>
      <c r="O454" s="19"/>
    </row>
    <row r="455" customFormat="false" ht="15" hidden="false" customHeight="false" outlineLevel="0" collapsed="false">
      <c r="A455" s="17"/>
      <c r="B455" s="18" t="str">
        <f aca="false">IF($A455="","",TEXT($A455,"ddd"))</f>
        <v/>
      </c>
      <c r="C455" s="19"/>
      <c r="D455" s="19"/>
      <c r="E455" s="18" t="str">
        <f aca="false">IF($C455="","",IFERROR(INDEX(Lists!$B$2:$B$40,MATCH($C455,Lists!$A$2:$A$40,0)),""))</f>
        <v/>
      </c>
      <c r="F455" s="20"/>
      <c r="G455" s="20"/>
      <c r="H455" s="20"/>
      <c r="I455" s="20"/>
      <c r="J455" s="20"/>
      <c r="K455" s="18" t="str">
        <f aca="false">IF(COUNT($F455:$J455)=0,"",SUM($F455:$J455))</f>
        <v/>
      </c>
      <c r="L455" s="18" t="str">
        <f aca="false">IF(COUNT($F455:$J455)=0,"",MAX($F455:$J455))</f>
        <v/>
      </c>
      <c r="M455" s="18" t="str">
        <f aca="false">IFERROR(IF(OR($C455="",COUNT($F455:$J455)&lt;3),"",IF(N(INDEX(Lists!$C$2:$C$40,MATCH($C455,Lists!$A$2:$A$40,0)))=0,"",IF(MIN($F455:$J455)&gt;=INDEX(Lists!$C$2:$C$40,MATCH($C455,Lists!$A$2:$A$40,0)),"LEVEL UP",""))),"")</f>
        <v/>
      </c>
      <c r="N455" s="20"/>
      <c r="O455" s="19"/>
    </row>
    <row r="456" customFormat="false" ht="15" hidden="false" customHeight="false" outlineLevel="0" collapsed="false">
      <c r="A456" s="17"/>
      <c r="B456" s="18" t="str">
        <f aca="false">IF($A456="","",TEXT($A456,"ddd"))</f>
        <v/>
      </c>
      <c r="C456" s="19"/>
      <c r="D456" s="19"/>
      <c r="E456" s="18" t="str">
        <f aca="false">IF($C456="","",IFERROR(INDEX(Lists!$B$2:$B$40,MATCH($C456,Lists!$A$2:$A$40,0)),""))</f>
        <v/>
      </c>
      <c r="F456" s="20"/>
      <c r="G456" s="20"/>
      <c r="H456" s="20"/>
      <c r="I456" s="20"/>
      <c r="J456" s="20"/>
      <c r="K456" s="18" t="str">
        <f aca="false">IF(COUNT($F456:$J456)=0,"",SUM($F456:$J456))</f>
        <v/>
      </c>
      <c r="L456" s="18" t="str">
        <f aca="false">IF(COUNT($F456:$J456)=0,"",MAX($F456:$J456))</f>
        <v/>
      </c>
      <c r="M456" s="18" t="str">
        <f aca="false">IFERROR(IF(OR($C456="",COUNT($F456:$J456)&lt;3),"",IF(N(INDEX(Lists!$C$2:$C$40,MATCH($C456,Lists!$A$2:$A$40,0)))=0,"",IF(MIN($F456:$J456)&gt;=INDEX(Lists!$C$2:$C$40,MATCH($C456,Lists!$A$2:$A$40,0)),"LEVEL UP",""))),"")</f>
        <v/>
      </c>
      <c r="N456" s="20"/>
      <c r="O456" s="19"/>
    </row>
    <row r="457" customFormat="false" ht="15" hidden="false" customHeight="false" outlineLevel="0" collapsed="false">
      <c r="A457" s="17"/>
      <c r="B457" s="18" t="str">
        <f aca="false">IF($A457="","",TEXT($A457,"ddd"))</f>
        <v/>
      </c>
      <c r="C457" s="19"/>
      <c r="D457" s="19"/>
      <c r="E457" s="18" t="str">
        <f aca="false">IF($C457="","",IFERROR(INDEX(Lists!$B$2:$B$40,MATCH($C457,Lists!$A$2:$A$40,0)),""))</f>
        <v/>
      </c>
      <c r="F457" s="20"/>
      <c r="G457" s="20"/>
      <c r="H457" s="20"/>
      <c r="I457" s="20"/>
      <c r="J457" s="20"/>
      <c r="K457" s="18" t="str">
        <f aca="false">IF(COUNT($F457:$J457)=0,"",SUM($F457:$J457))</f>
        <v/>
      </c>
      <c r="L457" s="18" t="str">
        <f aca="false">IF(COUNT($F457:$J457)=0,"",MAX($F457:$J457))</f>
        <v/>
      </c>
      <c r="M457" s="18" t="str">
        <f aca="false">IFERROR(IF(OR($C457="",COUNT($F457:$J457)&lt;3),"",IF(N(INDEX(Lists!$C$2:$C$40,MATCH($C457,Lists!$A$2:$A$40,0)))=0,"",IF(MIN($F457:$J457)&gt;=INDEX(Lists!$C$2:$C$40,MATCH($C457,Lists!$A$2:$A$40,0)),"LEVEL UP",""))),"")</f>
        <v/>
      </c>
      <c r="N457" s="20"/>
      <c r="O457" s="19"/>
    </row>
    <row r="458" customFormat="false" ht="15" hidden="false" customHeight="false" outlineLevel="0" collapsed="false">
      <c r="A458" s="17"/>
      <c r="B458" s="18" t="str">
        <f aca="false">IF($A458="","",TEXT($A458,"ddd"))</f>
        <v/>
      </c>
      <c r="C458" s="19"/>
      <c r="D458" s="19"/>
      <c r="E458" s="18" t="str">
        <f aca="false">IF($C458="","",IFERROR(INDEX(Lists!$B$2:$B$40,MATCH($C458,Lists!$A$2:$A$40,0)),""))</f>
        <v/>
      </c>
      <c r="F458" s="20"/>
      <c r="G458" s="20"/>
      <c r="H458" s="20"/>
      <c r="I458" s="20"/>
      <c r="J458" s="20"/>
      <c r="K458" s="18" t="str">
        <f aca="false">IF(COUNT($F458:$J458)=0,"",SUM($F458:$J458))</f>
        <v/>
      </c>
      <c r="L458" s="18" t="str">
        <f aca="false">IF(COUNT($F458:$J458)=0,"",MAX($F458:$J458))</f>
        <v/>
      </c>
      <c r="M458" s="18" t="str">
        <f aca="false">IFERROR(IF(OR($C458="",COUNT($F458:$J458)&lt;3),"",IF(N(INDEX(Lists!$C$2:$C$40,MATCH($C458,Lists!$A$2:$A$40,0)))=0,"",IF(MIN($F458:$J458)&gt;=INDEX(Lists!$C$2:$C$40,MATCH($C458,Lists!$A$2:$A$40,0)),"LEVEL UP",""))),"")</f>
        <v/>
      </c>
      <c r="N458" s="20"/>
      <c r="O458" s="19"/>
    </row>
    <row r="459" customFormat="false" ht="15" hidden="false" customHeight="false" outlineLevel="0" collapsed="false">
      <c r="A459" s="17"/>
      <c r="B459" s="18" t="str">
        <f aca="false">IF($A459="","",TEXT($A459,"ddd"))</f>
        <v/>
      </c>
      <c r="C459" s="19"/>
      <c r="D459" s="19"/>
      <c r="E459" s="18" t="str">
        <f aca="false">IF($C459="","",IFERROR(INDEX(Lists!$B$2:$B$40,MATCH($C459,Lists!$A$2:$A$40,0)),""))</f>
        <v/>
      </c>
      <c r="F459" s="20"/>
      <c r="G459" s="20"/>
      <c r="H459" s="20"/>
      <c r="I459" s="20"/>
      <c r="J459" s="20"/>
      <c r="K459" s="18" t="str">
        <f aca="false">IF(COUNT($F459:$J459)=0,"",SUM($F459:$J459))</f>
        <v/>
      </c>
      <c r="L459" s="18" t="str">
        <f aca="false">IF(COUNT($F459:$J459)=0,"",MAX($F459:$J459))</f>
        <v/>
      </c>
      <c r="M459" s="18" t="str">
        <f aca="false">IFERROR(IF(OR($C459="",COUNT($F459:$J459)&lt;3),"",IF(N(INDEX(Lists!$C$2:$C$40,MATCH($C459,Lists!$A$2:$A$40,0)))=0,"",IF(MIN($F459:$J459)&gt;=INDEX(Lists!$C$2:$C$40,MATCH($C459,Lists!$A$2:$A$40,0)),"LEVEL UP",""))),"")</f>
        <v/>
      </c>
      <c r="N459" s="20"/>
      <c r="O459" s="19"/>
    </row>
    <row r="460" customFormat="false" ht="15" hidden="false" customHeight="false" outlineLevel="0" collapsed="false">
      <c r="A460" s="17"/>
      <c r="B460" s="18" t="str">
        <f aca="false">IF($A460="","",TEXT($A460,"ddd"))</f>
        <v/>
      </c>
      <c r="C460" s="19"/>
      <c r="D460" s="19"/>
      <c r="E460" s="18" t="str">
        <f aca="false">IF($C460="","",IFERROR(INDEX(Lists!$B$2:$B$40,MATCH($C460,Lists!$A$2:$A$40,0)),""))</f>
        <v/>
      </c>
      <c r="F460" s="20"/>
      <c r="G460" s="20"/>
      <c r="H460" s="20"/>
      <c r="I460" s="20"/>
      <c r="J460" s="20"/>
      <c r="K460" s="18" t="str">
        <f aca="false">IF(COUNT($F460:$J460)=0,"",SUM($F460:$J460))</f>
        <v/>
      </c>
      <c r="L460" s="18" t="str">
        <f aca="false">IF(COUNT($F460:$J460)=0,"",MAX($F460:$J460))</f>
        <v/>
      </c>
      <c r="M460" s="18" t="str">
        <f aca="false">IFERROR(IF(OR($C460="",COUNT($F460:$J460)&lt;3),"",IF(N(INDEX(Lists!$C$2:$C$40,MATCH($C460,Lists!$A$2:$A$40,0)))=0,"",IF(MIN($F460:$J460)&gt;=INDEX(Lists!$C$2:$C$40,MATCH($C460,Lists!$A$2:$A$40,0)),"LEVEL UP",""))),"")</f>
        <v/>
      </c>
      <c r="N460" s="20"/>
      <c r="O460" s="19"/>
    </row>
    <row r="461" customFormat="false" ht="15" hidden="false" customHeight="false" outlineLevel="0" collapsed="false">
      <c r="A461" s="17"/>
      <c r="B461" s="18" t="str">
        <f aca="false">IF($A461="","",TEXT($A461,"ddd"))</f>
        <v/>
      </c>
      <c r="C461" s="19"/>
      <c r="D461" s="19"/>
      <c r="E461" s="18" t="str">
        <f aca="false">IF($C461="","",IFERROR(INDEX(Lists!$B$2:$B$40,MATCH($C461,Lists!$A$2:$A$40,0)),""))</f>
        <v/>
      </c>
      <c r="F461" s="20"/>
      <c r="G461" s="20"/>
      <c r="H461" s="20"/>
      <c r="I461" s="20"/>
      <c r="J461" s="20"/>
      <c r="K461" s="18" t="str">
        <f aca="false">IF(COUNT($F461:$J461)=0,"",SUM($F461:$J461))</f>
        <v/>
      </c>
      <c r="L461" s="18" t="str">
        <f aca="false">IF(COUNT($F461:$J461)=0,"",MAX($F461:$J461))</f>
        <v/>
      </c>
      <c r="M461" s="18" t="str">
        <f aca="false">IFERROR(IF(OR($C461="",COUNT($F461:$J461)&lt;3),"",IF(N(INDEX(Lists!$C$2:$C$40,MATCH($C461,Lists!$A$2:$A$40,0)))=0,"",IF(MIN($F461:$J461)&gt;=INDEX(Lists!$C$2:$C$40,MATCH($C461,Lists!$A$2:$A$40,0)),"LEVEL UP",""))),"")</f>
        <v/>
      </c>
      <c r="N461" s="20"/>
      <c r="O461" s="19"/>
    </row>
    <row r="462" customFormat="false" ht="15" hidden="false" customHeight="false" outlineLevel="0" collapsed="false">
      <c r="A462" s="17"/>
      <c r="B462" s="18" t="str">
        <f aca="false">IF($A462="","",TEXT($A462,"ddd"))</f>
        <v/>
      </c>
      <c r="C462" s="19"/>
      <c r="D462" s="19"/>
      <c r="E462" s="18" t="str">
        <f aca="false">IF($C462="","",IFERROR(INDEX(Lists!$B$2:$B$40,MATCH($C462,Lists!$A$2:$A$40,0)),""))</f>
        <v/>
      </c>
      <c r="F462" s="20"/>
      <c r="G462" s="20"/>
      <c r="H462" s="20"/>
      <c r="I462" s="20"/>
      <c r="J462" s="20"/>
      <c r="K462" s="18" t="str">
        <f aca="false">IF(COUNT($F462:$J462)=0,"",SUM($F462:$J462))</f>
        <v/>
      </c>
      <c r="L462" s="18" t="str">
        <f aca="false">IF(COUNT($F462:$J462)=0,"",MAX($F462:$J462))</f>
        <v/>
      </c>
      <c r="M462" s="18" t="str">
        <f aca="false">IFERROR(IF(OR($C462="",COUNT($F462:$J462)&lt;3),"",IF(N(INDEX(Lists!$C$2:$C$40,MATCH($C462,Lists!$A$2:$A$40,0)))=0,"",IF(MIN($F462:$J462)&gt;=INDEX(Lists!$C$2:$C$40,MATCH($C462,Lists!$A$2:$A$40,0)),"LEVEL UP",""))),"")</f>
        <v/>
      </c>
      <c r="N462" s="20"/>
      <c r="O462" s="19"/>
    </row>
    <row r="463" customFormat="false" ht="15" hidden="false" customHeight="false" outlineLevel="0" collapsed="false">
      <c r="A463" s="17"/>
      <c r="B463" s="18" t="str">
        <f aca="false">IF($A463="","",TEXT($A463,"ddd"))</f>
        <v/>
      </c>
      <c r="C463" s="19"/>
      <c r="D463" s="19"/>
      <c r="E463" s="18" t="str">
        <f aca="false">IF($C463="","",IFERROR(INDEX(Lists!$B$2:$B$40,MATCH($C463,Lists!$A$2:$A$40,0)),""))</f>
        <v/>
      </c>
      <c r="F463" s="20"/>
      <c r="G463" s="20"/>
      <c r="H463" s="20"/>
      <c r="I463" s="20"/>
      <c r="J463" s="20"/>
      <c r="K463" s="18" t="str">
        <f aca="false">IF(COUNT($F463:$J463)=0,"",SUM($F463:$J463))</f>
        <v/>
      </c>
      <c r="L463" s="18" t="str">
        <f aca="false">IF(COUNT($F463:$J463)=0,"",MAX($F463:$J463))</f>
        <v/>
      </c>
      <c r="M463" s="18" t="str">
        <f aca="false">IFERROR(IF(OR($C463="",COUNT($F463:$J463)&lt;3),"",IF(N(INDEX(Lists!$C$2:$C$40,MATCH($C463,Lists!$A$2:$A$40,0)))=0,"",IF(MIN($F463:$J463)&gt;=INDEX(Lists!$C$2:$C$40,MATCH($C463,Lists!$A$2:$A$40,0)),"LEVEL UP",""))),"")</f>
        <v/>
      </c>
      <c r="N463" s="20"/>
      <c r="O463" s="19"/>
    </row>
    <row r="464" customFormat="false" ht="15" hidden="false" customHeight="false" outlineLevel="0" collapsed="false">
      <c r="A464" s="17"/>
      <c r="B464" s="18" t="str">
        <f aca="false">IF($A464="","",TEXT($A464,"ddd"))</f>
        <v/>
      </c>
      <c r="C464" s="19"/>
      <c r="D464" s="19"/>
      <c r="E464" s="18" t="str">
        <f aca="false">IF($C464="","",IFERROR(INDEX(Lists!$B$2:$B$40,MATCH($C464,Lists!$A$2:$A$40,0)),""))</f>
        <v/>
      </c>
      <c r="F464" s="20"/>
      <c r="G464" s="20"/>
      <c r="H464" s="20"/>
      <c r="I464" s="20"/>
      <c r="J464" s="20"/>
      <c r="K464" s="18" t="str">
        <f aca="false">IF(COUNT($F464:$J464)=0,"",SUM($F464:$J464))</f>
        <v/>
      </c>
      <c r="L464" s="18" t="str">
        <f aca="false">IF(COUNT($F464:$J464)=0,"",MAX($F464:$J464))</f>
        <v/>
      </c>
      <c r="M464" s="18" t="str">
        <f aca="false">IFERROR(IF(OR($C464="",COUNT($F464:$J464)&lt;3),"",IF(N(INDEX(Lists!$C$2:$C$40,MATCH($C464,Lists!$A$2:$A$40,0)))=0,"",IF(MIN($F464:$J464)&gt;=INDEX(Lists!$C$2:$C$40,MATCH($C464,Lists!$A$2:$A$40,0)),"LEVEL UP",""))),"")</f>
        <v/>
      </c>
      <c r="N464" s="20"/>
      <c r="O464" s="19"/>
    </row>
    <row r="465" customFormat="false" ht="15" hidden="false" customHeight="false" outlineLevel="0" collapsed="false">
      <c r="A465" s="17"/>
      <c r="B465" s="18" t="str">
        <f aca="false">IF($A465="","",TEXT($A465,"ddd"))</f>
        <v/>
      </c>
      <c r="C465" s="19"/>
      <c r="D465" s="19"/>
      <c r="E465" s="18" t="str">
        <f aca="false">IF($C465="","",IFERROR(INDEX(Lists!$B$2:$B$40,MATCH($C465,Lists!$A$2:$A$40,0)),""))</f>
        <v/>
      </c>
      <c r="F465" s="20"/>
      <c r="G465" s="20"/>
      <c r="H465" s="20"/>
      <c r="I465" s="20"/>
      <c r="J465" s="20"/>
      <c r="K465" s="18" t="str">
        <f aca="false">IF(COUNT($F465:$J465)=0,"",SUM($F465:$J465))</f>
        <v/>
      </c>
      <c r="L465" s="18" t="str">
        <f aca="false">IF(COUNT($F465:$J465)=0,"",MAX($F465:$J465))</f>
        <v/>
      </c>
      <c r="M465" s="18" t="str">
        <f aca="false">IFERROR(IF(OR($C465="",COUNT($F465:$J465)&lt;3),"",IF(N(INDEX(Lists!$C$2:$C$40,MATCH($C465,Lists!$A$2:$A$40,0)))=0,"",IF(MIN($F465:$J465)&gt;=INDEX(Lists!$C$2:$C$40,MATCH($C465,Lists!$A$2:$A$40,0)),"LEVEL UP",""))),"")</f>
        <v/>
      </c>
      <c r="N465" s="20"/>
      <c r="O465" s="19"/>
    </row>
    <row r="466" customFormat="false" ht="15" hidden="false" customHeight="false" outlineLevel="0" collapsed="false">
      <c r="A466" s="17"/>
      <c r="B466" s="18" t="str">
        <f aca="false">IF($A466="","",TEXT($A466,"ddd"))</f>
        <v/>
      </c>
      <c r="C466" s="19"/>
      <c r="D466" s="19"/>
      <c r="E466" s="18" t="str">
        <f aca="false">IF($C466="","",IFERROR(INDEX(Lists!$B$2:$B$40,MATCH($C466,Lists!$A$2:$A$40,0)),""))</f>
        <v/>
      </c>
      <c r="F466" s="20"/>
      <c r="G466" s="20"/>
      <c r="H466" s="20"/>
      <c r="I466" s="20"/>
      <c r="J466" s="20"/>
      <c r="K466" s="18" t="str">
        <f aca="false">IF(COUNT($F466:$J466)=0,"",SUM($F466:$J466))</f>
        <v/>
      </c>
      <c r="L466" s="18" t="str">
        <f aca="false">IF(COUNT($F466:$J466)=0,"",MAX($F466:$J466))</f>
        <v/>
      </c>
      <c r="M466" s="18" t="str">
        <f aca="false">IFERROR(IF(OR($C466="",COUNT($F466:$J466)&lt;3),"",IF(N(INDEX(Lists!$C$2:$C$40,MATCH($C466,Lists!$A$2:$A$40,0)))=0,"",IF(MIN($F466:$J466)&gt;=INDEX(Lists!$C$2:$C$40,MATCH($C466,Lists!$A$2:$A$40,0)),"LEVEL UP",""))),"")</f>
        <v/>
      </c>
      <c r="N466" s="20"/>
      <c r="O466" s="19"/>
    </row>
    <row r="467" customFormat="false" ht="15" hidden="false" customHeight="false" outlineLevel="0" collapsed="false">
      <c r="A467" s="17"/>
      <c r="B467" s="18" t="str">
        <f aca="false">IF($A467="","",TEXT($A467,"ddd"))</f>
        <v/>
      </c>
      <c r="C467" s="19"/>
      <c r="D467" s="19"/>
      <c r="E467" s="18" t="str">
        <f aca="false">IF($C467="","",IFERROR(INDEX(Lists!$B$2:$B$40,MATCH($C467,Lists!$A$2:$A$40,0)),""))</f>
        <v/>
      </c>
      <c r="F467" s="20"/>
      <c r="G467" s="20"/>
      <c r="H467" s="20"/>
      <c r="I467" s="20"/>
      <c r="J467" s="20"/>
      <c r="K467" s="18" t="str">
        <f aca="false">IF(COUNT($F467:$J467)=0,"",SUM($F467:$J467))</f>
        <v/>
      </c>
      <c r="L467" s="18" t="str">
        <f aca="false">IF(COUNT($F467:$J467)=0,"",MAX($F467:$J467))</f>
        <v/>
      </c>
      <c r="M467" s="18" t="str">
        <f aca="false">IFERROR(IF(OR($C467="",COUNT($F467:$J467)&lt;3),"",IF(N(INDEX(Lists!$C$2:$C$40,MATCH($C467,Lists!$A$2:$A$40,0)))=0,"",IF(MIN($F467:$J467)&gt;=INDEX(Lists!$C$2:$C$40,MATCH($C467,Lists!$A$2:$A$40,0)),"LEVEL UP",""))),"")</f>
        <v/>
      </c>
      <c r="N467" s="20"/>
      <c r="O467" s="19"/>
    </row>
    <row r="468" customFormat="false" ht="15" hidden="false" customHeight="false" outlineLevel="0" collapsed="false">
      <c r="A468" s="17"/>
      <c r="B468" s="18" t="str">
        <f aca="false">IF($A468="","",TEXT($A468,"ddd"))</f>
        <v/>
      </c>
      <c r="C468" s="19"/>
      <c r="D468" s="19"/>
      <c r="E468" s="18" t="str">
        <f aca="false">IF($C468="","",IFERROR(INDEX(Lists!$B$2:$B$40,MATCH($C468,Lists!$A$2:$A$40,0)),""))</f>
        <v/>
      </c>
      <c r="F468" s="20"/>
      <c r="G468" s="20"/>
      <c r="H468" s="20"/>
      <c r="I468" s="20"/>
      <c r="J468" s="20"/>
      <c r="K468" s="18" t="str">
        <f aca="false">IF(COUNT($F468:$J468)=0,"",SUM($F468:$J468))</f>
        <v/>
      </c>
      <c r="L468" s="18" t="str">
        <f aca="false">IF(COUNT($F468:$J468)=0,"",MAX($F468:$J468))</f>
        <v/>
      </c>
      <c r="M468" s="18" t="str">
        <f aca="false">IFERROR(IF(OR($C468="",COUNT($F468:$J468)&lt;3),"",IF(N(INDEX(Lists!$C$2:$C$40,MATCH($C468,Lists!$A$2:$A$40,0)))=0,"",IF(MIN($F468:$J468)&gt;=INDEX(Lists!$C$2:$C$40,MATCH($C468,Lists!$A$2:$A$40,0)),"LEVEL UP",""))),"")</f>
        <v/>
      </c>
      <c r="N468" s="20"/>
      <c r="O468" s="19"/>
    </row>
    <row r="469" customFormat="false" ht="15" hidden="false" customHeight="false" outlineLevel="0" collapsed="false">
      <c r="A469" s="17"/>
      <c r="B469" s="18" t="str">
        <f aca="false">IF($A469="","",TEXT($A469,"ddd"))</f>
        <v/>
      </c>
      <c r="C469" s="19"/>
      <c r="D469" s="19"/>
      <c r="E469" s="18" t="str">
        <f aca="false">IF($C469="","",IFERROR(INDEX(Lists!$B$2:$B$40,MATCH($C469,Lists!$A$2:$A$40,0)),""))</f>
        <v/>
      </c>
      <c r="F469" s="20"/>
      <c r="G469" s="20"/>
      <c r="H469" s="20"/>
      <c r="I469" s="20"/>
      <c r="J469" s="20"/>
      <c r="K469" s="18" t="str">
        <f aca="false">IF(COUNT($F469:$J469)=0,"",SUM($F469:$J469))</f>
        <v/>
      </c>
      <c r="L469" s="18" t="str">
        <f aca="false">IF(COUNT($F469:$J469)=0,"",MAX($F469:$J469))</f>
        <v/>
      </c>
      <c r="M469" s="18" t="str">
        <f aca="false">IFERROR(IF(OR($C469="",COUNT($F469:$J469)&lt;3),"",IF(N(INDEX(Lists!$C$2:$C$40,MATCH($C469,Lists!$A$2:$A$40,0)))=0,"",IF(MIN($F469:$J469)&gt;=INDEX(Lists!$C$2:$C$40,MATCH($C469,Lists!$A$2:$A$40,0)),"LEVEL UP",""))),"")</f>
        <v/>
      </c>
      <c r="N469" s="20"/>
      <c r="O469" s="19"/>
    </row>
    <row r="470" customFormat="false" ht="15" hidden="false" customHeight="false" outlineLevel="0" collapsed="false">
      <c r="A470" s="17"/>
      <c r="B470" s="18" t="str">
        <f aca="false">IF($A470="","",TEXT($A470,"ddd"))</f>
        <v/>
      </c>
      <c r="C470" s="19"/>
      <c r="D470" s="19"/>
      <c r="E470" s="18" t="str">
        <f aca="false">IF($C470="","",IFERROR(INDEX(Lists!$B$2:$B$40,MATCH($C470,Lists!$A$2:$A$40,0)),""))</f>
        <v/>
      </c>
      <c r="F470" s="20"/>
      <c r="G470" s="20"/>
      <c r="H470" s="20"/>
      <c r="I470" s="20"/>
      <c r="J470" s="20"/>
      <c r="K470" s="18" t="str">
        <f aca="false">IF(COUNT($F470:$J470)=0,"",SUM($F470:$J470))</f>
        <v/>
      </c>
      <c r="L470" s="18" t="str">
        <f aca="false">IF(COUNT($F470:$J470)=0,"",MAX($F470:$J470))</f>
        <v/>
      </c>
      <c r="M470" s="18" t="str">
        <f aca="false">IFERROR(IF(OR($C470="",COUNT($F470:$J470)&lt;3),"",IF(N(INDEX(Lists!$C$2:$C$40,MATCH($C470,Lists!$A$2:$A$40,0)))=0,"",IF(MIN($F470:$J470)&gt;=INDEX(Lists!$C$2:$C$40,MATCH($C470,Lists!$A$2:$A$40,0)),"LEVEL UP",""))),"")</f>
        <v/>
      </c>
      <c r="N470" s="20"/>
      <c r="O470" s="19"/>
    </row>
    <row r="471" customFormat="false" ht="15" hidden="false" customHeight="false" outlineLevel="0" collapsed="false">
      <c r="A471" s="17"/>
      <c r="B471" s="18" t="str">
        <f aca="false">IF($A471="","",TEXT($A471,"ddd"))</f>
        <v/>
      </c>
      <c r="C471" s="19"/>
      <c r="D471" s="19"/>
      <c r="E471" s="18" t="str">
        <f aca="false">IF($C471="","",IFERROR(INDEX(Lists!$B$2:$B$40,MATCH($C471,Lists!$A$2:$A$40,0)),""))</f>
        <v/>
      </c>
      <c r="F471" s="20"/>
      <c r="G471" s="20"/>
      <c r="H471" s="20"/>
      <c r="I471" s="20"/>
      <c r="J471" s="20"/>
      <c r="K471" s="18" t="str">
        <f aca="false">IF(COUNT($F471:$J471)=0,"",SUM($F471:$J471))</f>
        <v/>
      </c>
      <c r="L471" s="18" t="str">
        <f aca="false">IF(COUNT($F471:$J471)=0,"",MAX($F471:$J471))</f>
        <v/>
      </c>
      <c r="M471" s="18" t="str">
        <f aca="false">IFERROR(IF(OR($C471="",COUNT($F471:$J471)&lt;3),"",IF(N(INDEX(Lists!$C$2:$C$40,MATCH($C471,Lists!$A$2:$A$40,0)))=0,"",IF(MIN($F471:$J471)&gt;=INDEX(Lists!$C$2:$C$40,MATCH($C471,Lists!$A$2:$A$40,0)),"LEVEL UP",""))),"")</f>
        <v/>
      </c>
      <c r="N471" s="20"/>
      <c r="O471" s="19"/>
    </row>
    <row r="472" customFormat="false" ht="15" hidden="false" customHeight="false" outlineLevel="0" collapsed="false">
      <c r="A472" s="17"/>
      <c r="B472" s="18" t="str">
        <f aca="false">IF($A472="","",TEXT($A472,"ddd"))</f>
        <v/>
      </c>
      <c r="C472" s="19"/>
      <c r="D472" s="19"/>
      <c r="E472" s="18" t="str">
        <f aca="false">IF($C472="","",IFERROR(INDEX(Lists!$B$2:$B$40,MATCH($C472,Lists!$A$2:$A$40,0)),""))</f>
        <v/>
      </c>
      <c r="F472" s="20"/>
      <c r="G472" s="20"/>
      <c r="H472" s="20"/>
      <c r="I472" s="20"/>
      <c r="J472" s="20"/>
      <c r="K472" s="18" t="str">
        <f aca="false">IF(COUNT($F472:$J472)=0,"",SUM($F472:$J472))</f>
        <v/>
      </c>
      <c r="L472" s="18" t="str">
        <f aca="false">IF(COUNT($F472:$J472)=0,"",MAX($F472:$J472))</f>
        <v/>
      </c>
      <c r="M472" s="18" t="str">
        <f aca="false">IFERROR(IF(OR($C472="",COUNT($F472:$J472)&lt;3),"",IF(N(INDEX(Lists!$C$2:$C$40,MATCH($C472,Lists!$A$2:$A$40,0)))=0,"",IF(MIN($F472:$J472)&gt;=INDEX(Lists!$C$2:$C$40,MATCH($C472,Lists!$A$2:$A$40,0)),"LEVEL UP",""))),"")</f>
        <v/>
      </c>
      <c r="N472" s="20"/>
      <c r="O472" s="19"/>
    </row>
    <row r="473" customFormat="false" ht="15" hidden="false" customHeight="false" outlineLevel="0" collapsed="false">
      <c r="A473" s="17"/>
      <c r="B473" s="18" t="str">
        <f aca="false">IF($A473="","",TEXT($A473,"ddd"))</f>
        <v/>
      </c>
      <c r="C473" s="19"/>
      <c r="D473" s="19"/>
      <c r="E473" s="18" t="str">
        <f aca="false">IF($C473="","",IFERROR(INDEX(Lists!$B$2:$B$40,MATCH($C473,Lists!$A$2:$A$40,0)),""))</f>
        <v/>
      </c>
      <c r="F473" s="20"/>
      <c r="G473" s="20"/>
      <c r="H473" s="20"/>
      <c r="I473" s="20"/>
      <c r="J473" s="20"/>
      <c r="K473" s="18" t="str">
        <f aca="false">IF(COUNT($F473:$J473)=0,"",SUM($F473:$J473))</f>
        <v/>
      </c>
      <c r="L473" s="18" t="str">
        <f aca="false">IF(COUNT($F473:$J473)=0,"",MAX($F473:$J473))</f>
        <v/>
      </c>
      <c r="M473" s="18" t="str">
        <f aca="false">IFERROR(IF(OR($C473="",COUNT($F473:$J473)&lt;3),"",IF(N(INDEX(Lists!$C$2:$C$40,MATCH($C473,Lists!$A$2:$A$40,0)))=0,"",IF(MIN($F473:$J473)&gt;=INDEX(Lists!$C$2:$C$40,MATCH($C473,Lists!$A$2:$A$40,0)),"LEVEL UP",""))),"")</f>
        <v/>
      </c>
      <c r="N473" s="20"/>
      <c r="O473" s="19"/>
    </row>
    <row r="474" customFormat="false" ht="15" hidden="false" customHeight="false" outlineLevel="0" collapsed="false">
      <c r="A474" s="17"/>
      <c r="B474" s="18" t="str">
        <f aca="false">IF($A474="","",TEXT($A474,"ddd"))</f>
        <v/>
      </c>
      <c r="C474" s="19"/>
      <c r="D474" s="19"/>
      <c r="E474" s="18" t="str">
        <f aca="false">IF($C474="","",IFERROR(INDEX(Lists!$B$2:$B$40,MATCH($C474,Lists!$A$2:$A$40,0)),""))</f>
        <v/>
      </c>
      <c r="F474" s="20"/>
      <c r="G474" s="20"/>
      <c r="H474" s="20"/>
      <c r="I474" s="20"/>
      <c r="J474" s="20"/>
      <c r="K474" s="18" t="str">
        <f aca="false">IF(COUNT($F474:$J474)=0,"",SUM($F474:$J474))</f>
        <v/>
      </c>
      <c r="L474" s="18" t="str">
        <f aca="false">IF(COUNT($F474:$J474)=0,"",MAX($F474:$J474))</f>
        <v/>
      </c>
      <c r="M474" s="18" t="str">
        <f aca="false">IFERROR(IF(OR($C474="",COUNT($F474:$J474)&lt;3),"",IF(N(INDEX(Lists!$C$2:$C$40,MATCH($C474,Lists!$A$2:$A$40,0)))=0,"",IF(MIN($F474:$J474)&gt;=INDEX(Lists!$C$2:$C$40,MATCH($C474,Lists!$A$2:$A$40,0)),"LEVEL UP",""))),"")</f>
        <v/>
      </c>
      <c r="N474" s="20"/>
      <c r="O474" s="19"/>
    </row>
    <row r="475" customFormat="false" ht="15" hidden="false" customHeight="false" outlineLevel="0" collapsed="false">
      <c r="A475" s="17"/>
      <c r="B475" s="18" t="str">
        <f aca="false">IF($A475="","",TEXT($A475,"ddd"))</f>
        <v/>
      </c>
      <c r="C475" s="19"/>
      <c r="D475" s="19"/>
      <c r="E475" s="18" t="str">
        <f aca="false">IF($C475="","",IFERROR(INDEX(Lists!$B$2:$B$40,MATCH($C475,Lists!$A$2:$A$40,0)),""))</f>
        <v/>
      </c>
      <c r="F475" s="20"/>
      <c r="G475" s="20"/>
      <c r="H475" s="20"/>
      <c r="I475" s="20"/>
      <c r="J475" s="20"/>
      <c r="K475" s="18" t="str">
        <f aca="false">IF(COUNT($F475:$J475)=0,"",SUM($F475:$J475))</f>
        <v/>
      </c>
      <c r="L475" s="18" t="str">
        <f aca="false">IF(COUNT($F475:$J475)=0,"",MAX($F475:$J475))</f>
        <v/>
      </c>
      <c r="M475" s="18" t="str">
        <f aca="false">IFERROR(IF(OR($C475="",COUNT($F475:$J475)&lt;3),"",IF(N(INDEX(Lists!$C$2:$C$40,MATCH($C475,Lists!$A$2:$A$40,0)))=0,"",IF(MIN($F475:$J475)&gt;=INDEX(Lists!$C$2:$C$40,MATCH($C475,Lists!$A$2:$A$40,0)),"LEVEL UP",""))),"")</f>
        <v/>
      </c>
      <c r="N475" s="20"/>
      <c r="O475" s="19"/>
    </row>
    <row r="476" customFormat="false" ht="15" hidden="false" customHeight="false" outlineLevel="0" collapsed="false">
      <c r="A476" s="17"/>
      <c r="B476" s="18" t="str">
        <f aca="false">IF($A476="","",TEXT($A476,"ddd"))</f>
        <v/>
      </c>
      <c r="C476" s="19"/>
      <c r="D476" s="19"/>
      <c r="E476" s="18" t="str">
        <f aca="false">IF($C476="","",IFERROR(INDEX(Lists!$B$2:$B$40,MATCH($C476,Lists!$A$2:$A$40,0)),""))</f>
        <v/>
      </c>
      <c r="F476" s="20"/>
      <c r="G476" s="20"/>
      <c r="H476" s="20"/>
      <c r="I476" s="20"/>
      <c r="J476" s="20"/>
      <c r="K476" s="18" t="str">
        <f aca="false">IF(COUNT($F476:$J476)=0,"",SUM($F476:$J476))</f>
        <v/>
      </c>
      <c r="L476" s="18" t="str">
        <f aca="false">IF(COUNT($F476:$J476)=0,"",MAX($F476:$J476))</f>
        <v/>
      </c>
      <c r="M476" s="18" t="str">
        <f aca="false">IFERROR(IF(OR($C476="",COUNT($F476:$J476)&lt;3),"",IF(N(INDEX(Lists!$C$2:$C$40,MATCH($C476,Lists!$A$2:$A$40,0)))=0,"",IF(MIN($F476:$J476)&gt;=INDEX(Lists!$C$2:$C$40,MATCH($C476,Lists!$A$2:$A$40,0)),"LEVEL UP",""))),"")</f>
        <v/>
      </c>
      <c r="N476" s="20"/>
      <c r="O476" s="19"/>
    </row>
    <row r="477" customFormat="false" ht="15" hidden="false" customHeight="false" outlineLevel="0" collapsed="false">
      <c r="A477" s="17"/>
      <c r="B477" s="18" t="str">
        <f aca="false">IF($A477="","",TEXT($A477,"ddd"))</f>
        <v/>
      </c>
      <c r="C477" s="19"/>
      <c r="D477" s="19"/>
      <c r="E477" s="18" t="str">
        <f aca="false">IF($C477="","",IFERROR(INDEX(Lists!$B$2:$B$40,MATCH($C477,Lists!$A$2:$A$40,0)),""))</f>
        <v/>
      </c>
      <c r="F477" s="20"/>
      <c r="G477" s="20"/>
      <c r="H477" s="20"/>
      <c r="I477" s="20"/>
      <c r="J477" s="20"/>
      <c r="K477" s="18" t="str">
        <f aca="false">IF(COUNT($F477:$J477)=0,"",SUM($F477:$J477))</f>
        <v/>
      </c>
      <c r="L477" s="18" t="str">
        <f aca="false">IF(COUNT($F477:$J477)=0,"",MAX($F477:$J477))</f>
        <v/>
      </c>
      <c r="M477" s="18" t="str">
        <f aca="false">IFERROR(IF(OR($C477="",COUNT($F477:$J477)&lt;3),"",IF(N(INDEX(Lists!$C$2:$C$40,MATCH($C477,Lists!$A$2:$A$40,0)))=0,"",IF(MIN($F477:$J477)&gt;=INDEX(Lists!$C$2:$C$40,MATCH($C477,Lists!$A$2:$A$40,0)),"LEVEL UP",""))),"")</f>
        <v/>
      </c>
      <c r="N477" s="20"/>
      <c r="O477" s="19"/>
    </row>
    <row r="478" customFormat="false" ht="15" hidden="false" customHeight="false" outlineLevel="0" collapsed="false">
      <c r="A478" s="17"/>
      <c r="B478" s="18" t="str">
        <f aca="false">IF($A478="","",TEXT($A478,"ddd"))</f>
        <v/>
      </c>
      <c r="C478" s="19"/>
      <c r="D478" s="19"/>
      <c r="E478" s="18" t="str">
        <f aca="false">IF($C478="","",IFERROR(INDEX(Lists!$B$2:$B$40,MATCH($C478,Lists!$A$2:$A$40,0)),""))</f>
        <v/>
      </c>
      <c r="F478" s="20"/>
      <c r="G478" s="20"/>
      <c r="H478" s="20"/>
      <c r="I478" s="20"/>
      <c r="J478" s="20"/>
      <c r="K478" s="18" t="str">
        <f aca="false">IF(COUNT($F478:$J478)=0,"",SUM($F478:$J478))</f>
        <v/>
      </c>
      <c r="L478" s="18" t="str">
        <f aca="false">IF(COUNT($F478:$J478)=0,"",MAX($F478:$J478))</f>
        <v/>
      </c>
      <c r="M478" s="18" t="str">
        <f aca="false">IFERROR(IF(OR($C478="",COUNT($F478:$J478)&lt;3),"",IF(N(INDEX(Lists!$C$2:$C$40,MATCH($C478,Lists!$A$2:$A$40,0)))=0,"",IF(MIN($F478:$J478)&gt;=INDEX(Lists!$C$2:$C$40,MATCH($C478,Lists!$A$2:$A$40,0)),"LEVEL UP",""))),"")</f>
        <v/>
      </c>
      <c r="N478" s="20"/>
      <c r="O478" s="19"/>
    </row>
    <row r="479" customFormat="false" ht="15" hidden="false" customHeight="false" outlineLevel="0" collapsed="false">
      <c r="A479" s="17"/>
      <c r="B479" s="18" t="str">
        <f aca="false">IF($A479="","",TEXT($A479,"ddd"))</f>
        <v/>
      </c>
      <c r="C479" s="19"/>
      <c r="D479" s="19"/>
      <c r="E479" s="18" t="str">
        <f aca="false">IF($C479="","",IFERROR(INDEX(Lists!$B$2:$B$40,MATCH($C479,Lists!$A$2:$A$40,0)),""))</f>
        <v/>
      </c>
      <c r="F479" s="20"/>
      <c r="G479" s="20"/>
      <c r="H479" s="20"/>
      <c r="I479" s="20"/>
      <c r="J479" s="20"/>
      <c r="K479" s="18" t="str">
        <f aca="false">IF(COUNT($F479:$J479)=0,"",SUM($F479:$J479))</f>
        <v/>
      </c>
      <c r="L479" s="18" t="str">
        <f aca="false">IF(COUNT($F479:$J479)=0,"",MAX($F479:$J479))</f>
        <v/>
      </c>
      <c r="M479" s="18" t="str">
        <f aca="false">IFERROR(IF(OR($C479="",COUNT($F479:$J479)&lt;3),"",IF(N(INDEX(Lists!$C$2:$C$40,MATCH($C479,Lists!$A$2:$A$40,0)))=0,"",IF(MIN($F479:$J479)&gt;=INDEX(Lists!$C$2:$C$40,MATCH($C479,Lists!$A$2:$A$40,0)),"LEVEL UP",""))),"")</f>
        <v/>
      </c>
      <c r="N479" s="20"/>
      <c r="O479" s="19"/>
    </row>
    <row r="480" customFormat="false" ht="15" hidden="false" customHeight="false" outlineLevel="0" collapsed="false">
      <c r="A480" s="17"/>
      <c r="B480" s="18" t="str">
        <f aca="false">IF($A480="","",TEXT($A480,"ddd"))</f>
        <v/>
      </c>
      <c r="C480" s="19"/>
      <c r="D480" s="19"/>
      <c r="E480" s="18" t="str">
        <f aca="false">IF($C480="","",IFERROR(INDEX(Lists!$B$2:$B$40,MATCH($C480,Lists!$A$2:$A$40,0)),""))</f>
        <v/>
      </c>
      <c r="F480" s="20"/>
      <c r="G480" s="20"/>
      <c r="H480" s="20"/>
      <c r="I480" s="20"/>
      <c r="J480" s="20"/>
      <c r="K480" s="18" t="str">
        <f aca="false">IF(COUNT($F480:$J480)=0,"",SUM($F480:$J480))</f>
        <v/>
      </c>
      <c r="L480" s="18" t="str">
        <f aca="false">IF(COUNT($F480:$J480)=0,"",MAX($F480:$J480))</f>
        <v/>
      </c>
      <c r="M480" s="18" t="str">
        <f aca="false">IFERROR(IF(OR($C480="",COUNT($F480:$J480)&lt;3),"",IF(N(INDEX(Lists!$C$2:$C$40,MATCH($C480,Lists!$A$2:$A$40,0)))=0,"",IF(MIN($F480:$J480)&gt;=INDEX(Lists!$C$2:$C$40,MATCH($C480,Lists!$A$2:$A$40,0)),"LEVEL UP",""))),"")</f>
        <v/>
      </c>
      <c r="N480" s="20"/>
      <c r="O480" s="19"/>
    </row>
    <row r="481" customFormat="false" ht="15" hidden="false" customHeight="false" outlineLevel="0" collapsed="false">
      <c r="A481" s="17"/>
      <c r="B481" s="18" t="str">
        <f aca="false">IF($A481="","",TEXT($A481,"ddd"))</f>
        <v/>
      </c>
      <c r="C481" s="19"/>
      <c r="D481" s="19"/>
      <c r="E481" s="18" t="str">
        <f aca="false">IF($C481="","",IFERROR(INDEX(Lists!$B$2:$B$40,MATCH($C481,Lists!$A$2:$A$40,0)),""))</f>
        <v/>
      </c>
      <c r="F481" s="20"/>
      <c r="G481" s="20"/>
      <c r="H481" s="20"/>
      <c r="I481" s="20"/>
      <c r="J481" s="20"/>
      <c r="K481" s="18" t="str">
        <f aca="false">IF(COUNT($F481:$J481)=0,"",SUM($F481:$J481))</f>
        <v/>
      </c>
      <c r="L481" s="18" t="str">
        <f aca="false">IF(COUNT($F481:$J481)=0,"",MAX($F481:$J481))</f>
        <v/>
      </c>
      <c r="M481" s="18" t="str">
        <f aca="false">IFERROR(IF(OR($C481="",COUNT($F481:$J481)&lt;3),"",IF(N(INDEX(Lists!$C$2:$C$40,MATCH($C481,Lists!$A$2:$A$40,0)))=0,"",IF(MIN($F481:$J481)&gt;=INDEX(Lists!$C$2:$C$40,MATCH($C481,Lists!$A$2:$A$40,0)),"LEVEL UP",""))),"")</f>
        <v/>
      </c>
      <c r="N481" s="20"/>
      <c r="O481" s="19"/>
    </row>
    <row r="482" customFormat="false" ht="15" hidden="false" customHeight="false" outlineLevel="0" collapsed="false">
      <c r="A482" s="17"/>
      <c r="B482" s="18" t="str">
        <f aca="false">IF($A482="","",TEXT($A482,"ddd"))</f>
        <v/>
      </c>
      <c r="C482" s="19"/>
      <c r="D482" s="19"/>
      <c r="E482" s="18" t="str">
        <f aca="false">IF($C482="","",IFERROR(INDEX(Lists!$B$2:$B$40,MATCH($C482,Lists!$A$2:$A$40,0)),""))</f>
        <v/>
      </c>
      <c r="F482" s="20"/>
      <c r="G482" s="20"/>
      <c r="H482" s="20"/>
      <c r="I482" s="20"/>
      <c r="J482" s="20"/>
      <c r="K482" s="18" t="str">
        <f aca="false">IF(COUNT($F482:$J482)=0,"",SUM($F482:$J482))</f>
        <v/>
      </c>
      <c r="L482" s="18" t="str">
        <f aca="false">IF(COUNT($F482:$J482)=0,"",MAX($F482:$J482))</f>
        <v/>
      </c>
      <c r="M482" s="18" t="str">
        <f aca="false">IFERROR(IF(OR($C482="",COUNT($F482:$J482)&lt;3),"",IF(N(INDEX(Lists!$C$2:$C$40,MATCH($C482,Lists!$A$2:$A$40,0)))=0,"",IF(MIN($F482:$J482)&gt;=INDEX(Lists!$C$2:$C$40,MATCH($C482,Lists!$A$2:$A$40,0)),"LEVEL UP",""))),"")</f>
        <v/>
      </c>
      <c r="N482" s="20"/>
      <c r="O482" s="19"/>
    </row>
    <row r="483" customFormat="false" ht="15" hidden="false" customHeight="false" outlineLevel="0" collapsed="false">
      <c r="A483" s="17"/>
      <c r="B483" s="18" t="str">
        <f aca="false">IF($A483="","",TEXT($A483,"ddd"))</f>
        <v/>
      </c>
      <c r="C483" s="19"/>
      <c r="D483" s="19"/>
      <c r="E483" s="18" t="str">
        <f aca="false">IF($C483="","",IFERROR(INDEX(Lists!$B$2:$B$40,MATCH($C483,Lists!$A$2:$A$40,0)),""))</f>
        <v/>
      </c>
      <c r="F483" s="20"/>
      <c r="G483" s="20"/>
      <c r="H483" s="20"/>
      <c r="I483" s="20"/>
      <c r="J483" s="20"/>
      <c r="K483" s="18" t="str">
        <f aca="false">IF(COUNT($F483:$J483)=0,"",SUM($F483:$J483))</f>
        <v/>
      </c>
      <c r="L483" s="18" t="str">
        <f aca="false">IF(COUNT($F483:$J483)=0,"",MAX($F483:$J483))</f>
        <v/>
      </c>
      <c r="M483" s="18" t="str">
        <f aca="false">IFERROR(IF(OR($C483="",COUNT($F483:$J483)&lt;3),"",IF(N(INDEX(Lists!$C$2:$C$40,MATCH($C483,Lists!$A$2:$A$40,0)))=0,"",IF(MIN($F483:$J483)&gt;=INDEX(Lists!$C$2:$C$40,MATCH($C483,Lists!$A$2:$A$40,0)),"LEVEL UP",""))),"")</f>
        <v/>
      </c>
      <c r="N483" s="20"/>
      <c r="O483" s="19"/>
    </row>
    <row r="484" customFormat="false" ht="15" hidden="false" customHeight="false" outlineLevel="0" collapsed="false">
      <c r="A484" s="17"/>
      <c r="B484" s="18" t="str">
        <f aca="false">IF($A484="","",TEXT($A484,"ddd"))</f>
        <v/>
      </c>
      <c r="C484" s="19"/>
      <c r="D484" s="19"/>
      <c r="E484" s="18" t="str">
        <f aca="false">IF($C484="","",IFERROR(INDEX(Lists!$B$2:$B$40,MATCH($C484,Lists!$A$2:$A$40,0)),""))</f>
        <v/>
      </c>
      <c r="F484" s="20"/>
      <c r="G484" s="20"/>
      <c r="H484" s="20"/>
      <c r="I484" s="20"/>
      <c r="J484" s="20"/>
      <c r="K484" s="18" t="str">
        <f aca="false">IF(COUNT($F484:$J484)=0,"",SUM($F484:$J484))</f>
        <v/>
      </c>
      <c r="L484" s="18" t="str">
        <f aca="false">IF(COUNT($F484:$J484)=0,"",MAX($F484:$J484))</f>
        <v/>
      </c>
      <c r="M484" s="18" t="str">
        <f aca="false">IFERROR(IF(OR($C484="",COUNT($F484:$J484)&lt;3),"",IF(N(INDEX(Lists!$C$2:$C$40,MATCH($C484,Lists!$A$2:$A$40,0)))=0,"",IF(MIN($F484:$J484)&gt;=INDEX(Lists!$C$2:$C$40,MATCH($C484,Lists!$A$2:$A$40,0)),"LEVEL UP",""))),"")</f>
        <v/>
      </c>
      <c r="N484" s="20"/>
      <c r="O484" s="19"/>
    </row>
    <row r="485" customFormat="false" ht="15" hidden="false" customHeight="false" outlineLevel="0" collapsed="false">
      <c r="A485" s="17"/>
      <c r="B485" s="18" t="str">
        <f aca="false">IF($A485="","",TEXT($A485,"ddd"))</f>
        <v/>
      </c>
      <c r="C485" s="19"/>
      <c r="D485" s="19"/>
      <c r="E485" s="18" t="str">
        <f aca="false">IF($C485="","",IFERROR(INDEX(Lists!$B$2:$B$40,MATCH($C485,Lists!$A$2:$A$40,0)),""))</f>
        <v/>
      </c>
      <c r="F485" s="20"/>
      <c r="G485" s="20"/>
      <c r="H485" s="20"/>
      <c r="I485" s="20"/>
      <c r="J485" s="20"/>
      <c r="K485" s="18" t="str">
        <f aca="false">IF(COUNT($F485:$J485)=0,"",SUM($F485:$J485))</f>
        <v/>
      </c>
      <c r="L485" s="18" t="str">
        <f aca="false">IF(COUNT($F485:$J485)=0,"",MAX($F485:$J485))</f>
        <v/>
      </c>
      <c r="M485" s="18" t="str">
        <f aca="false">IFERROR(IF(OR($C485="",COUNT($F485:$J485)&lt;3),"",IF(N(INDEX(Lists!$C$2:$C$40,MATCH($C485,Lists!$A$2:$A$40,0)))=0,"",IF(MIN($F485:$J485)&gt;=INDEX(Lists!$C$2:$C$40,MATCH($C485,Lists!$A$2:$A$40,0)),"LEVEL UP",""))),"")</f>
        <v/>
      </c>
      <c r="N485" s="20"/>
      <c r="O485" s="19"/>
    </row>
    <row r="486" customFormat="false" ht="15" hidden="false" customHeight="false" outlineLevel="0" collapsed="false">
      <c r="A486" s="17"/>
      <c r="B486" s="18" t="str">
        <f aca="false">IF($A486="","",TEXT($A486,"ddd"))</f>
        <v/>
      </c>
      <c r="C486" s="19"/>
      <c r="D486" s="19"/>
      <c r="E486" s="18" t="str">
        <f aca="false">IF($C486="","",IFERROR(INDEX(Lists!$B$2:$B$40,MATCH($C486,Lists!$A$2:$A$40,0)),""))</f>
        <v/>
      </c>
      <c r="F486" s="20"/>
      <c r="G486" s="20"/>
      <c r="H486" s="20"/>
      <c r="I486" s="20"/>
      <c r="J486" s="20"/>
      <c r="K486" s="18" t="str">
        <f aca="false">IF(COUNT($F486:$J486)=0,"",SUM($F486:$J486))</f>
        <v/>
      </c>
      <c r="L486" s="18" t="str">
        <f aca="false">IF(COUNT($F486:$J486)=0,"",MAX($F486:$J486))</f>
        <v/>
      </c>
      <c r="M486" s="18" t="str">
        <f aca="false">IFERROR(IF(OR($C486="",COUNT($F486:$J486)&lt;3),"",IF(N(INDEX(Lists!$C$2:$C$40,MATCH($C486,Lists!$A$2:$A$40,0)))=0,"",IF(MIN($F486:$J486)&gt;=INDEX(Lists!$C$2:$C$40,MATCH($C486,Lists!$A$2:$A$40,0)),"LEVEL UP",""))),"")</f>
        <v/>
      </c>
      <c r="N486" s="20"/>
      <c r="O486" s="19"/>
    </row>
    <row r="487" customFormat="false" ht="15" hidden="false" customHeight="false" outlineLevel="0" collapsed="false">
      <c r="A487" s="17"/>
      <c r="B487" s="18" t="str">
        <f aca="false">IF($A487="","",TEXT($A487,"ddd"))</f>
        <v/>
      </c>
      <c r="C487" s="19"/>
      <c r="D487" s="19"/>
      <c r="E487" s="18" t="str">
        <f aca="false">IF($C487="","",IFERROR(INDEX(Lists!$B$2:$B$40,MATCH($C487,Lists!$A$2:$A$40,0)),""))</f>
        <v/>
      </c>
      <c r="F487" s="20"/>
      <c r="G487" s="20"/>
      <c r="H487" s="20"/>
      <c r="I487" s="20"/>
      <c r="J487" s="20"/>
      <c r="K487" s="18" t="str">
        <f aca="false">IF(COUNT($F487:$J487)=0,"",SUM($F487:$J487))</f>
        <v/>
      </c>
      <c r="L487" s="18" t="str">
        <f aca="false">IF(COUNT($F487:$J487)=0,"",MAX($F487:$J487))</f>
        <v/>
      </c>
      <c r="M487" s="18" t="str">
        <f aca="false">IFERROR(IF(OR($C487="",COUNT($F487:$J487)&lt;3),"",IF(N(INDEX(Lists!$C$2:$C$40,MATCH($C487,Lists!$A$2:$A$40,0)))=0,"",IF(MIN($F487:$J487)&gt;=INDEX(Lists!$C$2:$C$40,MATCH($C487,Lists!$A$2:$A$40,0)),"LEVEL UP",""))),"")</f>
        <v/>
      </c>
      <c r="N487" s="20"/>
      <c r="O487" s="19"/>
    </row>
    <row r="488" customFormat="false" ht="15" hidden="false" customHeight="false" outlineLevel="0" collapsed="false">
      <c r="A488" s="17"/>
      <c r="B488" s="18" t="str">
        <f aca="false">IF($A488="","",TEXT($A488,"ddd"))</f>
        <v/>
      </c>
      <c r="C488" s="19"/>
      <c r="D488" s="19"/>
      <c r="E488" s="18" t="str">
        <f aca="false">IF($C488="","",IFERROR(INDEX(Lists!$B$2:$B$40,MATCH($C488,Lists!$A$2:$A$40,0)),""))</f>
        <v/>
      </c>
      <c r="F488" s="20"/>
      <c r="G488" s="20"/>
      <c r="H488" s="20"/>
      <c r="I488" s="20"/>
      <c r="J488" s="20"/>
      <c r="K488" s="18" t="str">
        <f aca="false">IF(COUNT($F488:$J488)=0,"",SUM($F488:$J488))</f>
        <v/>
      </c>
      <c r="L488" s="18" t="str">
        <f aca="false">IF(COUNT($F488:$J488)=0,"",MAX($F488:$J488))</f>
        <v/>
      </c>
      <c r="M488" s="18" t="str">
        <f aca="false">IFERROR(IF(OR($C488="",COUNT($F488:$J488)&lt;3),"",IF(N(INDEX(Lists!$C$2:$C$40,MATCH($C488,Lists!$A$2:$A$40,0)))=0,"",IF(MIN($F488:$J488)&gt;=INDEX(Lists!$C$2:$C$40,MATCH($C488,Lists!$A$2:$A$40,0)),"LEVEL UP",""))),"")</f>
        <v/>
      </c>
      <c r="N488" s="20"/>
      <c r="O488" s="19"/>
    </row>
    <row r="489" customFormat="false" ht="15" hidden="false" customHeight="false" outlineLevel="0" collapsed="false">
      <c r="A489" s="17"/>
      <c r="B489" s="18" t="str">
        <f aca="false">IF($A489="","",TEXT($A489,"ddd"))</f>
        <v/>
      </c>
      <c r="C489" s="19"/>
      <c r="D489" s="19"/>
      <c r="E489" s="18" t="str">
        <f aca="false">IF($C489="","",IFERROR(INDEX(Lists!$B$2:$B$40,MATCH($C489,Lists!$A$2:$A$40,0)),""))</f>
        <v/>
      </c>
      <c r="F489" s="20"/>
      <c r="G489" s="20"/>
      <c r="H489" s="20"/>
      <c r="I489" s="20"/>
      <c r="J489" s="20"/>
      <c r="K489" s="18" t="str">
        <f aca="false">IF(COUNT($F489:$J489)=0,"",SUM($F489:$J489))</f>
        <v/>
      </c>
      <c r="L489" s="18" t="str">
        <f aca="false">IF(COUNT($F489:$J489)=0,"",MAX($F489:$J489))</f>
        <v/>
      </c>
      <c r="M489" s="18" t="str">
        <f aca="false">IFERROR(IF(OR($C489="",COUNT($F489:$J489)&lt;3),"",IF(N(INDEX(Lists!$C$2:$C$40,MATCH($C489,Lists!$A$2:$A$40,0)))=0,"",IF(MIN($F489:$J489)&gt;=INDEX(Lists!$C$2:$C$40,MATCH($C489,Lists!$A$2:$A$40,0)),"LEVEL UP",""))),"")</f>
        <v/>
      </c>
      <c r="N489" s="20"/>
      <c r="O489" s="19"/>
    </row>
    <row r="490" customFormat="false" ht="15" hidden="false" customHeight="false" outlineLevel="0" collapsed="false">
      <c r="A490" s="17"/>
      <c r="B490" s="18" t="str">
        <f aca="false">IF($A490="","",TEXT($A490,"ddd"))</f>
        <v/>
      </c>
      <c r="C490" s="19"/>
      <c r="D490" s="19"/>
      <c r="E490" s="18" t="str">
        <f aca="false">IF($C490="","",IFERROR(INDEX(Lists!$B$2:$B$40,MATCH($C490,Lists!$A$2:$A$40,0)),""))</f>
        <v/>
      </c>
      <c r="F490" s="20"/>
      <c r="G490" s="20"/>
      <c r="H490" s="20"/>
      <c r="I490" s="20"/>
      <c r="J490" s="20"/>
      <c r="K490" s="18" t="str">
        <f aca="false">IF(COUNT($F490:$J490)=0,"",SUM($F490:$J490))</f>
        <v/>
      </c>
      <c r="L490" s="18" t="str">
        <f aca="false">IF(COUNT($F490:$J490)=0,"",MAX($F490:$J490))</f>
        <v/>
      </c>
      <c r="M490" s="18" t="str">
        <f aca="false">IFERROR(IF(OR($C490="",COUNT($F490:$J490)&lt;3),"",IF(N(INDEX(Lists!$C$2:$C$40,MATCH($C490,Lists!$A$2:$A$40,0)))=0,"",IF(MIN($F490:$J490)&gt;=INDEX(Lists!$C$2:$C$40,MATCH($C490,Lists!$A$2:$A$40,0)),"LEVEL UP",""))),"")</f>
        <v/>
      </c>
      <c r="N490" s="20"/>
      <c r="O490" s="19"/>
    </row>
    <row r="491" customFormat="false" ht="15" hidden="false" customHeight="false" outlineLevel="0" collapsed="false">
      <c r="A491" s="17"/>
      <c r="B491" s="18" t="str">
        <f aca="false">IF($A491="","",TEXT($A491,"ddd"))</f>
        <v/>
      </c>
      <c r="C491" s="19"/>
      <c r="D491" s="19"/>
      <c r="E491" s="18" t="str">
        <f aca="false">IF($C491="","",IFERROR(INDEX(Lists!$B$2:$B$40,MATCH($C491,Lists!$A$2:$A$40,0)),""))</f>
        <v/>
      </c>
      <c r="F491" s="20"/>
      <c r="G491" s="20"/>
      <c r="H491" s="20"/>
      <c r="I491" s="20"/>
      <c r="J491" s="20"/>
      <c r="K491" s="18" t="str">
        <f aca="false">IF(COUNT($F491:$J491)=0,"",SUM($F491:$J491))</f>
        <v/>
      </c>
      <c r="L491" s="18" t="str">
        <f aca="false">IF(COUNT($F491:$J491)=0,"",MAX($F491:$J491))</f>
        <v/>
      </c>
      <c r="M491" s="18" t="str">
        <f aca="false">IFERROR(IF(OR($C491="",COUNT($F491:$J491)&lt;3),"",IF(N(INDEX(Lists!$C$2:$C$40,MATCH($C491,Lists!$A$2:$A$40,0)))=0,"",IF(MIN($F491:$J491)&gt;=INDEX(Lists!$C$2:$C$40,MATCH($C491,Lists!$A$2:$A$40,0)),"LEVEL UP",""))),"")</f>
        <v/>
      </c>
      <c r="N491" s="20"/>
      <c r="O491" s="19"/>
    </row>
    <row r="492" customFormat="false" ht="15" hidden="false" customHeight="false" outlineLevel="0" collapsed="false">
      <c r="A492" s="17"/>
      <c r="B492" s="18" t="str">
        <f aca="false">IF($A492="","",TEXT($A492,"ddd"))</f>
        <v/>
      </c>
      <c r="C492" s="19"/>
      <c r="D492" s="19"/>
      <c r="E492" s="18" t="str">
        <f aca="false">IF($C492="","",IFERROR(INDEX(Lists!$B$2:$B$40,MATCH($C492,Lists!$A$2:$A$40,0)),""))</f>
        <v/>
      </c>
      <c r="F492" s="20"/>
      <c r="G492" s="20"/>
      <c r="H492" s="20"/>
      <c r="I492" s="20"/>
      <c r="J492" s="20"/>
      <c r="K492" s="18" t="str">
        <f aca="false">IF(COUNT($F492:$J492)=0,"",SUM($F492:$J492))</f>
        <v/>
      </c>
      <c r="L492" s="18" t="str">
        <f aca="false">IF(COUNT($F492:$J492)=0,"",MAX($F492:$J492))</f>
        <v/>
      </c>
      <c r="M492" s="18" t="str">
        <f aca="false">IFERROR(IF(OR($C492="",COUNT($F492:$J492)&lt;3),"",IF(N(INDEX(Lists!$C$2:$C$40,MATCH($C492,Lists!$A$2:$A$40,0)))=0,"",IF(MIN($F492:$J492)&gt;=INDEX(Lists!$C$2:$C$40,MATCH($C492,Lists!$A$2:$A$40,0)),"LEVEL UP",""))),"")</f>
        <v/>
      </c>
      <c r="N492" s="20"/>
      <c r="O492" s="19"/>
    </row>
    <row r="493" customFormat="false" ht="15" hidden="false" customHeight="false" outlineLevel="0" collapsed="false">
      <c r="A493" s="17"/>
      <c r="B493" s="18" t="str">
        <f aca="false">IF($A493="","",TEXT($A493,"ddd"))</f>
        <v/>
      </c>
      <c r="C493" s="19"/>
      <c r="D493" s="19"/>
      <c r="E493" s="18" t="str">
        <f aca="false">IF($C493="","",IFERROR(INDEX(Lists!$B$2:$B$40,MATCH($C493,Lists!$A$2:$A$40,0)),""))</f>
        <v/>
      </c>
      <c r="F493" s="20"/>
      <c r="G493" s="20"/>
      <c r="H493" s="20"/>
      <c r="I493" s="20"/>
      <c r="J493" s="20"/>
      <c r="K493" s="18" t="str">
        <f aca="false">IF(COUNT($F493:$J493)=0,"",SUM($F493:$J493))</f>
        <v/>
      </c>
      <c r="L493" s="18" t="str">
        <f aca="false">IF(COUNT($F493:$J493)=0,"",MAX($F493:$J493))</f>
        <v/>
      </c>
      <c r="M493" s="18" t="str">
        <f aca="false">IFERROR(IF(OR($C493="",COUNT($F493:$J493)&lt;3),"",IF(N(INDEX(Lists!$C$2:$C$40,MATCH($C493,Lists!$A$2:$A$40,0)))=0,"",IF(MIN($F493:$J493)&gt;=INDEX(Lists!$C$2:$C$40,MATCH($C493,Lists!$A$2:$A$40,0)),"LEVEL UP",""))),"")</f>
        <v/>
      </c>
      <c r="N493" s="20"/>
      <c r="O493" s="19"/>
    </row>
    <row r="494" customFormat="false" ht="15" hidden="false" customHeight="false" outlineLevel="0" collapsed="false">
      <c r="A494" s="17"/>
      <c r="B494" s="18" t="str">
        <f aca="false">IF($A494="","",TEXT($A494,"ddd"))</f>
        <v/>
      </c>
      <c r="C494" s="19"/>
      <c r="D494" s="19"/>
      <c r="E494" s="18" t="str">
        <f aca="false">IF($C494="","",IFERROR(INDEX(Lists!$B$2:$B$40,MATCH($C494,Lists!$A$2:$A$40,0)),""))</f>
        <v/>
      </c>
      <c r="F494" s="20"/>
      <c r="G494" s="20"/>
      <c r="H494" s="20"/>
      <c r="I494" s="20"/>
      <c r="J494" s="20"/>
      <c r="K494" s="18" t="str">
        <f aca="false">IF(COUNT($F494:$J494)=0,"",SUM($F494:$J494))</f>
        <v/>
      </c>
      <c r="L494" s="18" t="str">
        <f aca="false">IF(COUNT($F494:$J494)=0,"",MAX($F494:$J494))</f>
        <v/>
      </c>
      <c r="M494" s="18" t="str">
        <f aca="false">IFERROR(IF(OR($C494="",COUNT($F494:$J494)&lt;3),"",IF(N(INDEX(Lists!$C$2:$C$40,MATCH($C494,Lists!$A$2:$A$40,0)))=0,"",IF(MIN($F494:$J494)&gt;=INDEX(Lists!$C$2:$C$40,MATCH($C494,Lists!$A$2:$A$40,0)),"LEVEL UP",""))),"")</f>
        <v/>
      </c>
      <c r="N494" s="20"/>
      <c r="O494" s="19"/>
    </row>
    <row r="495" customFormat="false" ht="15" hidden="false" customHeight="false" outlineLevel="0" collapsed="false">
      <c r="A495" s="17"/>
      <c r="B495" s="18" t="str">
        <f aca="false">IF($A495="","",TEXT($A495,"ddd"))</f>
        <v/>
      </c>
      <c r="C495" s="19"/>
      <c r="D495" s="19"/>
      <c r="E495" s="18" t="str">
        <f aca="false">IF($C495="","",IFERROR(INDEX(Lists!$B$2:$B$40,MATCH($C495,Lists!$A$2:$A$40,0)),""))</f>
        <v/>
      </c>
      <c r="F495" s="20"/>
      <c r="G495" s="20"/>
      <c r="H495" s="20"/>
      <c r="I495" s="20"/>
      <c r="J495" s="20"/>
      <c r="K495" s="18" t="str">
        <f aca="false">IF(COUNT($F495:$J495)=0,"",SUM($F495:$J495))</f>
        <v/>
      </c>
      <c r="L495" s="18" t="str">
        <f aca="false">IF(COUNT($F495:$J495)=0,"",MAX($F495:$J495))</f>
        <v/>
      </c>
      <c r="M495" s="18" t="str">
        <f aca="false">IFERROR(IF(OR($C495="",COUNT($F495:$J495)&lt;3),"",IF(N(INDEX(Lists!$C$2:$C$40,MATCH($C495,Lists!$A$2:$A$40,0)))=0,"",IF(MIN($F495:$J495)&gt;=INDEX(Lists!$C$2:$C$40,MATCH($C495,Lists!$A$2:$A$40,0)),"LEVEL UP",""))),"")</f>
        <v/>
      </c>
      <c r="N495" s="20"/>
      <c r="O495" s="19"/>
    </row>
    <row r="496" customFormat="false" ht="15" hidden="false" customHeight="false" outlineLevel="0" collapsed="false">
      <c r="A496" s="17"/>
      <c r="B496" s="18" t="str">
        <f aca="false">IF($A496="","",TEXT($A496,"ddd"))</f>
        <v/>
      </c>
      <c r="C496" s="19"/>
      <c r="D496" s="19"/>
      <c r="E496" s="18" t="str">
        <f aca="false">IF($C496="","",IFERROR(INDEX(Lists!$B$2:$B$40,MATCH($C496,Lists!$A$2:$A$40,0)),""))</f>
        <v/>
      </c>
      <c r="F496" s="20"/>
      <c r="G496" s="20"/>
      <c r="H496" s="20"/>
      <c r="I496" s="20"/>
      <c r="J496" s="20"/>
      <c r="K496" s="18" t="str">
        <f aca="false">IF(COUNT($F496:$J496)=0,"",SUM($F496:$J496))</f>
        <v/>
      </c>
      <c r="L496" s="18" t="str">
        <f aca="false">IF(COUNT($F496:$J496)=0,"",MAX($F496:$J496))</f>
        <v/>
      </c>
      <c r="M496" s="18" t="str">
        <f aca="false">IFERROR(IF(OR($C496="",COUNT($F496:$J496)&lt;3),"",IF(N(INDEX(Lists!$C$2:$C$40,MATCH($C496,Lists!$A$2:$A$40,0)))=0,"",IF(MIN($F496:$J496)&gt;=INDEX(Lists!$C$2:$C$40,MATCH($C496,Lists!$A$2:$A$40,0)),"LEVEL UP",""))),"")</f>
        <v/>
      </c>
      <c r="N496" s="20"/>
      <c r="O496" s="19"/>
    </row>
    <row r="497" customFormat="false" ht="15" hidden="false" customHeight="false" outlineLevel="0" collapsed="false">
      <c r="A497" s="17"/>
      <c r="B497" s="18" t="str">
        <f aca="false">IF($A497="","",TEXT($A497,"ddd"))</f>
        <v/>
      </c>
      <c r="C497" s="19"/>
      <c r="D497" s="19"/>
      <c r="E497" s="18" t="str">
        <f aca="false">IF($C497="","",IFERROR(INDEX(Lists!$B$2:$B$40,MATCH($C497,Lists!$A$2:$A$40,0)),""))</f>
        <v/>
      </c>
      <c r="F497" s="20"/>
      <c r="G497" s="20"/>
      <c r="H497" s="20"/>
      <c r="I497" s="20"/>
      <c r="J497" s="20"/>
      <c r="K497" s="18" t="str">
        <f aca="false">IF(COUNT($F497:$J497)=0,"",SUM($F497:$J497))</f>
        <v/>
      </c>
      <c r="L497" s="18" t="str">
        <f aca="false">IF(COUNT($F497:$J497)=0,"",MAX($F497:$J497))</f>
        <v/>
      </c>
      <c r="M497" s="18" t="str">
        <f aca="false">IFERROR(IF(OR($C497="",COUNT($F497:$J497)&lt;3),"",IF(N(INDEX(Lists!$C$2:$C$40,MATCH($C497,Lists!$A$2:$A$40,0)))=0,"",IF(MIN($F497:$J497)&gt;=INDEX(Lists!$C$2:$C$40,MATCH($C497,Lists!$A$2:$A$40,0)),"LEVEL UP",""))),"")</f>
        <v/>
      </c>
      <c r="N497" s="20"/>
      <c r="O497" s="19"/>
    </row>
    <row r="498" customFormat="false" ht="15" hidden="false" customHeight="false" outlineLevel="0" collapsed="false">
      <c r="A498" s="17"/>
      <c r="B498" s="18" t="str">
        <f aca="false">IF($A498="","",TEXT($A498,"ddd"))</f>
        <v/>
      </c>
      <c r="C498" s="19"/>
      <c r="D498" s="19"/>
      <c r="E498" s="18" t="str">
        <f aca="false">IF($C498="","",IFERROR(INDEX(Lists!$B$2:$B$40,MATCH($C498,Lists!$A$2:$A$40,0)),""))</f>
        <v/>
      </c>
      <c r="F498" s="20"/>
      <c r="G498" s="20"/>
      <c r="H498" s="20"/>
      <c r="I498" s="20"/>
      <c r="J498" s="20"/>
      <c r="K498" s="18" t="str">
        <f aca="false">IF(COUNT($F498:$J498)=0,"",SUM($F498:$J498))</f>
        <v/>
      </c>
      <c r="L498" s="18" t="str">
        <f aca="false">IF(COUNT($F498:$J498)=0,"",MAX($F498:$J498))</f>
        <v/>
      </c>
      <c r="M498" s="18" t="str">
        <f aca="false">IFERROR(IF(OR($C498="",COUNT($F498:$J498)&lt;3),"",IF(N(INDEX(Lists!$C$2:$C$40,MATCH($C498,Lists!$A$2:$A$40,0)))=0,"",IF(MIN($F498:$J498)&gt;=INDEX(Lists!$C$2:$C$40,MATCH($C498,Lists!$A$2:$A$40,0)),"LEVEL UP",""))),"")</f>
        <v/>
      </c>
      <c r="N498" s="20"/>
      <c r="O498" s="19"/>
    </row>
    <row r="499" customFormat="false" ht="15" hidden="false" customHeight="false" outlineLevel="0" collapsed="false">
      <c r="A499" s="17"/>
      <c r="B499" s="18" t="str">
        <f aca="false">IF($A499="","",TEXT($A499,"ddd"))</f>
        <v/>
      </c>
      <c r="C499" s="19"/>
      <c r="D499" s="19"/>
      <c r="E499" s="18" t="str">
        <f aca="false">IF($C499="","",IFERROR(INDEX(Lists!$B$2:$B$40,MATCH($C499,Lists!$A$2:$A$40,0)),""))</f>
        <v/>
      </c>
      <c r="F499" s="20"/>
      <c r="G499" s="20"/>
      <c r="H499" s="20"/>
      <c r="I499" s="20"/>
      <c r="J499" s="20"/>
      <c r="K499" s="18" t="str">
        <f aca="false">IF(COUNT($F499:$J499)=0,"",SUM($F499:$J499))</f>
        <v/>
      </c>
      <c r="L499" s="18" t="str">
        <f aca="false">IF(COUNT($F499:$J499)=0,"",MAX($F499:$J499))</f>
        <v/>
      </c>
      <c r="M499" s="18" t="str">
        <f aca="false">IFERROR(IF(OR($C499="",COUNT($F499:$J499)&lt;3),"",IF(N(INDEX(Lists!$C$2:$C$40,MATCH($C499,Lists!$A$2:$A$40,0)))=0,"",IF(MIN($F499:$J499)&gt;=INDEX(Lists!$C$2:$C$40,MATCH($C499,Lists!$A$2:$A$40,0)),"LEVEL UP",""))),"")</f>
        <v/>
      </c>
      <c r="N499" s="20"/>
      <c r="O499" s="19"/>
    </row>
    <row r="500" customFormat="false" ht="15" hidden="false" customHeight="false" outlineLevel="0" collapsed="false">
      <c r="A500" s="17"/>
      <c r="B500" s="18" t="str">
        <f aca="false">IF($A500="","",TEXT($A500,"ddd"))</f>
        <v/>
      </c>
      <c r="C500" s="19"/>
      <c r="D500" s="19"/>
      <c r="E500" s="18" t="str">
        <f aca="false">IF($C500="","",IFERROR(INDEX(Lists!$B$2:$B$40,MATCH($C500,Lists!$A$2:$A$40,0)),""))</f>
        <v/>
      </c>
      <c r="F500" s="20"/>
      <c r="G500" s="20"/>
      <c r="H500" s="20"/>
      <c r="I500" s="20"/>
      <c r="J500" s="20"/>
      <c r="K500" s="18" t="str">
        <f aca="false">IF(COUNT($F500:$J500)=0,"",SUM($F500:$J500))</f>
        <v/>
      </c>
      <c r="L500" s="18" t="str">
        <f aca="false">IF(COUNT($F500:$J500)=0,"",MAX($F500:$J500))</f>
        <v/>
      </c>
      <c r="M500" s="18" t="str">
        <f aca="false">IFERROR(IF(OR($C500="",COUNT($F500:$J500)&lt;3),"",IF(N(INDEX(Lists!$C$2:$C$40,MATCH($C500,Lists!$A$2:$A$40,0)))=0,"",IF(MIN($F500:$J500)&gt;=INDEX(Lists!$C$2:$C$40,MATCH($C500,Lists!$A$2:$A$40,0)),"LEVEL UP",""))),"")</f>
        <v/>
      </c>
      <c r="N500" s="20"/>
      <c r="O500" s="19"/>
    </row>
    <row r="501" customFormat="false" ht="15" hidden="false" customHeight="false" outlineLevel="0" collapsed="false">
      <c r="A501" s="17"/>
      <c r="B501" s="18" t="str">
        <f aca="false">IF($A501="","",TEXT($A501,"ddd"))</f>
        <v/>
      </c>
      <c r="C501" s="19"/>
      <c r="D501" s="19"/>
      <c r="E501" s="18" t="str">
        <f aca="false">IF($C501="","",IFERROR(INDEX(Lists!$B$2:$B$40,MATCH($C501,Lists!$A$2:$A$40,0)),""))</f>
        <v/>
      </c>
      <c r="F501" s="20"/>
      <c r="G501" s="20"/>
      <c r="H501" s="20"/>
      <c r="I501" s="20"/>
      <c r="J501" s="20"/>
      <c r="K501" s="18" t="str">
        <f aca="false">IF(COUNT($F501:$J501)=0,"",SUM($F501:$J501))</f>
        <v/>
      </c>
      <c r="L501" s="18" t="str">
        <f aca="false">IF(COUNT($F501:$J501)=0,"",MAX($F501:$J501))</f>
        <v/>
      </c>
      <c r="M501" s="18" t="str">
        <f aca="false">IFERROR(IF(OR($C501="",COUNT($F501:$J501)&lt;3),"",IF(N(INDEX(Lists!$C$2:$C$40,MATCH($C501,Lists!$A$2:$A$40,0)))=0,"",IF(MIN($F501:$J501)&gt;=INDEX(Lists!$C$2:$C$40,MATCH($C501,Lists!$A$2:$A$40,0)),"LEVEL UP",""))),"")</f>
        <v/>
      </c>
      <c r="N501" s="20"/>
      <c r="O501" s="19"/>
    </row>
    <row r="502" customFormat="false" ht="15" hidden="false" customHeight="false" outlineLevel="0" collapsed="false">
      <c r="A502" s="17"/>
      <c r="B502" s="18" t="str">
        <f aca="false">IF($A502="","",TEXT($A502,"ddd"))</f>
        <v/>
      </c>
      <c r="C502" s="19"/>
      <c r="D502" s="19"/>
      <c r="E502" s="18" t="str">
        <f aca="false">IF($C502="","",IFERROR(INDEX(Lists!$B$2:$B$40,MATCH($C502,Lists!$A$2:$A$40,0)),""))</f>
        <v/>
      </c>
      <c r="F502" s="20"/>
      <c r="G502" s="20"/>
      <c r="H502" s="20"/>
      <c r="I502" s="20"/>
      <c r="J502" s="20"/>
      <c r="K502" s="18" t="str">
        <f aca="false">IF(COUNT($F502:$J502)=0,"",SUM($F502:$J502))</f>
        <v/>
      </c>
      <c r="L502" s="18" t="str">
        <f aca="false">IF(COUNT($F502:$J502)=0,"",MAX($F502:$J502))</f>
        <v/>
      </c>
      <c r="M502" s="18" t="str">
        <f aca="false">IFERROR(IF(OR($C502="",COUNT($F502:$J502)&lt;3),"",IF(N(INDEX(Lists!$C$2:$C$40,MATCH($C502,Lists!$A$2:$A$40,0)))=0,"",IF(MIN($F502:$J502)&gt;=INDEX(Lists!$C$2:$C$40,MATCH($C502,Lists!$A$2:$A$40,0)),"LEVEL UP",""))),"")</f>
        <v/>
      </c>
      <c r="N502" s="20"/>
      <c r="O502" s="19"/>
    </row>
    <row r="503" customFormat="false" ht="15" hidden="false" customHeight="false" outlineLevel="0" collapsed="false">
      <c r="A503" s="17"/>
      <c r="B503" s="18" t="str">
        <f aca="false">IF($A503="","",TEXT($A503,"ddd"))</f>
        <v/>
      </c>
      <c r="C503" s="19"/>
      <c r="D503" s="19"/>
      <c r="E503" s="18" t="str">
        <f aca="false">IF($C503="","",IFERROR(INDEX(Lists!$B$2:$B$40,MATCH($C503,Lists!$A$2:$A$40,0)),""))</f>
        <v/>
      </c>
      <c r="F503" s="20"/>
      <c r="G503" s="20"/>
      <c r="H503" s="20"/>
      <c r="I503" s="20"/>
      <c r="J503" s="20"/>
      <c r="K503" s="18" t="str">
        <f aca="false">IF(COUNT($F503:$J503)=0,"",SUM($F503:$J503))</f>
        <v/>
      </c>
      <c r="L503" s="18" t="str">
        <f aca="false">IF(COUNT($F503:$J503)=0,"",MAX($F503:$J503))</f>
        <v/>
      </c>
      <c r="M503" s="18" t="str">
        <f aca="false">IFERROR(IF(OR($C503="",COUNT($F503:$J503)&lt;3),"",IF(N(INDEX(Lists!$C$2:$C$40,MATCH($C503,Lists!$A$2:$A$40,0)))=0,"",IF(MIN($F503:$J503)&gt;=INDEX(Lists!$C$2:$C$40,MATCH($C503,Lists!$A$2:$A$40,0)),"LEVEL UP",""))),"")</f>
        <v/>
      </c>
      <c r="N503" s="20"/>
      <c r="O503" s="19"/>
    </row>
    <row r="504" customFormat="false" ht="15" hidden="false" customHeight="false" outlineLevel="0" collapsed="false">
      <c r="A504" s="17"/>
      <c r="B504" s="18" t="str">
        <f aca="false">IF($A504="","",TEXT($A504,"ddd"))</f>
        <v/>
      </c>
      <c r="C504" s="19"/>
      <c r="D504" s="19"/>
      <c r="E504" s="18" t="str">
        <f aca="false">IF($C504="","",IFERROR(INDEX(Lists!$B$2:$B$40,MATCH($C504,Lists!$A$2:$A$40,0)),""))</f>
        <v/>
      </c>
      <c r="F504" s="20"/>
      <c r="G504" s="20"/>
      <c r="H504" s="20"/>
      <c r="I504" s="20"/>
      <c r="J504" s="20"/>
      <c r="K504" s="18" t="str">
        <f aca="false">IF(COUNT($F504:$J504)=0,"",SUM($F504:$J504))</f>
        <v/>
      </c>
      <c r="L504" s="18" t="str">
        <f aca="false">IF(COUNT($F504:$J504)=0,"",MAX($F504:$J504))</f>
        <v/>
      </c>
      <c r="M504" s="18" t="str">
        <f aca="false">IFERROR(IF(OR($C504="",COUNT($F504:$J504)&lt;3),"",IF(N(INDEX(Lists!$C$2:$C$40,MATCH($C504,Lists!$A$2:$A$40,0)))=0,"",IF(MIN($F504:$J504)&gt;=INDEX(Lists!$C$2:$C$40,MATCH($C504,Lists!$A$2:$A$40,0)),"LEVEL UP",""))),"")</f>
        <v/>
      </c>
      <c r="N504" s="20"/>
      <c r="O504" s="19"/>
    </row>
    <row r="505" customFormat="false" ht="15" hidden="false" customHeight="false" outlineLevel="0" collapsed="false">
      <c r="A505" s="17"/>
      <c r="B505" s="18" t="str">
        <f aca="false">IF($A505="","",TEXT($A505,"ddd"))</f>
        <v/>
      </c>
      <c r="C505" s="19"/>
      <c r="D505" s="19"/>
      <c r="E505" s="18" t="str">
        <f aca="false">IF($C505="","",IFERROR(INDEX(Lists!$B$2:$B$40,MATCH($C505,Lists!$A$2:$A$40,0)),""))</f>
        <v/>
      </c>
      <c r="F505" s="20"/>
      <c r="G505" s="20"/>
      <c r="H505" s="20"/>
      <c r="I505" s="20"/>
      <c r="J505" s="20"/>
      <c r="K505" s="18" t="str">
        <f aca="false">IF(COUNT($F505:$J505)=0,"",SUM($F505:$J505))</f>
        <v/>
      </c>
      <c r="L505" s="18" t="str">
        <f aca="false">IF(COUNT($F505:$J505)=0,"",MAX($F505:$J505))</f>
        <v/>
      </c>
      <c r="M505" s="18" t="str">
        <f aca="false">IFERROR(IF(OR($C505="",COUNT($F505:$J505)&lt;3),"",IF(N(INDEX(Lists!$C$2:$C$40,MATCH($C505,Lists!$A$2:$A$40,0)))=0,"",IF(MIN($F505:$J505)&gt;=INDEX(Lists!$C$2:$C$40,MATCH($C505,Lists!$A$2:$A$40,0)),"LEVEL UP",""))),"")</f>
        <v/>
      </c>
      <c r="N505" s="20"/>
      <c r="O505" s="19"/>
    </row>
    <row r="506" customFormat="false" ht="15" hidden="false" customHeight="false" outlineLevel="0" collapsed="false">
      <c r="A506" s="17"/>
      <c r="B506" s="18" t="str">
        <f aca="false">IF($A506="","",TEXT($A506,"ddd"))</f>
        <v/>
      </c>
      <c r="C506" s="19"/>
      <c r="D506" s="19"/>
      <c r="E506" s="18" t="str">
        <f aca="false">IF($C506="","",IFERROR(INDEX(Lists!$B$2:$B$40,MATCH($C506,Lists!$A$2:$A$40,0)),""))</f>
        <v/>
      </c>
      <c r="F506" s="20"/>
      <c r="G506" s="20"/>
      <c r="H506" s="20"/>
      <c r="I506" s="20"/>
      <c r="J506" s="20"/>
      <c r="K506" s="18" t="str">
        <f aca="false">IF(COUNT($F506:$J506)=0,"",SUM($F506:$J506))</f>
        <v/>
      </c>
      <c r="L506" s="18" t="str">
        <f aca="false">IF(COUNT($F506:$J506)=0,"",MAX($F506:$J506))</f>
        <v/>
      </c>
      <c r="M506" s="18" t="str">
        <f aca="false">IFERROR(IF(OR($C506="",COUNT($F506:$J506)&lt;3),"",IF(N(INDEX(Lists!$C$2:$C$40,MATCH($C506,Lists!$A$2:$A$40,0)))=0,"",IF(MIN($F506:$J506)&gt;=INDEX(Lists!$C$2:$C$40,MATCH($C506,Lists!$A$2:$A$40,0)),"LEVEL UP",""))),"")</f>
        <v/>
      </c>
      <c r="N506" s="20"/>
      <c r="O506" s="19"/>
    </row>
    <row r="507" customFormat="false" ht="15" hidden="false" customHeight="false" outlineLevel="0" collapsed="false">
      <c r="A507" s="17"/>
      <c r="B507" s="18" t="str">
        <f aca="false">IF($A507="","",TEXT($A507,"ddd"))</f>
        <v/>
      </c>
      <c r="C507" s="19"/>
      <c r="D507" s="19"/>
      <c r="E507" s="18" t="str">
        <f aca="false">IF($C507="","",IFERROR(INDEX(Lists!$B$2:$B$40,MATCH($C507,Lists!$A$2:$A$40,0)),""))</f>
        <v/>
      </c>
      <c r="F507" s="20"/>
      <c r="G507" s="20"/>
      <c r="H507" s="20"/>
      <c r="I507" s="20"/>
      <c r="J507" s="20"/>
      <c r="K507" s="18" t="str">
        <f aca="false">IF(COUNT($F507:$J507)=0,"",SUM($F507:$J507))</f>
        <v/>
      </c>
      <c r="L507" s="18" t="str">
        <f aca="false">IF(COUNT($F507:$J507)=0,"",MAX($F507:$J507))</f>
        <v/>
      </c>
      <c r="M507" s="18" t="str">
        <f aca="false">IFERROR(IF(OR($C507="",COUNT($F507:$J507)&lt;3),"",IF(N(INDEX(Lists!$C$2:$C$40,MATCH($C507,Lists!$A$2:$A$40,0)))=0,"",IF(MIN($F507:$J507)&gt;=INDEX(Lists!$C$2:$C$40,MATCH($C507,Lists!$A$2:$A$40,0)),"LEVEL UP",""))),"")</f>
        <v/>
      </c>
      <c r="N507" s="20"/>
      <c r="O507" s="19"/>
    </row>
    <row r="508" customFormat="false" ht="15" hidden="false" customHeight="false" outlineLevel="0" collapsed="false">
      <c r="A508" s="17"/>
      <c r="B508" s="18" t="str">
        <f aca="false">IF($A508="","",TEXT($A508,"ddd"))</f>
        <v/>
      </c>
      <c r="C508" s="19"/>
      <c r="D508" s="19"/>
      <c r="E508" s="18" t="str">
        <f aca="false">IF($C508="","",IFERROR(INDEX(Lists!$B$2:$B$40,MATCH($C508,Lists!$A$2:$A$40,0)),""))</f>
        <v/>
      </c>
      <c r="F508" s="20"/>
      <c r="G508" s="20"/>
      <c r="H508" s="20"/>
      <c r="I508" s="20"/>
      <c r="J508" s="20"/>
      <c r="K508" s="18" t="str">
        <f aca="false">IF(COUNT($F508:$J508)=0,"",SUM($F508:$J508))</f>
        <v/>
      </c>
      <c r="L508" s="18" t="str">
        <f aca="false">IF(COUNT($F508:$J508)=0,"",MAX($F508:$J508))</f>
        <v/>
      </c>
      <c r="M508" s="18" t="str">
        <f aca="false">IFERROR(IF(OR($C508="",COUNT($F508:$J508)&lt;3),"",IF(N(INDEX(Lists!$C$2:$C$40,MATCH($C508,Lists!$A$2:$A$40,0)))=0,"",IF(MIN($F508:$J508)&gt;=INDEX(Lists!$C$2:$C$40,MATCH($C508,Lists!$A$2:$A$40,0)),"LEVEL UP",""))),"")</f>
        <v/>
      </c>
      <c r="N508" s="20"/>
      <c r="O508" s="19"/>
    </row>
    <row r="509" customFormat="false" ht="15" hidden="false" customHeight="false" outlineLevel="0" collapsed="false">
      <c r="A509" s="17"/>
      <c r="B509" s="18" t="str">
        <f aca="false">IF($A509="","",TEXT($A509,"ddd"))</f>
        <v/>
      </c>
      <c r="C509" s="19"/>
      <c r="D509" s="19"/>
      <c r="E509" s="18" t="str">
        <f aca="false">IF($C509="","",IFERROR(INDEX(Lists!$B$2:$B$40,MATCH($C509,Lists!$A$2:$A$40,0)),""))</f>
        <v/>
      </c>
      <c r="F509" s="20"/>
      <c r="G509" s="20"/>
      <c r="H509" s="20"/>
      <c r="I509" s="20"/>
      <c r="J509" s="20"/>
      <c r="K509" s="18" t="str">
        <f aca="false">IF(COUNT($F509:$J509)=0,"",SUM($F509:$J509))</f>
        <v/>
      </c>
      <c r="L509" s="18" t="str">
        <f aca="false">IF(COUNT($F509:$J509)=0,"",MAX($F509:$J509))</f>
        <v/>
      </c>
      <c r="M509" s="18" t="str">
        <f aca="false">IFERROR(IF(OR($C509="",COUNT($F509:$J509)&lt;3),"",IF(N(INDEX(Lists!$C$2:$C$40,MATCH($C509,Lists!$A$2:$A$40,0)))=0,"",IF(MIN($F509:$J509)&gt;=INDEX(Lists!$C$2:$C$40,MATCH($C509,Lists!$A$2:$A$40,0)),"LEVEL UP",""))),"")</f>
        <v/>
      </c>
      <c r="N509" s="20"/>
      <c r="O509" s="19"/>
    </row>
    <row r="510" customFormat="false" ht="15" hidden="false" customHeight="false" outlineLevel="0" collapsed="false">
      <c r="A510" s="17"/>
      <c r="B510" s="18" t="str">
        <f aca="false">IF($A510="","",TEXT($A510,"ddd"))</f>
        <v/>
      </c>
      <c r="C510" s="19"/>
      <c r="D510" s="19"/>
      <c r="E510" s="18" t="str">
        <f aca="false">IF($C510="","",IFERROR(INDEX(Lists!$B$2:$B$40,MATCH($C510,Lists!$A$2:$A$40,0)),""))</f>
        <v/>
      </c>
      <c r="F510" s="20"/>
      <c r="G510" s="20"/>
      <c r="H510" s="20"/>
      <c r="I510" s="20"/>
      <c r="J510" s="20"/>
      <c r="K510" s="18" t="str">
        <f aca="false">IF(COUNT($F510:$J510)=0,"",SUM($F510:$J510))</f>
        <v/>
      </c>
      <c r="L510" s="18" t="str">
        <f aca="false">IF(COUNT($F510:$J510)=0,"",MAX($F510:$J510))</f>
        <v/>
      </c>
      <c r="M510" s="18" t="str">
        <f aca="false">IFERROR(IF(OR($C510="",COUNT($F510:$J510)&lt;3),"",IF(N(INDEX(Lists!$C$2:$C$40,MATCH($C510,Lists!$A$2:$A$40,0)))=0,"",IF(MIN($F510:$J510)&gt;=INDEX(Lists!$C$2:$C$40,MATCH($C510,Lists!$A$2:$A$40,0)),"LEVEL UP",""))),"")</f>
        <v/>
      </c>
      <c r="N510" s="20"/>
      <c r="O510" s="19"/>
    </row>
    <row r="511" customFormat="false" ht="15" hidden="false" customHeight="false" outlineLevel="0" collapsed="false">
      <c r="A511" s="17"/>
      <c r="B511" s="18" t="str">
        <f aca="false">IF($A511="","",TEXT($A511,"ddd"))</f>
        <v/>
      </c>
      <c r="C511" s="19"/>
      <c r="D511" s="19"/>
      <c r="E511" s="18" t="str">
        <f aca="false">IF($C511="","",IFERROR(INDEX(Lists!$B$2:$B$40,MATCH($C511,Lists!$A$2:$A$40,0)),""))</f>
        <v/>
      </c>
      <c r="F511" s="20"/>
      <c r="G511" s="20"/>
      <c r="H511" s="20"/>
      <c r="I511" s="20"/>
      <c r="J511" s="20"/>
      <c r="K511" s="18" t="str">
        <f aca="false">IF(COUNT($F511:$J511)=0,"",SUM($F511:$J511))</f>
        <v/>
      </c>
      <c r="L511" s="18" t="str">
        <f aca="false">IF(COUNT($F511:$J511)=0,"",MAX($F511:$J511))</f>
        <v/>
      </c>
      <c r="M511" s="18" t="str">
        <f aca="false">IFERROR(IF(OR($C511="",COUNT($F511:$J511)&lt;3),"",IF(N(INDEX(Lists!$C$2:$C$40,MATCH($C511,Lists!$A$2:$A$40,0)))=0,"",IF(MIN($F511:$J511)&gt;=INDEX(Lists!$C$2:$C$40,MATCH($C511,Lists!$A$2:$A$40,0)),"LEVEL UP",""))),"")</f>
        <v/>
      </c>
      <c r="N511" s="20"/>
      <c r="O511" s="19"/>
    </row>
    <row r="512" customFormat="false" ht="15" hidden="false" customHeight="false" outlineLevel="0" collapsed="false">
      <c r="A512" s="17"/>
      <c r="B512" s="18" t="str">
        <f aca="false">IF($A512="","",TEXT($A512,"ddd"))</f>
        <v/>
      </c>
      <c r="C512" s="19"/>
      <c r="D512" s="19"/>
      <c r="E512" s="18" t="str">
        <f aca="false">IF($C512="","",IFERROR(INDEX(Lists!$B$2:$B$40,MATCH($C512,Lists!$A$2:$A$40,0)),""))</f>
        <v/>
      </c>
      <c r="F512" s="20"/>
      <c r="G512" s="20"/>
      <c r="H512" s="20"/>
      <c r="I512" s="20"/>
      <c r="J512" s="20"/>
      <c r="K512" s="18" t="str">
        <f aca="false">IF(COUNT($F512:$J512)=0,"",SUM($F512:$J512))</f>
        <v/>
      </c>
      <c r="L512" s="18" t="str">
        <f aca="false">IF(COUNT($F512:$J512)=0,"",MAX($F512:$J512))</f>
        <v/>
      </c>
      <c r="M512" s="18" t="str">
        <f aca="false">IFERROR(IF(OR($C512="",COUNT($F512:$J512)&lt;3),"",IF(N(INDEX(Lists!$C$2:$C$40,MATCH($C512,Lists!$A$2:$A$40,0)))=0,"",IF(MIN($F512:$J512)&gt;=INDEX(Lists!$C$2:$C$40,MATCH($C512,Lists!$A$2:$A$40,0)),"LEVEL UP",""))),"")</f>
        <v/>
      </c>
      <c r="N512" s="20"/>
      <c r="O512" s="19"/>
    </row>
    <row r="513" customFormat="false" ht="15" hidden="false" customHeight="false" outlineLevel="0" collapsed="false">
      <c r="A513" s="17"/>
      <c r="B513" s="18" t="str">
        <f aca="false">IF($A513="","",TEXT($A513,"ddd"))</f>
        <v/>
      </c>
      <c r="C513" s="19"/>
      <c r="D513" s="19"/>
      <c r="E513" s="18" t="str">
        <f aca="false">IF($C513="","",IFERROR(INDEX(Lists!$B$2:$B$40,MATCH($C513,Lists!$A$2:$A$40,0)),""))</f>
        <v/>
      </c>
      <c r="F513" s="20"/>
      <c r="G513" s="20"/>
      <c r="H513" s="20"/>
      <c r="I513" s="20"/>
      <c r="J513" s="20"/>
      <c r="K513" s="18" t="str">
        <f aca="false">IF(COUNT($F513:$J513)=0,"",SUM($F513:$J513))</f>
        <v/>
      </c>
      <c r="L513" s="18" t="str">
        <f aca="false">IF(COUNT($F513:$J513)=0,"",MAX($F513:$J513))</f>
        <v/>
      </c>
      <c r="M513" s="18" t="str">
        <f aca="false">IFERROR(IF(OR($C513="",COUNT($F513:$J513)&lt;3),"",IF(N(INDEX(Lists!$C$2:$C$40,MATCH($C513,Lists!$A$2:$A$40,0)))=0,"",IF(MIN($F513:$J513)&gt;=INDEX(Lists!$C$2:$C$40,MATCH($C513,Lists!$A$2:$A$40,0)),"LEVEL UP",""))),"")</f>
        <v/>
      </c>
      <c r="N513" s="20"/>
      <c r="O513" s="19"/>
    </row>
    <row r="514" customFormat="false" ht="15" hidden="false" customHeight="false" outlineLevel="0" collapsed="false">
      <c r="A514" s="17"/>
      <c r="B514" s="18" t="str">
        <f aca="false">IF($A514="","",TEXT($A514,"ddd"))</f>
        <v/>
      </c>
      <c r="C514" s="19"/>
      <c r="D514" s="19"/>
      <c r="E514" s="18" t="str">
        <f aca="false">IF($C514="","",IFERROR(INDEX(Lists!$B$2:$B$40,MATCH($C514,Lists!$A$2:$A$40,0)),""))</f>
        <v/>
      </c>
      <c r="F514" s="20"/>
      <c r="G514" s="20"/>
      <c r="H514" s="20"/>
      <c r="I514" s="20"/>
      <c r="J514" s="20"/>
      <c r="K514" s="18" t="str">
        <f aca="false">IF(COUNT($F514:$J514)=0,"",SUM($F514:$J514))</f>
        <v/>
      </c>
      <c r="L514" s="18" t="str">
        <f aca="false">IF(COUNT($F514:$J514)=0,"",MAX($F514:$J514))</f>
        <v/>
      </c>
      <c r="M514" s="18" t="str">
        <f aca="false">IFERROR(IF(OR($C514="",COUNT($F514:$J514)&lt;3),"",IF(N(INDEX(Lists!$C$2:$C$40,MATCH($C514,Lists!$A$2:$A$40,0)))=0,"",IF(MIN($F514:$J514)&gt;=INDEX(Lists!$C$2:$C$40,MATCH($C514,Lists!$A$2:$A$40,0)),"LEVEL UP",""))),"")</f>
        <v/>
      </c>
      <c r="N514" s="20"/>
      <c r="O514" s="19"/>
    </row>
    <row r="515" customFormat="false" ht="15" hidden="false" customHeight="false" outlineLevel="0" collapsed="false">
      <c r="A515" s="17"/>
      <c r="B515" s="18" t="str">
        <f aca="false">IF($A515="","",TEXT($A515,"ddd"))</f>
        <v/>
      </c>
      <c r="C515" s="19"/>
      <c r="D515" s="19"/>
      <c r="E515" s="18" t="str">
        <f aca="false">IF($C515="","",IFERROR(INDEX(Lists!$B$2:$B$40,MATCH($C515,Lists!$A$2:$A$40,0)),""))</f>
        <v/>
      </c>
      <c r="F515" s="20"/>
      <c r="G515" s="20"/>
      <c r="H515" s="20"/>
      <c r="I515" s="20"/>
      <c r="J515" s="20"/>
      <c r="K515" s="18" t="str">
        <f aca="false">IF(COUNT($F515:$J515)=0,"",SUM($F515:$J515))</f>
        <v/>
      </c>
      <c r="L515" s="18" t="str">
        <f aca="false">IF(COUNT($F515:$J515)=0,"",MAX($F515:$J515))</f>
        <v/>
      </c>
      <c r="M515" s="18" t="str">
        <f aca="false">IFERROR(IF(OR($C515="",COUNT($F515:$J515)&lt;3),"",IF(N(INDEX(Lists!$C$2:$C$40,MATCH($C515,Lists!$A$2:$A$40,0)))=0,"",IF(MIN($F515:$J515)&gt;=INDEX(Lists!$C$2:$C$40,MATCH($C515,Lists!$A$2:$A$40,0)),"LEVEL UP",""))),"")</f>
        <v/>
      </c>
      <c r="N515" s="20"/>
      <c r="O515" s="19"/>
    </row>
    <row r="516" customFormat="false" ht="15" hidden="false" customHeight="false" outlineLevel="0" collapsed="false">
      <c r="A516" s="17"/>
      <c r="B516" s="18" t="str">
        <f aca="false">IF($A516="","",TEXT($A516,"ddd"))</f>
        <v/>
      </c>
      <c r="C516" s="19"/>
      <c r="D516" s="19"/>
      <c r="E516" s="18" t="str">
        <f aca="false">IF($C516="","",IFERROR(INDEX(Lists!$B$2:$B$40,MATCH($C516,Lists!$A$2:$A$40,0)),""))</f>
        <v/>
      </c>
      <c r="F516" s="20"/>
      <c r="G516" s="20"/>
      <c r="H516" s="20"/>
      <c r="I516" s="20"/>
      <c r="J516" s="20"/>
      <c r="K516" s="18" t="str">
        <f aca="false">IF(COUNT($F516:$J516)=0,"",SUM($F516:$J516))</f>
        <v/>
      </c>
      <c r="L516" s="18" t="str">
        <f aca="false">IF(COUNT($F516:$J516)=0,"",MAX($F516:$J516))</f>
        <v/>
      </c>
      <c r="M516" s="18" t="str">
        <f aca="false">IFERROR(IF(OR($C516="",COUNT($F516:$J516)&lt;3),"",IF(N(INDEX(Lists!$C$2:$C$40,MATCH($C516,Lists!$A$2:$A$40,0)))=0,"",IF(MIN($F516:$J516)&gt;=INDEX(Lists!$C$2:$C$40,MATCH($C516,Lists!$A$2:$A$40,0)),"LEVEL UP",""))),"")</f>
        <v/>
      </c>
      <c r="N516" s="20"/>
      <c r="O516" s="19"/>
    </row>
    <row r="517" customFormat="false" ht="15" hidden="false" customHeight="false" outlineLevel="0" collapsed="false">
      <c r="A517" s="17"/>
      <c r="B517" s="18" t="str">
        <f aca="false">IF($A517="","",TEXT($A517,"ddd"))</f>
        <v/>
      </c>
      <c r="C517" s="19"/>
      <c r="D517" s="19"/>
      <c r="E517" s="18" t="str">
        <f aca="false">IF($C517="","",IFERROR(INDEX(Lists!$B$2:$B$40,MATCH($C517,Lists!$A$2:$A$40,0)),""))</f>
        <v/>
      </c>
      <c r="F517" s="20"/>
      <c r="G517" s="20"/>
      <c r="H517" s="20"/>
      <c r="I517" s="20"/>
      <c r="J517" s="20"/>
      <c r="K517" s="18" t="str">
        <f aca="false">IF(COUNT($F517:$J517)=0,"",SUM($F517:$J517))</f>
        <v/>
      </c>
      <c r="L517" s="18" t="str">
        <f aca="false">IF(COUNT($F517:$J517)=0,"",MAX($F517:$J517))</f>
        <v/>
      </c>
      <c r="M517" s="18" t="str">
        <f aca="false">IFERROR(IF(OR($C517="",COUNT($F517:$J517)&lt;3),"",IF(N(INDEX(Lists!$C$2:$C$40,MATCH($C517,Lists!$A$2:$A$40,0)))=0,"",IF(MIN($F517:$J517)&gt;=INDEX(Lists!$C$2:$C$40,MATCH($C517,Lists!$A$2:$A$40,0)),"LEVEL UP",""))),"")</f>
        <v/>
      </c>
      <c r="N517" s="20"/>
      <c r="O517" s="19"/>
    </row>
    <row r="518" customFormat="false" ht="15" hidden="false" customHeight="false" outlineLevel="0" collapsed="false">
      <c r="A518" s="17"/>
      <c r="B518" s="18" t="str">
        <f aca="false">IF($A518="","",TEXT($A518,"ddd"))</f>
        <v/>
      </c>
      <c r="C518" s="19"/>
      <c r="D518" s="19"/>
      <c r="E518" s="18" t="str">
        <f aca="false">IF($C518="","",IFERROR(INDEX(Lists!$B$2:$B$40,MATCH($C518,Lists!$A$2:$A$40,0)),""))</f>
        <v/>
      </c>
      <c r="F518" s="20"/>
      <c r="G518" s="20"/>
      <c r="H518" s="20"/>
      <c r="I518" s="20"/>
      <c r="J518" s="20"/>
      <c r="K518" s="18" t="str">
        <f aca="false">IF(COUNT($F518:$J518)=0,"",SUM($F518:$J518))</f>
        <v/>
      </c>
      <c r="L518" s="18" t="str">
        <f aca="false">IF(COUNT($F518:$J518)=0,"",MAX($F518:$J518))</f>
        <v/>
      </c>
      <c r="M518" s="18" t="str">
        <f aca="false">IFERROR(IF(OR($C518="",COUNT($F518:$J518)&lt;3),"",IF(N(INDEX(Lists!$C$2:$C$40,MATCH($C518,Lists!$A$2:$A$40,0)))=0,"",IF(MIN($F518:$J518)&gt;=INDEX(Lists!$C$2:$C$40,MATCH($C518,Lists!$A$2:$A$40,0)),"LEVEL UP",""))),"")</f>
        <v/>
      </c>
      <c r="N518" s="20"/>
      <c r="O518" s="19"/>
    </row>
    <row r="519" customFormat="false" ht="15" hidden="false" customHeight="false" outlineLevel="0" collapsed="false">
      <c r="A519" s="17"/>
      <c r="B519" s="18" t="str">
        <f aca="false">IF($A519="","",TEXT($A519,"ddd"))</f>
        <v/>
      </c>
      <c r="C519" s="19"/>
      <c r="D519" s="19"/>
      <c r="E519" s="18" t="str">
        <f aca="false">IF($C519="","",IFERROR(INDEX(Lists!$B$2:$B$40,MATCH($C519,Lists!$A$2:$A$40,0)),""))</f>
        <v/>
      </c>
      <c r="F519" s="20"/>
      <c r="G519" s="20"/>
      <c r="H519" s="20"/>
      <c r="I519" s="20"/>
      <c r="J519" s="20"/>
      <c r="K519" s="18" t="str">
        <f aca="false">IF(COUNT($F519:$J519)=0,"",SUM($F519:$J519))</f>
        <v/>
      </c>
      <c r="L519" s="18" t="str">
        <f aca="false">IF(COUNT($F519:$J519)=0,"",MAX($F519:$J519))</f>
        <v/>
      </c>
      <c r="M519" s="18" t="str">
        <f aca="false">IFERROR(IF(OR($C519="",COUNT($F519:$J519)&lt;3),"",IF(N(INDEX(Lists!$C$2:$C$40,MATCH($C519,Lists!$A$2:$A$40,0)))=0,"",IF(MIN($F519:$J519)&gt;=INDEX(Lists!$C$2:$C$40,MATCH($C519,Lists!$A$2:$A$40,0)),"LEVEL UP",""))),"")</f>
        <v/>
      </c>
      <c r="N519" s="20"/>
      <c r="O519" s="19"/>
    </row>
    <row r="520" customFormat="false" ht="15" hidden="false" customHeight="false" outlineLevel="0" collapsed="false">
      <c r="A520" s="17"/>
      <c r="B520" s="18" t="str">
        <f aca="false">IF($A520="","",TEXT($A520,"ddd"))</f>
        <v/>
      </c>
      <c r="C520" s="19"/>
      <c r="D520" s="19"/>
      <c r="E520" s="18" t="str">
        <f aca="false">IF($C520="","",IFERROR(INDEX(Lists!$B$2:$B$40,MATCH($C520,Lists!$A$2:$A$40,0)),""))</f>
        <v/>
      </c>
      <c r="F520" s="20"/>
      <c r="G520" s="20"/>
      <c r="H520" s="20"/>
      <c r="I520" s="20"/>
      <c r="J520" s="20"/>
      <c r="K520" s="18" t="str">
        <f aca="false">IF(COUNT($F520:$J520)=0,"",SUM($F520:$J520))</f>
        <v/>
      </c>
      <c r="L520" s="18" t="str">
        <f aca="false">IF(COUNT($F520:$J520)=0,"",MAX($F520:$J520))</f>
        <v/>
      </c>
      <c r="M520" s="18" t="str">
        <f aca="false">IFERROR(IF(OR($C520="",COUNT($F520:$J520)&lt;3),"",IF(N(INDEX(Lists!$C$2:$C$40,MATCH($C520,Lists!$A$2:$A$40,0)))=0,"",IF(MIN($F520:$J520)&gt;=INDEX(Lists!$C$2:$C$40,MATCH($C520,Lists!$A$2:$A$40,0)),"LEVEL UP",""))),"")</f>
        <v/>
      </c>
      <c r="N520" s="20"/>
      <c r="O520" s="19"/>
    </row>
    <row r="521" customFormat="false" ht="15" hidden="false" customHeight="false" outlineLevel="0" collapsed="false">
      <c r="A521" s="17"/>
      <c r="B521" s="18" t="str">
        <f aca="false">IF($A521="","",TEXT($A521,"ddd"))</f>
        <v/>
      </c>
      <c r="C521" s="19"/>
      <c r="D521" s="19"/>
      <c r="E521" s="18" t="str">
        <f aca="false">IF($C521="","",IFERROR(INDEX(Lists!$B$2:$B$40,MATCH($C521,Lists!$A$2:$A$40,0)),""))</f>
        <v/>
      </c>
      <c r="F521" s="20"/>
      <c r="G521" s="20"/>
      <c r="H521" s="20"/>
      <c r="I521" s="20"/>
      <c r="J521" s="20"/>
      <c r="K521" s="18" t="str">
        <f aca="false">IF(COUNT($F521:$J521)=0,"",SUM($F521:$J521))</f>
        <v/>
      </c>
      <c r="L521" s="18" t="str">
        <f aca="false">IF(COUNT($F521:$J521)=0,"",MAX($F521:$J521))</f>
        <v/>
      </c>
      <c r="M521" s="18" t="str">
        <f aca="false">IFERROR(IF(OR($C521="",COUNT($F521:$J521)&lt;3),"",IF(N(INDEX(Lists!$C$2:$C$40,MATCH($C521,Lists!$A$2:$A$40,0)))=0,"",IF(MIN($F521:$J521)&gt;=INDEX(Lists!$C$2:$C$40,MATCH($C521,Lists!$A$2:$A$40,0)),"LEVEL UP",""))),"")</f>
        <v/>
      </c>
      <c r="N521" s="20"/>
      <c r="O521" s="19"/>
    </row>
    <row r="522" customFormat="false" ht="15" hidden="false" customHeight="false" outlineLevel="0" collapsed="false">
      <c r="A522" s="17"/>
      <c r="B522" s="18" t="str">
        <f aca="false">IF($A522="","",TEXT($A522,"ddd"))</f>
        <v/>
      </c>
      <c r="C522" s="19"/>
      <c r="D522" s="19"/>
      <c r="E522" s="18" t="str">
        <f aca="false">IF($C522="","",IFERROR(INDEX(Lists!$B$2:$B$40,MATCH($C522,Lists!$A$2:$A$40,0)),""))</f>
        <v/>
      </c>
      <c r="F522" s="20"/>
      <c r="G522" s="20"/>
      <c r="H522" s="20"/>
      <c r="I522" s="20"/>
      <c r="J522" s="20"/>
      <c r="K522" s="18" t="str">
        <f aca="false">IF(COUNT($F522:$J522)=0,"",SUM($F522:$J522))</f>
        <v/>
      </c>
      <c r="L522" s="18" t="str">
        <f aca="false">IF(COUNT($F522:$J522)=0,"",MAX($F522:$J522))</f>
        <v/>
      </c>
      <c r="M522" s="18" t="str">
        <f aca="false">IFERROR(IF(OR($C522="",COUNT($F522:$J522)&lt;3),"",IF(N(INDEX(Lists!$C$2:$C$40,MATCH($C522,Lists!$A$2:$A$40,0)))=0,"",IF(MIN($F522:$J522)&gt;=INDEX(Lists!$C$2:$C$40,MATCH($C522,Lists!$A$2:$A$40,0)),"LEVEL UP",""))),"")</f>
        <v/>
      </c>
      <c r="N522" s="20"/>
      <c r="O522" s="19"/>
    </row>
    <row r="523" customFormat="false" ht="15" hidden="false" customHeight="false" outlineLevel="0" collapsed="false">
      <c r="A523" s="17"/>
      <c r="B523" s="18" t="str">
        <f aca="false">IF($A523="","",TEXT($A523,"ddd"))</f>
        <v/>
      </c>
      <c r="C523" s="19"/>
      <c r="D523" s="19"/>
      <c r="E523" s="18" t="str">
        <f aca="false">IF($C523="","",IFERROR(INDEX(Lists!$B$2:$B$40,MATCH($C523,Lists!$A$2:$A$40,0)),""))</f>
        <v/>
      </c>
      <c r="F523" s="20"/>
      <c r="G523" s="20"/>
      <c r="H523" s="20"/>
      <c r="I523" s="20"/>
      <c r="J523" s="20"/>
      <c r="K523" s="18" t="str">
        <f aca="false">IF(COUNT($F523:$J523)=0,"",SUM($F523:$J523))</f>
        <v/>
      </c>
      <c r="L523" s="18" t="str">
        <f aca="false">IF(COUNT($F523:$J523)=0,"",MAX($F523:$J523))</f>
        <v/>
      </c>
      <c r="M523" s="18" t="str">
        <f aca="false">IFERROR(IF(OR($C523="",COUNT($F523:$J523)&lt;3),"",IF(N(INDEX(Lists!$C$2:$C$40,MATCH($C523,Lists!$A$2:$A$40,0)))=0,"",IF(MIN($F523:$J523)&gt;=INDEX(Lists!$C$2:$C$40,MATCH($C523,Lists!$A$2:$A$40,0)),"LEVEL UP",""))),"")</f>
        <v/>
      </c>
      <c r="N523" s="20"/>
      <c r="O523" s="19"/>
    </row>
    <row r="524" customFormat="false" ht="15" hidden="false" customHeight="false" outlineLevel="0" collapsed="false">
      <c r="A524" s="17"/>
      <c r="B524" s="18" t="str">
        <f aca="false">IF($A524="","",TEXT($A524,"ddd"))</f>
        <v/>
      </c>
      <c r="C524" s="19"/>
      <c r="D524" s="19"/>
      <c r="E524" s="18" t="str">
        <f aca="false">IF($C524="","",IFERROR(INDEX(Lists!$B$2:$B$40,MATCH($C524,Lists!$A$2:$A$40,0)),""))</f>
        <v/>
      </c>
      <c r="F524" s="20"/>
      <c r="G524" s="20"/>
      <c r="H524" s="20"/>
      <c r="I524" s="20"/>
      <c r="J524" s="20"/>
      <c r="K524" s="18" t="str">
        <f aca="false">IF(COUNT($F524:$J524)=0,"",SUM($F524:$J524))</f>
        <v/>
      </c>
      <c r="L524" s="18" t="str">
        <f aca="false">IF(COUNT($F524:$J524)=0,"",MAX($F524:$J524))</f>
        <v/>
      </c>
      <c r="M524" s="18" t="str">
        <f aca="false">IFERROR(IF(OR($C524="",COUNT($F524:$J524)&lt;3),"",IF(N(INDEX(Lists!$C$2:$C$40,MATCH($C524,Lists!$A$2:$A$40,0)))=0,"",IF(MIN($F524:$J524)&gt;=INDEX(Lists!$C$2:$C$40,MATCH($C524,Lists!$A$2:$A$40,0)),"LEVEL UP",""))),"")</f>
        <v/>
      </c>
      <c r="N524" s="20"/>
      <c r="O524" s="19"/>
    </row>
    <row r="525" customFormat="false" ht="15" hidden="false" customHeight="false" outlineLevel="0" collapsed="false">
      <c r="A525" s="17"/>
      <c r="B525" s="18" t="str">
        <f aca="false">IF($A525="","",TEXT($A525,"ddd"))</f>
        <v/>
      </c>
      <c r="C525" s="19"/>
      <c r="D525" s="19"/>
      <c r="E525" s="18" t="str">
        <f aca="false">IF($C525="","",IFERROR(INDEX(Lists!$B$2:$B$40,MATCH($C525,Lists!$A$2:$A$40,0)),""))</f>
        <v/>
      </c>
      <c r="F525" s="20"/>
      <c r="G525" s="20"/>
      <c r="H525" s="20"/>
      <c r="I525" s="20"/>
      <c r="J525" s="20"/>
      <c r="K525" s="18" t="str">
        <f aca="false">IF(COUNT($F525:$J525)=0,"",SUM($F525:$J525))</f>
        <v/>
      </c>
      <c r="L525" s="18" t="str">
        <f aca="false">IF(COUNT($F525:$J525)=0,"",MAX($F525:$J525))</f>
        <v/>
      </c>
      <c r="M525" s="18" t="str">
        <f aca="false">IFERROR(IF(OR($C525="",COUNT($F525:$J525)&lt;3),"",IF(N(INDEX(Lists!$C$2:$C$40,MATCH($C525,Lists!$A$2:$A$40,0)))=0,"",IF(MIN($F525:$J525)&gt;=INDEX(Lists!$C$2:$C$40,MATCH($C525,Lists!$A$2:$A$40,0)),"LEVEL UP",""))),"")</f>
        <v/>
      </c>
      <c r="N525" s="20"/>
      <c r="O525" s="19"/>
    </row>
    <row r="526" customFormat="false" ht="15" hidden="false" customHeight="false" outlineLevel="0" collapsed="false">
      <c r="A526" s="17"/>
      <c r="B526" s="18" t="str">
        <f aca="false">IF($A526="","",TEXT($A526,"ddd"))</f>
        <v/>
      </c>
      <c r="C526" s="19"/>
      <c r="D526" s="19"/>
      <c r="E526" s="18" t="str">
        <f aca="false">IF($C526="","",IFERROR(INDEX(Lists!$B$2:$B$40,MATCH($C526,Lists!$A$2:$A$40,0)),""))</f>
        <v/>
      </c>
      <c r="F526" s="20"/>
      <c r="G526" s="20"/>
      <c r="H526" s="20"/>
      <c r="I526" s="20"/>
      <c r="J526" s="20"/>
      <c r="K526" s="18" t="str">
        <f aca="false">IF(COUNT($F526:$J526)=0,"",SUM($F526:$J526))</f>
        <v/>
      </c>
      <c r="L526" s="18" t="str">
        <f aca="false">IF(COUNT($F526:$J526)=0,"",MAX($F526:$J526))</f>
        <v/>
      </c>
      <c r="M526" s="18" t="str">
        <f aca="false">IFERROR(IF(OR($C526="",COUNT($F526:$J526)&lt;3),"",IF(N(INDEX(Lists!$C$2:$C$40,MATCH($C526,Lists!$A$2:$A$40,0)))=0,"",IF(MIN($F526:$J526)&gt;=INDEX(Lists!$C$2:$C$40,MATCH($C526,Lists!$A$2:$A$40,0)),"LEVEL UP",""))),"")</f>
        <v/>
      </c>
      <c r="N526" s="20"/>
      <c r="O526" s="19"/>
    </row>
    <row r="527" customFormat="false" ht="15" hidden="false" customHeight="false" outlineLevel="0" collapsed="false">
      <c r="A527" s="17"/>
      <c r="B527" s="18" t="str">
        <f aca="false">IF($A527="","",TEXT($A527,"ddd"))</f>
        <v/>
      </c>
      <c r="C527" s="19"/>
      <c r="D527" s="19"/>
      <c r="E527" s="18" t="str">
        <f aca="false">IF($C527="","",IFERROR(INDEX(Lists!$B$2:$B$40,MATCH($C527,Lists!$A$2:$A$40,0)),""))</f>
        <v/>
      </c>
      <c r="F527" s="20"/>
      <c r="G527" s="20"/>
      <c r="H527" s="20"/>
      <c r="I527" s="20"/>
      <c r="J527" s="20"/>
      <c r="K527" s="18" t="str">
        <f aca="false">IF(COUNT($F527:$J527)=0,"",SUM($F527:$J527))</f>
        <v/>
      </c>
      <c r="L527" s="18" t="str">
        <f aca="false">IF(COUNT($F527:$J527)=0,"",MAX($F527:$J527))</f>
        <v/>
      </c>
      <c r="M527" s="18" t="str">
        <f aca="false">IFERROR(IF(OR($C527="",COUNT($F527:$J527)&lt;3),"",IF(N(INDEX(Lists!$C$2:$C$40,MATCH($C527,Lists!$A$2:$A$40,0)))=0,"",IF(MIN($F527:$J527)&gt;=INDEX(Lists!$C$2:$C$40,MATCH($C527,Lists!$A$2:$A$40,0)),"LEVEL UP",""))),"")</f>
        <v/>
      </c>
      <c r="N527" s="20"/>
      <c r="O527" s="19"/>
    </row>
    <row r="528" customFormat="false" ht="15" hidden="false" customHeight="false" outlineLevel="0" collapsed="false">
      <c r="A528" s="17"/>
      <c r="B528" s="18" t="str">
        <f aca="false">IF($A528="","",TEXT($A528,"ddd"))</f>
        <v/>
      </c>
      <c r="C528" s="19"/>
      <c r="D528" s="19"/>
      <c r="E528" s="18" t="str">
        <f aca="false">IF($C528="","",IFERROR(INDEX(Lists!$B$2:$B$40,MATCH($C528,Lists!$A$2:$A$40,0)),""))</f>
        <v/>
      </c>
      <c r="F528" s="20"/>
      <c r="G528" s="20"/>
      <c r="H528" s="20"/>
      <c r="I528" s="20"/>
      <c r="J528" s="20"/>
      <c r="K528" s="18" t="str">
        <f aca="false">IF(COUNT($F528:$J528)=0,"",SUM($F528:$J528))</f>
        <v/>
      </c>
      <c r="L528" s="18" t="str">
        <f aca="false">IF(COUNT($F528:$J528)=0,"",MAX($F528:$J528))</f>
        <v/>
      </c>
      <c r="M528" s="18" t="str">
        <f aca="false">IFERROR(IF(OR($C528="",COUNT($F528:$J528)&lt;3),"",IF(N(INDEX(Lists!$C$2:$C$40,MATCH($C528,Lists!$A$2:$A$40,0)))=0,"",IF(MIN($F528:$J528)&gt;=INDEX(Lists!$C$2:$C$40,MATCH($C528,Lists!$A$2:$A$40,0)),"LEVEL UP",""))),"")</f>
        <v/>
      </c>
      <c r="N528" s="20"/>
      <c r="O528" s="19"/>
    </row>
    <row r="529" customFormat="false" ht="15" hidden="false" customHeight="false" outlineLevel="0" collapsed="false">
      <c r="A529" s="17"/>
      <c r="B529" s="18" t="str">
        <f aca="false">IF($A529="","",TEXT($A529,"ddd"))</f>
        <v/>
      </c>
      <c r="C529" s="19"/>
      <c r="D529" s="19"/>
      <c r="E529" s="18" t="str">
        <f aca="false">IF($C529="","",IFERROR(INDEX(Lists!$B$2:$B$40,MATCH($C529,Lists!$A$2:$A$40,0)),""))</f>
        <v/>
      </c>
      <c r="F529" s="20"/>
      <c r="G529" s="20"/>
      <c r="H529" s="20"/>
      <c r="I529" s="20"/>
      <c r="J529" s="20"/>
      <c r="K529" s="18" t="str">
        <f aca="false">IF(COUNT($F529:$J529)=0,"",SUM($F529:$J529))</f>
        <v/>
      </c>
      <c r="L529" s="18" t="str">
        <f aca="false">IF(COUNT($F529:$J529)=0,"",MAX($F529:$J529))</f>
        <v/>
      </c>
      <c r="M529" s="18" t="str">
        <f aca="false">IFERROR(IF(OR($C529="",COUNT($F529:$J529)&lt;3),"",IF(N(INDEX(Lists!$C$2:$C$40,MATCH($C529,Lists!$A$2:$A$40,0)))=0,"",IF(MIN($F529:$J529)&gt;=INDEX(Lists!$C$2:$C$40,MATCH($C529,Lists!$A$2:$A$40,0)),"LEVEL UP",""))),"")</f>
        <v/>
      </c>
      <c r="N529" s="20"/>
      <c r="O529" s="19"/>
    </row>
    <row r="530" customFormat="false" ht="15" hidden="false" customHeight="false" outlineLevel="0" collapsed="false">
      <c r="A530" s="17"/>
      <c r="B530" s="18" t="str">
        <f aca="false">IF($A530="","",TEXT($A530,"ddd"))</f>
        <v/>
      </c>
      <c r="C530" s="19"/>
      <c r="D530" s="19"/>
      <c r="E530" s="18" t="str">
        <f aca="false">IF($C530="","",IFERROR(INDEX(Lists!$B$2:$B$40,MATCH($C530,Lists!$A$2:$A$40,0)),""))</f>
        <v/>
      </c>
      <c r="F530" s="20"/>
      <c r="G530" s="20"/>
      <c r="H530" s="20"/>
      <c r="I530" s="20"/>
      <c r="J530" s="20"/>
      <c r="K530" s="18" t="str">
        <f aca="false">IF(COUNT($F530:$J530)=0,"",SUM($F530:$J530))</f>
        <v/>
      </c>
      <c r="L530" s="18" t="str">
        <f aca="false">IF(COUNT($F530:$J530)=0,"",MAX($F530:$J530))</f>
        <v/>
      </c>
      <c r="M530" s="18" t="str">
        <f aca="false">IFERROR(IF(OR($C530="",COUNT($F530:$J530)&lt;3),"",IF(N(INDEX(Lists!$C$2:$C$40,MATCH($C530,Lists!$A$2:$A$40,0)))=0,"",IF(MIN($F530:$J530)&gt;=INDEX(Lists!$C$2:$C$40,MATCH($C530,Lists!$A$2:$A$40,0)),"LEVEL UP",""))),"")</f>
        <v/>
      </c>
      <c r="N530" s="20"/>
      <c r="O530" s="19"/>
    </row>
    <row r="531" customFormat="false" ht="15" hidden="false" customHeight="false" outlineLevel="0" collapsed="false">
      <c r="A531" s="17"/>
      <c r="B531" s="18" t="str">
        <f aca="false">IF($A531="","",TEXT($A531,"ddd"))</f>
        <v/>
      </c>
      <c r="C531" s="19"/>
      <c r="D531" s="19"/>
      <c r="E531" s="18" t="str">
        <f aca="false">IF($C531="","",IFERROR(INDEX(Lists!$B$2:$B$40,MATCH($C531,Lists!$A$2:$A$40,0)),""))</f>
        <v/>
      </c>
      <c r="F531" s="20"/>
      <c r="G531" s="20"/>
      <c r="H531" s="20"/>
      <c r="I531" s="20"/>
      <c r="J531" s="20"/>
      <c r="K531" s="18" t="str">
        <f aca="false">IF(COUNT($F531:$J531)=0,"",SUM($F531:$J531))</f>
        <v/>
      </c>
      <c r="L531" s="18" t="str">
        <f aca="false">IF(COUNT($F531:$J531)=0,"",MAX($F531:$J531))</f>
        <v/>
      </c>
      <c r="M531" s="18" t="str">
        <f aca="false">IFERROR(IF(OR($C531="",COUNT($F531:$J531)&lt;3),"",IF(N(INDEX(Lists!$C$2:$C$40,MATCH($C531,Lists!$A$2:$A$40,0)))=0,"",IF(MIN($F531:$J531)&gt;=INDEX(Lists!$C$2:$C$40,MATCH($C531,Lists!$A$2:$A$40,0)),"LEVEL UP",""))),"")</f>
        <v/>
      </c>
      <c r="N531" s="20"/>
      <c r="O531" s="19"/>
    </row>
    <row r="532" customFormat="false" ht="15" hidden="false" customHeight="false" outlineLevel="0" collapsed="false">
      <c r="A532" s="17"/>
      <c r="B532" s="18" t="str">
        <f aca="false">IF($A532="","",TEXT($A532,"ddd"))</f>
        <v/>
      </c>
      <c r="C532" s="19"/>
      <c r="D532" s="19"/>
      <c r="E532" s="18" t="str">
        <f aca="false">IF($C532="","",IFERROR(INDEX(Lists!$B$2:$B$40,MATCH($C532,Lists!$A$2:$A$40,0)),""))</f>
        <v/>
      </c>
      <c r="F532" s="20"/>
      <c r="G532" s="20"/>
      <c r="H532" s="20"/>
      <c r="I532" s="20"/>
      <c r="J532" s="20"/>
      <c r="K532" s="18" t="str">
        <f aca="false">IF(COUNT($F532:$J532)=0,"",SUM($F532:$J532))</f>
        <v/>
      </c>
      <c r="L532" s="18" t="str">
        <f aca="false">IF(COUNT($F532:$J532)=0,"",MAX($F532:$J532))</f>
        <v/>
      </c>
      <c r="M532" s="18" t="str">
        <f aca="false">IFERROR(IF(OR($C532="",COUNT($F532:$J532)&lt;3),"",IF(N(INDEX(Lists!$C$2:$C$40,MATCH($C532,Lists!$A$2:$A$40,0)))=0,"",IF(MIN($F532:$J532)&gt;=INDEX(Lists!$C$2:$C$40,MATCH($C532,Lists!$A$2:$A$40,0)),"LEVEL UP",""))),"")</f>
        <v/>
      </c>
      <c r="N532" s="20"/>
      <c r="O532" s="19"/>
    </row>
    <row r="533" customFormat="false" ht="15" hidden="false" customHeight="false" outlineLevel="0" collapsed="false">
      <c r="A533" s="17"/>
      <c r="B533" s="18" t="str">
        <f aca="false">IF($A533="","",TEXT($A533,"ddd"))</f>
        <v/>
      </c>
      <c r="C533" s="19"/>
      <c r="D533" s="19"/>
      <c r="E533" s="18" t="str">
        <f aca="false">IF($C533="","",IFERROR(INDEX(Lists!$B$2:$B$40,MATCH($C533,Lists!$A$2:$A$40,0)),""))</f>
        <v/>
      </c>
      <c r="F533" s="20"/>
      <c r="G533" s="20"/>
      <c r="H533" s="20"/>
      <c r="I533" s="20"/>
      <c r="J533" s="20"/>
      <c r="K533" s="18" t="str">
        <f aca="false">IF(COUNT($F533:$J533)=0,"",SUM($F533:$J533))</f>
        <v/>
      </c>
      <c r="L533" s="18" t="str">
        <f aca="false">IF(COUNT($F533:$J533)=0,"",MAX($F533:$J533))</f>
        <v/>
      </c>
      <c r="M533" s="18" t="str">
        <f aca="false">IFERROR(IF(OR($C533="",COUNT($F533:$J533)&lt;3),"",IF(N(INDEX(Lists!$C$2:$C$40,MATCH($C533,Lists!$A$2:$A$40,0)))=0,"",IF(MIN($F533:$J533)&gt;=INDEX(Lists!$C$2:$C$40,MATCH($C533,Lists!$A$2:$A$40,0)),"LEVEL UP",""))),"")</f>
        <v/>
      </c>
      <c r="N533" s="20"/>
      <c r="O533" s="19"/>
    </row>
    <row r="534" customFormat="false" ht="15" hidden="false" customHeight="false" outlineLevel="0" collapsed="false">
      <c r="A534" s="17"/>
      <c r="B534" s="18" t="str">
        <f aca="false">IF($A534="","",TEXT($A534,"ddd"))</f>
        <v/>
      </c>
      <c r="C534" s="19"/>
      <c r="D534" s="19"/>
      <c r="E534" s="18" t="str">
        <f aca="false">IF($C534="","",IFERROR(INDEX(Lists!$B$2:$B$40,MATCH($C534,Lists!$A$2:$A$40,0)),""))</f>
        <v/>
      </c>
      <c r="F534" s="20"/>
      <c r="G534" s="20"/>
      <c r="H534" s="20"/>
      <c r="I534" s="20"/>
      <c r="J534" s="20"/>
      <c r="K534" s="18" t="str">
        <f aca="false">IF(COUNT($F534:$J534)=0,"",SUM($F534:$J534))</f>
        <v/>
      </c>
      <c r="L534" s="18" t="str">
        <f aca="false">IF(COUNT($F534:$J534)=0,"",MAX($F534:$J534))</f>
        <v/>
      </c>
      <c r="M534" s="18" t="str">
        <f aca="false">IFERROR(IF(OR($C534="",COUNT($F534:$J534)&lt;3),"",IF(N(INDEX(Lists!$C$2:$C$40,MATCH($C534,Lists!$A$2:$A$40,0)))=0,"",IF(MIN($F534:$J534)&gt;=INDEX(Lists!$C$2:$C$40,MATCH($C534,Lists!$A$2:$A$40,0)),"LEVEL UP",""))),"")</f>
        <v/>
      </c>
      <c r="N534" s="20"/>
      <c r="O534" s="19"/>
    </row>
    <row r="535" customFormat="false" ht="15" hidden="false" customHeight="false" outlineLevel="0" collapsed="false">
      <c r="A535" s="17"/>
      <c r="B535" s="18" t="str">
        <f aca="false">IF($A535="","",TEXT($A535,"ddd"))</f>
        <v/>
      </c>
      <c r="C535" s="19"/>
      <c r="D535" s="19"/>
      <c r="E535" s="18" t="str">
        <f aca="false">IF($C535="","",IFERROR(INDEX(Lists!$B$2:$B$40,MATCH($C535,Lists!$A$2:$A$40,0)),""))</f>
        <v/>
      </c>
      <c r="F535" s="20"/>
      <c r="G535" s="20"/>
      <c r="H535" s="20"/>
      <c r="I535" s="20"/>
      <c r="J535" s="20"/>
      <c r="K535" s="18" t="str">
        <f aca="false">IF(COUNT($F535:$J535)=0,"",SUM($F535:$J535))</f>
        <v/>
      </c>
      <c r="L535" s="18" t="str">
        <f aca="false">IF(COUNT($F535:$J535)=0,"",MAX($F535:$J535))</f>
        <v/>
      </c>
      <c r="M535" s="18" t="str">
        <f aca="false">IFERROR(IF(OR($C535="",COUNT($F535:$J535)&lt;3),"",IF(N(INDEX(Lists!$C$2:$C$40,MATCH($C535,Lists!$A$2:$A$40,0)))=0,"",IF(MIN($F535:$J535)&gt;=INDEX(Lists!$C$2:$C$40,MATCH($C535,Lists!$A$2:$A$40,0)),"LEVEL UP",""))),"")</f>
        <v/>
      </c>
      <c r="N535" s="20"/>
      <c r="O535" s="19"/>
    </row>
    <row r="536" customFormat="false" ht="15" hidden="false" customHeight="false" outlineLevel="0" collapsed="false">
      <c r="A536" s="17"/>
      <c r="B536" s="18" t="str">
        <f aca="false">IF($A536="","",TEXT($A536,"ddd"))</f>
        <v/>
      </c>
      <c r="C536" s="19"/>
      <c r="D536" s="19"/>
      <c r="E536" s="18" t="str">
        <f aca="false">IF($C536="","",IFERROR(INDEX(Lists!$B$2:$B$40,MATCH($C536,Lists!$A$2:$A$40,0)),""))</f>
        <v/>
      </c>
      <c r="F536" s="20"/>
      <c r="G536" s="20"/>
      <c r="H536" s="20"/>
      <c r="I536" s="20"/>
      <c r="J536" s="20"/>
      <c r="K536" s="18" t="str">
        <f aca="false">IF(COUNT($F536:$J536)=0,"",SUM($F536:$J536))</f>
        <v/>
      </c>
      <c r="L536" s="18" t="str">
        <f aca="false">IF(COUNT($F536:$J536)=0,"",MAX($F536:$J536))</f>
        <v/>
      </c>
      <c r="M536" s="18" t="str">
        <f aca="false">IFERROR(IF(OR($C536="",COUNT($F536:$J536)&lt;3),"",IF(N(INDEX(Lists!$C$2:$C$40,MATCH($C536,Lists!$A$2:$A$40,0)))=0,"",IF(MIN($F536:$J536)&gt;=INDEX(Lists!$C$2:$C$40,MATCH($C536,Lists!$A$2:$A$40,0)),"LEVEL UP",""))),"")</f>
        <v/>
      </c>
      <c r="N536" s="20"/>
      <c r="O536" s="19"/>
    </row>
    <row r="537" customFormat="false" ht="15" hidden="false" customHeight="false" outlineLevel="0" collapsed="false">
      <c r="A537" s="17"/>
      <c r="B537" s="18" t="str">
        <f aca="false">IF($A537="","",TEXT($A537,"ddd"))</f>
        <v/>
      </c>
      <c r="C537" s="19"/>
      <c r="D537" s="19"/>
      <c r="E537" s="18" t="str">
        <f aca="false">IF($C537="","",IFERROR(INDEX(Lists!$B$2:$B$40,MATCH($C537,Lists!$A$2:$A$40,0)),""))</f>
        <v/>
      </c>
      <c r="F537" s="20"/>
      <c r="G537" s="20"/>
      <c r="H537" s="20"/>
      <c r="I537" s="20"/>
      <c r="J537" s="20"/>
      <c r="K537" s="18" t="str">
        <f aca="false">IF(COUNT($F537:$J537)=0,"",SUM($F537:$J537))</f>
        <v/>
      </c>
      <c r="L537" s="18" t="str">
        <f aca="false">IF(COUNT($F537:$J537)=0,"",MAX($F537:$J537))</f>
        <v/>
      </c>
      <c r="M537" s="18" t="str">
        <f aca="false">IFERROR(IF(OR($C537="",COUNT($F537:$J537)&lt;3),"",IF(N(INDEX(Lists!$C$2:$C$40,MATCH($C537,Lists!$A$2:$A$40,0)))=0,"",IF(MIN($F537:$J537)&gt;=INDEX(Lists!$C$2:$C$40,MATCH($C537,Lists!$A$2:$A$40,0)),"LEVEL UP",""))),"")</f>
        <v/>
      </c>
      <c r="N537" s="20"/>
      <c r="O537" s="19"/>
    </row>
    <row r="538" customFormat="false" ht="15" hidden="false" customHeight="false" outlineLevel="0" collapsed="false">
      <c r="A538" s="17"/>
      <c r="B538" s="18" t="str">
        <f aca="false">IF($A538="","",TEXT($A538,"ddd"))</f>
        <v/>
      </c>
      <c r="C538" s="19"/>
      <c r="D538" s="19"/>
      <c r="E538" s="18" t="str">
        <f aca="false">IF($C538="","",IFERROR(INDEX(Lists!$B$2:$B$40,MATCH($C538,Lists!$A$2:$A$40,0)),""))</f>
        <v/>
      </c>
      <c r="F538" s="20"/>
      <c r="G538" s="20"/>
      <c r="H538" s="20"/>
      <c r="I538" s="20"/>
      <c r="J538" s="20"/>
      <c r="K538" s="18" t="str">
        <f aca="false">IF(COUNT($F538:$J538)=0,"",SUM($F538:$J538))</f>
        <v/>
      </c>
      <c r="L538" s="18" t="str">
        <f aca="false">IF(COUNT($F538:$J538)=0,"",MAX($F538:$J538))</f>
        <v/>
      </c>
      <c r="M538" s="18" t="str">
        <f aca="false">IFERROR(IF(OR($C538="",COUNT($F538:$J538)&lt;3),"",IF(N(INDEX(Lists!$C$2:$C$40,MATCH($C538,Lists!$A$2:$A$40,0)))=0,"",IF(MIN($F538:$J538)&gt;=INDEX(Lists!$C$2:$C$40,MATCH($C538,Lists!$A$2:$A$40,0)),"LEVEL UP",""))),"")</f>
        <v/>
      </c>
      <c r="N538" s="20"/>
      <c r="O538" s="19"/>
    </row>
    <row r="539" customFormat="false" ht="15" hidden="false" customHeight="false" outlineLevel="0" collapsed="false">
      <c r="A539" s="17"/>
      <c r="B539" s="18" t="str">
        <f aca="false">IF($A539="","",TEXT($A539,"ddd"))</f>
        <v/>
      </c>
      <c r="C539" s="19"/>
      <c r="D539" s="19"/>
      <c r="E539" s="18" t="str">
        <f aca="false">IF($C539="","",IFERROR(INDEX(Lists!$B$2:$B$40,MATCH($C539,Lists!$A$2:$A$40,0)),""))</f>
        <v/>
      </c>
      <c r="F539" s="20"/>
      <c r="G539" s="20"/>
      <c r="H539" s="20"/>
      <c r="I539" s="20"/>
      <c r="J539" s="20"/>
      <c r="K539" s="18" t="str">
        <f aca="false">IF(COUNT($F539:$J539)=0,"",SUM($F539:$J539))</f>
        <v/>
      </c>
      <c r="L539" s="18" t="str">
        <f aca="false">IF(COUNT($F539:$J539)=0,"",MAX($F539:$J539))</f>
        <v/>
      </c>
      <c r="M539" s="18" t="str">
        <f aca="false">IFERROR(IF(OR($C539="",COUNT($F539:$J539)&lt;3),"",IF(N(INDEX(Lists!$C$2:$C$40,MATCH($C539,Lists!$A$2:$A$40,0)))=0,"",IF(MIN($F539:$J539)&gt;=INDEX(Lists!$C$2:$C$40,MATCH($C539,Lists!$A$2:$A$40,0)),"LEVEL UP",""))),"")</f>
        <v/>
      </c>
      <c r="N539" s="20"/>
      <c r="O539" s="19"/>
    </row>
    <row r="540" customFormat="false" ht="15" hidden="false" customHeight="false" outlineLevel="0" collapsed="false">
      <c r="A540" s="17"/>
      <c r="B540" s="18" t="str">
        <f aca="false">IF($A540="","",TEXT($A540,"ddd"))</f>
        <v/>
      </c>
      <c r="C540" s="19"/>
      <c r="D540" s="19"/>
      <c r="E540" s="18" t="str">
        <f aca="false">IF($C540="","",IFERROR(INDEX(Lists!$B$2:$B$40,MATCH($C540,Lists!$A$2:$A$40,0)),""))</f>
        <v/>
      </c>
      <c r="F540" s="20"/>
      <c r="G540" s="20"/>
      <c r="H540" s="20"/>
      <c r="I540" s="20"/>
      <c r="J540" s="20"/>
      <c r="K540" s="18" t="str">
        <f aca="false">IF(COUNT($F540:$J540)=0,"",SUM($F540:$J540))</f>
        <v/>
      </c>
      <c r="L540" s="18" t="str">
        <f aca="false">IF(COUNT($F540:$J540)=0,"",MAX($F540:$J540))</f>
        <v/>
      </c>
      <c r="M540" s="18" t="str">
        <f aca="false">IFERROR(IF(OR($C540="",COUNT($F540:$J540)&lt;3),"",IF(N(INDEX(Lists!$C$2:$C$40,MATCH($C540,Lists!$A$2:$A$40,0)))=0,"",IF(MIN($F540:$J540)&gt;=INDEX(Lists!$C$2:$C$40,MATCH($C540,Lists!$A$2:$A$40,0)),"LEVEL UP",""))),"")</f>
        <v/>
      </c>
      <c r="N540" s="20"/>
      <c r="O540" s="19"/>
    </row>
    <row r="541" customFormat="false" ht="15" hidden="false" customHeight="false" outlineLevel="0" collapsed="false">
      <c r="A541" s="17"/>
      <c r="B541" s="18" t="str">
        <f aca="false">IF($A541="","",TEXT($A541,"ddd"))</f>
        <v/>
      </c>
      <c r="C541" s="19"/>
      <c r="D541" s="19"/>
      <c r="E541" s="18" t="str">
        <f aca="false">IF($C541="","",IFERROR(INDEX(Lists!$B$2:$B$40,MATCH($C541,Lists!$A$2:$A$40,0)),""))</f>
        <v/>
      </c>
      <c r="F541" s="20"/>
      <c r="G541" s="20"/>
      <c r="H541" s="20"/>
      <c r="I541" s="20"/>
      <c r="J541" s="20"/>
      <c r="K541" s="18" t="str">
        <f aca="false">IF(COUNT($F541:$J541)=0,"",SUM($F541:$J541))</f>
        <v/>
      </c>
      <c r="L541" s="18" t="str">
        <f aca="false">IF(COUNT($F541:$J541)=0,"",MAX($F541:$J541))</f>
        <v/>
      </c>
      <c r="M541" s="18" t="str">
        <f aca="false">IFERROR(IF(OR($C541="",COUNT($F541:$J541)&lt;3),"",IF(N(INDEX(Lists!$C$2:$C$40,MATCH($C541,Lists!$A$2:$A$40,0)))=0,"",IF(MIN($F541:$J541)&gt;=INDEX(Lists!$C$2:$C$40,MATCH($C541,Lists!$A$2:$A$40,0)),"LEVEL UP",""))),"")</f>
        <v/>
      </c>
      <c r="N541" s="20"/>
      <c r="O541" s="19"/>
    </row>
    <row r="542" customFormat="false" ht="15" hidden="false" customHeight="false" outlineLevel="0" collapsed="false">
      <c r="A542" s="17"/>
      <c r="B542" s="18" t="str">
        <f aca="false">IF($A542="","",TEXT($A542,"ddd"))</f>
        <v/>
      </c>
      <c r="C542" s="19"/>
      <c r="D542" s="19"/>
      <c r="E542" s="18" t="str">
        <f aca="false">IF($C542="","",IFERROR(INDEX(Lists!$B$2:$B$40,MATCH($C542,Lists!$A$2:$A$40,0)),""))</f>
        <v/>
      </c>
      <c r="F542" s="20"/>
      <c r="G542" s="20"/>
      <c r="H542" s="20"/>
      <c r="I542" s="20"/>
      <c r="J542" s="20"/>
      <c r="K542" s="18" t="str">
        <f aca="false">IF(COUNT($F542:$J542)=0,"",SUM($F542:$J542))</f>
        <v/>
      </c>
      <c r="L542" s="18" t="str">
        <f aca="false">IF(COUNT($F542:$J542)=0,"",MAX($F542:$J542))</f>
        <v/>
      </c>
      <c r="M542" s="18" t="str">
        <f aca="false">IFERROR(IF(OR($C542="",COUNT($F542:$J542)&lt;3),"",IF(N(INDEX(Lists!$C$2:$C$40,MATCH($C542,Lists!$A$2:$A$40,0)))=0,"",IF(MIN($F542:$J542)&gt;=INDEX(Lists!$C$2:$C$40,MATCH($C542,Lists!$A$2:$A$40,0)),"LEVEL UP",""))),"")</f>
        <v/>
      </c>
      <c r="N542" s="20"/>
      <c r="O542" s="19"/>
    </row>
    <row r="543" customFormat="false" ht="15" hidden="false" customHeight="false" outlineLevel="0" collapsed="false">
      <c r="A543" s="17"/>
      <c r="B543" s="18" t="str">
        <f aca="false">IF($A543="","",TEXT($A543,"ddd"))</f>
        <v/>
      </c>
      <c r="C543" s="19"/>
      <c r="D543" s="19"/>
      <c r="E543" s="18" t="str">
        <f aca="false">IF($C543="","",IFERROR(INDEX(Lists!$B$2:$B$40,MATCH($C543,Lists!$A$2:$A$40,0)),""))</f>
        <v/>
      </c>
      <c r="F543" s="20"/>
      <c r="G543" s="20"/>
      <c r="H543" s="20"/>
      <c r="I543" s="20"/>
      <c r="J543" s="20"/>
      <c r="K543" s="18" t="str">
        <f aca="false">IF(COUNT($F543:$J543)=0,"",SUM($F543:$J543))</f>
        <v/>
      </c>
      <c r="L543" s="18" t="str">
        <f aca="false">IF(COUNT($F543:$J543)=0,"",MAX($F543:$J543))</f>
        <v/>
      </c>
      <c r="M543" s="18" t="str">
        <f aca="false">IFERROR(IF(OR($C543="",COUNT($F543:$J543)&lt;3),"",IF(N(INDEX(Lists!$C$2:$C$40,MATCH($C543,Lists!$A$2:$A$40,0)))=0,"",IF(MIN($F543:$J543)&gt;=INDEX(Lists!$C$2:$C$40,MATCH($C543,Lists!$A$2:$A$40,0)),"LEVEL UP",""))),"")</f>
        <v/>
      </c>
      <c r="N543" s="20"/>
      <c r="O543" s="19"/>
    </row>
    <row r="544" customFormat="false" ht="15" hidden="false" customHeight="false" outlineLevel="0" collapsed="false">
      <c r="A544" s="17"/>
      <c r="B544" s="18" t="str">
        <f aca="false">IF($A544="","",TEXT($A544,"ddd"))</f>
        <v/>
      </c>
      <c r="C544" s="19"/>
      <c r="D544" s="19"/>
      <c r="E544" s="18" t="str">
        <f aca="false">IF($C544="","",IFERROR(INDEX(Lists!$B$2:$B$40,MATCH($C544,Lists!$A$2:$A$40,0)),""))</f>
        <v/>
      </c>
      <c r="F544" s="20"/>
      <c r="G544" s="20"/>
      <c r="H544" s="20"/>
      <c r="I544" s="20"/>
      <c r="J544" s="20"/>
      <c r="K544" s="18" t="str">
        <f aca="false">IF(COUNT($F544:$J544)=0,"",SUM($F544:$J544))</f>
        <v/>
      </c>
      <c r="L544" s="18" t="str">
        <f aca="false">IF(COUNT($F544:$J544)=0,"",MAX($F544:$J544))</f>
        <v/>
      </c>
      <c r="M544" s="18" t="str">
        <f aca="false">IFERROR(IF(OR($C544="",COUNT($F544:$J544)&lt;3),"",IF(N(INDEX(Lists!$C$2:$C$40,MATCH($C544,Lists!$A$2:$A$40,0)))=0,"",IF(MIN($F544:$J544)&gt;=INDEX(Lists!$C$2:$C$40,MATCH($C544,Lists!$A$2:$A$40,0)),"LEVEL UP",""))),"")</f>
        <v/>
      </c>
      <c r="N544" s="20"/>
      <c r="O544" s="19"/>
    </row>
    <row r="545" customFormat="false" ht="15" hidden="false" customHeight="false" outlineLevel="0" collapsed="false">
      <c r="A545" s="17"/>
      <c r="B545" s="18" t="str">
        <f aca="false">IF($A545="","",TEXT($A545,"ddd"))</f>
        <v/>
      </c>
      <c r="C545" s="19"/>
      <c r="D545" s="19"/>
      <c r="E545" s="18" t="str">
        <f aca="false">IF($C545="","",IFERROR(INDEX(Lists!$B$2:$B$40,MATCH($C545,Lists!$A$2:$A$40,0)),""))</f>
        <v/>
      </c>
      <c r="F545" s="20"/>
      <c r="G545" s="20"/>
      <c r="H545" s="20"/>
      <c r="I545" s="20"/>
      <c r="J545" s="20"/>
      <c r="K545" s="18" t="str">
        <f aca="false">IF(COUNT($F545:$J545)=0,"",SUM($F545:$J545))</f>
        <v/>
      </c>
      <c r="L545" s="18" t="str">
        <f aca="false">IF(COUNT($F545:$J545)=0,"",MAX($F545:$J545))</f>
        <v/>
      </c>
      <c r="M545" s="18" t="str">
        <f aca="false">IFERROR(IF(OR($C545="",COUNT($F545:$J545)&lt;3),"",IF(N(INDEX(Lists!$C$2:$C$40,MATCH($C545,Lists!$A$2:$A$40,0)))=0,"",IF(MIN($F545:$J545)&gt;=INDEX(Lists!$C$2:$C$40,MATCH($C545,Lists!$A$2:$A$40,0)),"LEVEL UP",""))),"")</f>
        <v/>
      </c>
      <c r="N545" s="20"/>
      <c r="O545" s="19"/>
    </row>
    <row r="546" customFormat="false" ht="15" hidden="false" customHeight="false" outlineLevel="0" collapsed="false">
      <c r="A546" s="17"/>
      <c r="B546" s="18" t="str">
        <f aca="false">IF($A546="","",TEXT($A546,"ddd"))</f>
        <v/>
      </c>
      <c r="C546" s="19"/>
      <c r="D546" s="19"/>
      <c r="E546" s="18" t="str">
        <f aca="false">IF($C546="","",IFERROR(INDEX(Lists!$B$2:$B$40,MATCH($C546,Lists!$A$2:$A$40,0)),""))</f>
        <v/>
      </c>
      <c r="F546" s="20"/>
      <c r="G546" s="20"/>
      <c r="H546" s="20"/>
      <c r="I546" s="20"/>
      <c r="J546" s="20"/>
      <c r="K546" s="18" t="str">
        <f aca="false">IF(COUNT($F546:$J546)=0,"",SUM($F546:$J546))</f>
        <v/>
      </c>
      <c r="L546" s="18" t="str">
        <f aca="false">IF(COUNT($F546:$J546)=0,"",MAX($F546:$J546))</f>
        <v/>
      </c>
      <c r="M546" s="18" t="str">
        <f aca="false">IFERROR(IF(OR($C546="",COUNT($F546:$J546)&lt;3),"",IF(N(INDEX(Lists!$C$2:$C$40,MATCH($C546,Lists!$A$2:$A$40,0)))=0,"",IF(MIN($F546:$J546)&gt;=INDEX(Lists!$C$2:$C$40,MATCH($C546,Lists!$A$2:$A$40,0)),"LEVEL UP",""))),"")</f>
        <v/>
      </c>
      <c r="N546" s="20"/>
      <c r="O546" s="19"/>
    </row>
    <row r="547" customFormat="false" ht="15" hidden="false" customHeight="false" outlineLevel="0" collapsed="false">
      <c r="A547" s="17"/>
      <c r="B547" s="18" t="str">
        <f aca="false">IF($A547="","",TEXT($A547,"ddd"))</f>
        <v/>
      </c>
      <c r="C547" s="19"/>
      <c r="D547" s="19"/>
      <c r="E547" s="18" t="str">
        <f aca="false">IF($C547="","",IFERROR(INDEX(Lists!$B$2:$B$40,MATCH($C547,Lists!$A$2:$A$40,0)),""))</f>
        <v/>
      </c>
      <c r="F547" s="20"/>
      <c r="G547" s="20"/>
      <c r="H547" s="20"/>
      <c r="I547" s="20"/>
      <c r="J547" s="20"/>
      <c r="K547" s="18" t="str">
        <f aca="false">IF(COUNT($F547:$J547)=0,"",SUM($F547:$J547))</f>
        <v/>
      </c>
      <c r="L547" s="18" t="str">
        <f aca="false">IF(COUNT($F547:$J547)=0,"",MAX($F547:$J547))</f>
        <v/>
      </c>
      <c r="M547" s="18" t="str">
        <f aca="false">IFERROR(IF(OR($C547="",COUNT($F547:$J547)&lt;3),"",IF(N(INDEX(Lists!$C$2:$C$40,MATCH($C547,Lists!$A$2:$A$40,0)))=0,"",IF(MIN($F547:$J547)&gt;=INDEX(Lists!$C$2:$C$40,MATCH($C547,Lists!$A$2:$A$40,0)),"LEVEL UP",""))),"")</f>
        <v/>
      </c>
      <c r="N547" s="20"/>
      <c r="O547" s="19"/>
    </row>
    <row r="548" customFormat="false" ht="15" hidden="false" customHeight="false" outlineLevel="0" collapsed="false">
      <c r="A548" s="17"/>
      <c r="B548" s="18" t="str">
        <f aca="false">IF($A548="","",TEXT($A548,"ddd"))</f>
        <v/>
      </c>
      <c r="C548" s="19"/>
      <c r="D548" s="19"/>
      <c r="E548" s="18" t="str">
        <f aca="false">IF($C548="","",IFERROR(INDEX(Lists!$B$2:$B$40,MATCH($C548,Lists!$A$2:$A$40,0)),""))</f>
        <v/>
      </c>
      <c r="F548" s="20"/>
      <c r="G548" s="20"/>
      <c r="H548" s="20"/>
      <c r="I548" s="20"/>
      <c r="J548" s="20"/>
      <c r="K548" s="18" t="str">
        <f aca="false">IF(COUNT($F548:$J548)=0,"",SUM($F548:$J548))</f>
        <v/>
      </c>
      <c r="L548" s="18" t="str">
        <f aca="false">IF(COUNT($F548:$J548)=0,"",MAX($F548:$J548))</f>
        <v/>
      </c>
      <c r="M548" s="18" t="str">
        <f aca="false">IFERROR(IF(OR($C548="",COUNT($F548:$J548)&lt;3),"",IF(N(INDEX(Lists!$C$2:$C$40,MATCH($C548,Lists!$A$2:$A$40,0)))=0,"",IF(MIN($F548:$J548)&gt;=INDEX(Lists!$C$2:$C$40,MATCH($C548,Lists!$A$2:$A$40,0)),"LEVEL UP",""))),"")</f>
        <v/>
      </c>
      <c r="N548" s="20"/>
      <c r="O548" s="19"/>
    </row>
    <row r="549" customFormat="false" ht="15" hidden="false" customHeight="false" outlineLevel="0" collapsed="false">
      <c r="A549" s="17"/>
      <c r="B549" s="18" t="str">
        <f aca="false">IF($A549="","",TEXT($A549,"ddd"))</f>
        <v/>
      </c>
      <c r="C549" s="19"/>
      <c r="D549" s="19"/>
      <c r="E549" s="18" t="str">
        <f aca="false">IF($C549="","",IFERROR(INDEX(Lists!$B$2:$B$40,MATCH($C549,Lists!$A$2:$A$40,0)),""))</f>
        <v/>
      </c>
      <c r="F549" s="20"/>
      <c r="G549" s="20"/>
      <c r="H549" s="20"/>
      <c r="I549" s="20"/>
      <c r="J549" s="20"/>
      <c r="K549" s="18" t="str">
        <f aca="false">IF(COUNT($F549:$J549)=0,"",SUM($F549:$J549))</f>
        <v/>
      </c>
      <c r="L549" s="18" t="str">
        <f aca="false">IF(COUNT($F549:$J549)=0,"",MAX($F549:$J549))</f>
        <v/>
      </c>
      <c r="M549" s="18" t="str">
        <f aca="false">IFERROR(IF(OR($C549="",COUNT($F549:$J549)&lt;3),"",IF(N(INDEX(Lists!$C$2:$C$40,MATCH($C549,Lists!$A$2:$A$40,0)))=0,"",IF(MIN($F549:$J549)&gt;=INDEX(Lists!$C$2:$C$40,MATCH($C549,Lists!$A$2:$A$40,0)),"LEVEL UP",""))),"")</f>
        <v/>
      </c>
      <c r="N549" s="20"/>
      <c r="O549" s="19"/>
    </row>
    <row r="550" customFormat="false" ht="15" hidden="false" customHeight="false" outlineLevel="0" collapsed="false">
      <c r="A550" s="17"/>
      <c r="B550" s="18" t="str">
        <f aca="false">IF($A550="","",TEXT($A550,"ddd"))</f>
        <v/>
      </c>
      <c r="C550" s="19"/>
      <c r="D550" s="19"/>
      <c r="E550" s="18" t="str">
        <f aca="false">IF($C550="","",IFERROR(INDEX(Lists!$B$2:$B$40,MATCH($C550,Lists!$A$2:$A$40,0)),""))</f>
        <v/>
      </c>
      <c r="F550" s="20"/>
      <c r="G550" s="20"/>
      <c r="H550" s="20"/>
      <c r="I550" s="20"/>
      <c r="J550" s="20"/>
      <c r="K550" s="18" t="str">
        <f aca="false">IF(COUNT($F550:$J550)=0,"",SUM($F550:$J550))</f>
        <v/>
      </c>
      <c r="L550" s="18" t="str">
        <f aca="false">IF(COUNT($F550:$J550)=0,"",MAX($F550:$J550))</f>
        <v/>
      </c>
      <c r="M550" s="18" t="str">
        <f aca="false">IFERROR(IF(OR($C550="",COUNT($F550:$J550)&lt;3),"",IF(N(INDEX(Lists!$C$2:$C$40,MATCH($C550,Lists!$A$2:$A$40,0)))=0,"",IF(MIN($F550:$J550)&gt;=INDEX(Lists!$C$2:$C$40,MATCH($C550,Lists!$A$2:$A$40,0)),"LEVEL UP",""))),"")</f>
        <v/>
      </c>
      <c r="N550" s="20"/>
      <c r="O550" s="19"/>
    </row>
    <row r="551" customFormat="false" ht="15" hidden="false" customHeight="false" outlineLevel="0" collapsed="false">
      <c r="A551" s="17"/>
      <c r="B551" s="18" t="str">
        <f aca="false">IF($A551="","",TEXT($A551,"ddd"))</f>
        <v/>
      </c>
      <c r="C551" s="19"/>
      <c r="D551" s="19"/>
      <c r="E551" s="18" t="str">
        <f aca="false">IF($C551="","",IFERROR(INDEX(Lists!$B$2:$B$40,MATCH($C551,Lists!$A$2:$A$40,0)),""))</f>
        <v/>
      </c>
      <c r="F551" s="20"/>
      <c r="G551" s="20"/>
      <c r="H551" s="20"/>
      <c r="I551" s="20"/>
      <c r="J551" s="20"/>
      <c r="K551" s="18" t="str">
        <f aca="false">IF(COUNT($F551:$J551)=0,"",SUM($F551:$J551))</f>
        <v/>
      </c>
      <c r="L551" s="18" t="str">
        <f aca="false">IF(COUNT($F551:$J551)=0,"",MAX($F551:$J551))</f>
        <v/>
      </c>
      <c r="M551" s="18" t="str">
        <f aca="false">IFERROR(IF(OR($C551="",COUNT($F551:$J551)&lt;3),"",IF(N(INDEX(Lists!$C$2:$C$40,MATCH($C551,Lists!$A$2:$A$40,0)))=0,"",IF(MIN($F551:$J551)&gt;=INDEX(Lists!$C$2:$C$40,MATCH($C551,Lists!$A$2:$A$40,0)),"LEVEL UP",""))),"")</f>
        <v/>
      </c>
      <c r="N551" s="20"/>
      <c r="O551" s="19"/>
    </row>
    <row r="552" customFormat="false" ht="15" hidden="false" customHeight="false" outlineLevel="0" collapsed="false">
      <c r="A552" s="17"/>
      <c r="B552" s="18" t="str">
        <f aca="false">IF($A552="","",TEXT($A552,"ddd"))</f>
        <v/>
      </c>
      <c r="C552" s="19"/>
      <c r="D552" s="19"/>
      <c r="E552" s="18" t="str">
        <f aca="false">IF($C552="","",IFERROR(INDEX(Lists!$B$2:$B$40,MATCH($C552,Lists!$A$2:$A$40,0)),""))</f>
        <v/>
      </c>
      <c r="F552" s="20"/>
      <c r="G552" s="20"/>
      <c r="H552" s="20"/>
      <c r="I552" s="20"/>
      <c r="J552" s="20"/>
      <c r="K552" s="18" t="str">
        <f aca="false">IF(COUNT($F552:$J552)=0,"",SUM($F552:$J552))</f>
        <v/>
      </c>
      <c r="L552" s="18" t="str">
        <f aca="false">IF(COUNT($F552:$J552)=0,"",MAX($F552:$J552))</f>
        <v/>
      </c>
      <c r="M552" s="18" t="str">
        <f aca="false">IFERROR(IF(OR($C552="",COUNT($F552:$J552)&lt;3),"",IF(N(INDEX(Lists!$C$2:$C$40,MATCH($C552,Lists!$A$2:$A$40,0)))=0,"",IF(MIN($F552:$J552)&gt;=INDEX(Lists!$C$2:$C$40,MATCH($C552,Lists!$A$2:$A$40,0)),"LEVEL UP",""))),"")</f>
        <v/>
      </c>
      <c r="N552" s="20"/>
      <c r="O552" s="19"/>
    </row>
    <row r="553" customFormat="false" ht="15" hidden="false" customHeight="false" outlineLevel="0" collapsed="false">
      <c r="A553" s="17"/>
      <c r="B553" s="18" t="str">
        <f aca="false">IF($A553="","",TEXT($A553,"ddd"))</f>
        <v/>
      </c>
      <c r="C553" s="19"/>
      <c r="D553" s="19"/>
      <c r="E553" s="18" t="str">
        <f aca="false">IF($C553="","",IFERROR(INDEX(Lists!$B$2:$B$40,MATCH($C553,Lists!$A$2:$A$40,0)),""))</f>
        <v/>
      </c>
      <c r="F553" s="20"/>
      <c r="G553" s="20"/>
      <c r="H553" s="20"/>
      <c r="I553" s="20"/>
      <c r="J553" s="20"/>
      <c r="K553" s="18" t="str">
        <f aca="false">IF(COUNT($F553:$J553)=0,"",SUM($F553:$J553))</f>
        <v/>
      </c>
      <c r="L553" s="18" t="str">
        <f aca="false">IF(COUNT($F553:$J553)=0,"",MAX($F553:$J553))</f>
        <v/>
      </c>
      <c r="M553" s="18" t="str">
        <f aca="false">IFERROR(IF(OR($C553="",COUNT($F553:$J553)&lt;3),"",IF(N(INDEX(Lists!$C$2:$C$40,MATCH($C553,Lists!$A$2:$A$40,0)))=0,"",IF(MIN($F553:$J553)&gt;=INDEX(Lists!$C$2:$C$40,MATCH($C553,Lists!$A$2:$A$40,0)),"LEVEL UP",""))),"")</f>
        <v/>
      </c>
      <c r="N553" s="20"/>
      <c r="O553" s="19"/>
    </row>
    <row r="554" customFormat="false" ht="15" hidden="false" customHeight="false" outlineLevel="0" collapsed="false">
      <c r="A554" s="17"/>
      <c r="B554" s="18" t="str">
        <f aca="false">IF($A554="","",TEXT($A554,"ddd"))</f>
        <v/>
      </c>
      <c r="C554" s="19"/>
      <c r="D554" s="19"/>
      <c r="E554" s="18" t="str">
        <f aca="false">IF($C554="","",IFERROR(INDEX(Lists!$B$2:$B$40,MATCH($C554,Lists!$A$2:$A$40,0)),""))</f>
        <v/>
      </c>
      <c r="F554" s="20"/>
      <c r="G554" s="20"/>
      <c r="H554" s="20"/>
      <c r="I554" s="20"/>
      <c r="J554" s="20"/>
      <c r="K554" s="18" t="str">
        <f aca="false">IF(COUNT($F554:$J554)=0,"",SUM($F554:$J554))</f>
        <v/>
      </c>
      <c r="L554" s="18" t="str">
        <f aca="false">IF(COUNT($F554:$J554)=0,"",MAX($F554:$J554))</f>
        <v/>
      </c>
      <c r="M554" s="18" t="str">
        <f aca="false">IFERROR(IF(OR($C554="",COUNT($F554:$J554)&lt;3),"",IF(N(INDEX(Lists!$C$2:$C$40,MATCH($C554,Lists!$A$2:$A$40,0)))=0,"",IF(MIN($F554:$J554)&gt;=INDEX(Lists!$C$2:$C$40,MATCH($C554,Lists!$A$2:$A$40,0)),"LEVEL UP",""))),"")</f>
        <v/>
      </c>
      <c r="N554" s="20"/>
      <c r="O554" s="19"/>
    </row>
    <row r="555" customFormat="false" ht="15" hidden="false" customHeight="false" outlineLevel="0" collapsed="false">
      <c r="A555" s="17"/>
      <c r="B555" s="18" t="str">
        <f aca="false">IF($A555="","",TEXT($A555,"ddd"))</f>
        <v/>
      </c>
      <c r="C555" s="19"/>
      <c r="D555" s="19"/>
      <c r="E555" s="18" t="str">
        <f aca="false">IF($C555="","",IFERROR(INDEX(Lists!$B$2:$B$40,MATCH($C555,Lists!$A$2:$A$40,0)),""))</f>
        <v/>
      </c>
      <c r="F555" s="20"/>
      <c r="G555" s="20"/>
      <c r="H555" s="20"/>
      <c r="I555" s="20"/>
      <c r="J555" s="20"/>
      <c r="K555" s="18" t="str">
        <f aca="false">IF(COUNT($F555:$J555)=0,"",SUM($F555:$J555))</f>
        <v/>
      </c>
      <c r="L555" s="18" t="str">
        <f aca="false">IF(COUNT($F555:$J555)=0,"",MAX($F555:$J555))</f>
        <v/>
      </c>
      <c r="M555" s="18" t="str">
        <f aca="false">IFERROR(IF(OR($C555="",COUNT($F555:$J555)&lt;3),"",IF(N(INDEX(Lists!$C$2:$C$40,MATCH($C555,Lists!$A$2:$A$40,0)))=0,"",IF(MIN($F555:$J555)&gt;=INDEX(Lists!$C$2:$C$40,MATCH($C555,Lists!$A$2:$A$40,0)),"LEVEL UP",""))),"")</f>
        <v/>
      </c>
      <c r="N555" s="20"/>
      <c r="O555" s="19"/>
    </row>
    <row r="556" customFormat="false" ht="15" hidden="false" customHeight="false" outlineLevel="0" collapsed="false">
      <c r="A556" s="17"/>
      <c r="B556" s="18" t="str">
        <f aca="false">IF($A556="","",TEXT($A556,"ddd"))</f>
        <v/>
      </c>
      <c r="C556" s="19"/>
      <c r="D556" s="19"/>
      <c r="E556" s="18" t="str">
        <f aca="false">IF($C556="","",IFERROR(INDEX(Lists!$B$2:$B$40,MATCH($C556,Lists!$A$2:$A$40,0)),""))</f>
        <v/>
      </c>
      <c r="F556" s="20"/>
      <c r="G556" s="20"/>
      <c r="H556" s="20"/>
      <c r="I556" s="20"/>
      <c r="J556" s="20"/>
      <c r="K556" s="18" t="str">
        <f aca="false">IF(COUNT($F556:$J556)=0,"",SUM($F556:$J556))</f>
        <v/>
      </c>
      <c r="L556" s="18" t="str">
        <f aca="false">IF(COUNT($F556:$J556)=0,"",MAX($F556:$J556))</f>
        <v/>
      </c>
      <c r="M556" s="18" t="str">
        <f aca="false">IFERROR(IF(OR($C556="",COUNT($F556:$J556)&lt;3),"",IF(N(INDEX(Lists!$C$2:$C$40,MATCH($C556,Lists!$A$2:$A$40,0)))=0,"",IF(MIN($F556:$J556)&gt;=INDEX(Lists!$C$2:$C$40,MATCH($C556,Lists!$A$2:$A$40,0)),"LEVEL UP",""))),"")</f>
        <v/>
      </c>
      <c r="N556" s="20"/>
      <c r="O556" s="19"/>
    </row>
    <row r="557" customFormat="false" ht="15" hidden="false" customHeight="false" outlineLevel="0" collapsed="false">
      <c r="A557" s="17"/>
      <c r="B557" s="18" t="str">
        <f aca="false">IF($A557="","",TEXT($A557,"ddd"))</f>
        <v/>
      </c>
      <c r="C557" s="19"/>
      <c r="D557" s="19"/>
      <c r="E557" s="18" t="str">
        <f aca="false">IF($C557="","",IFERROR(INDEX(Lists!$B$2:$B$40,MATCH($C557,Lists!$A$2:$A$40,0)),""))</f>
        <v/>
      </c>
      <c r="F557" s="20"/>
      <c r="G557" s="20"/>
      <c r="H557" s="20"/>
      <c r="I557" s="20"/>
      <c r="J557" s="20"/>
      <c r="K557" s="18" t="str">
        <f aca="false">IF(COUNT($F557:$J557)=0,"",SUM($F557:$J557))</f>
        <v/>
      </c>
      <c r="L557" s="18" t="str">
        <f aca="false">IF(COUNT($F557:$J557)=0,"",MAX($F557:$J557))</f>
        <v/>
      </c>
      <c r="M557" s="18" t="str">
        <f aca="false">IFERROR(IF(OR($C557="",COUNT($F557:$J557)&lt;3),"",IF(N(INDEX(Lists!$C$2:$C$40,MATCH($C557,Lists!$A$2:$A$40,0)))=0,"",IF(MIN($F557:$J557)&gt;=INDEX(Lists!$C$2:$C$40,MATCH($C557,Lists!$A$2:$A$40,0)),"LEVEL UP",""))),"")</f>
        <v/>
      </c>
      <c r="N557" s="20"/>
      <c r="O557" s="19"/>
    </row>
    <row r="558" customFormat="false" ht="15" hidden="false" customHeight="false" outlineLevel="0" collapsed="false">
      <c r="A558" s="17"/>
      <c r="B558" s="18" t="str">
        <f aca="false">IF($A558="","",TEXT($A558,"ddd"))</f>
        <v/>
      </c>
      <c r="C558" s="19"/>
      <c r="D558" s="19"/>
      <c r="E558" s="18" t="str">
        <f aca="false">IF($C558="","",IFERROR(INDEX(Lists!$B$2:$B$40,MATCH($C558,Lists!$A$2:$A$40,0)),""))</f>
        <v/>
      </c>
      <c r="F558" s="20"/>
      <c r="G558" s="20"/>
      <c r="H558" s="20"/>
      <c r="I558" s="20"/>
      <c r="J558" s="20"/>
      <c r="K558" s="18" t="str">
        <f aca="false">IF(COUNT($F558:$J558)=0,"",SUM($F558:$J558))</f>
        <v/>
      </c>
      <c r="L558" s="18" t="str">
        <f aca="false">IF(COUNT($F558:$J558)=0,"",MAX($F558:$J558))</f>
        <v/>
      </c>
      <c r="M558" s="18" t="str">
        <f aca="false">IFERROR(IF(OR($C558="",COUNT($F558:$J558)&lt;3),"",IF(N(INDEX(Lists!$C$2:$C$40,MATCH($C558,Lists!$A$2:$A$40,0)))=0,"",IF(MIN($F558:$J558)&gt;=INDEX(Lists!$C$2:$C$40,MATCH($C558,Lists!$A$2:$A$40,0)),"LEVEL UP",""))),"")</f>
        <v/>
      </c>
      <c r="N558" s="20"/>
      <c r="O558" s="19"/>
    </row>
    <row r="559" customFormat="false" ht="15" hidden="false" customHeight="false" outlineLevel="0" collapsed="false">
      <c r="A559" s="17"/>
      <c r="B559" s="18" t="str">
        <f aca="false">IF($A559="","",TEXT($A559,"ddd"))</f>
        <v/>
      </c>
      <c r="C559" s="19"/>
      <c r="D559" s="19"/>
      <c r="E559" s="18" t="str">
        <f aca="false">IF($C559="","",IFERROR(INDEX(Lists!$B$2:$B$40,MATCH($C559,Lists!$A$2:$A$40,0)),""))</f>
        <v/>
      </c>
      <c r="F559" s="20"/>
      <c r="G559" s="20"/>
      <c r="H559" s="20"/>
      <c r="I559" s="20"/>
      <c r="J559" s="20"/>
      <c r="K559" s="18" t="str">
        <f aca="false">IF(COUNT($F559:$J559)=0,"",SUM($F559:$J559))</f>
        <v/>
      </c>
      <c r="L559" s="18" t="str">
        <f aca="false">IF(COUNT($F559:$J559)=0,"",MAX($F559:$J559))</f>
        <v/>
      </c>
      <c r="M559" s="18" t="str">
        <f aca="false">IFERROR(IF(OR($C559="",COUNT($F559:$J559)&lt;3),"",IF(N(INDEX(Lists!$C$2:$C$40,MATCH($C559,Lists!$A$2:$A$40,0)))=0,"",IF(MIN($F559:$J559)&gt;=INDEX(Lists!$C$2:$C$40,MATCH($C559,Lists!$A$2:$A$40,0)),"LEVEL UP",""))),"")</f>
        <v/>
      </c>
      <c r="N559" s="20"/>
      <c r="O559" s="19"/>
    </row>
    <row r="560" customFormat="false" ht="15" hidden="false" customHeight="false" outlineLevel="0" collapsed="false">
      <c r="A560" s="17"/>
      <c r="B560" s="18" t="str">
        <f aca="false">IF($A560="","",TEXT($A560,"ddd"))</f>
        <v/>
      </c>
      <c r="C560" s="19"/>
      <c r="D560" s="19"/>
      <c r="E560" s="18" t="str">
        <f aca="false">IF($C560="","",IFERROR(INDEX(Lists!$B$2:$B$40,MATCH($C560,Lists!$A$2:$A$40,0)),""))</f>
        <v/>
      </c>
      <c r="F560" s="20"/>
      <c r="G560" s="20"/>
      <c r="H560" s="20"/>
      <c r="I560" s="20"/>
      <c r="J560" s="20"/>
      <c r="K560" s="18" t="str">
        <f aca="false">IF(COUNT($F560:$J560)=0,"",SUM($F560:$J560))</f>
        <v/>
      </c>
      <c r="L560" s="18" t="str">
        <f aca="false">IF(COUNT($F560:$J560)=0,"",MAX($F560:$J560))</f>
        <v/>
      </c>
      <c r="M560" s="18" t="str">
        <f aca="false">IFERROR(IF(OR($C560="",COUNT($F560:$J560)&lt;3),"",IF(N(INDEX(Lists!$C$2:$C$40,MATCH($C560,Lists!$A$2:$A$40,0)))=0,"",IF(MIN($F560:$J560)&gt;=INDEX(Lists!$C$2:$C$40,MATCH($C560,Lists!$A$2:$A$40,0)),"LEVEL UP",""))),"")</f>
        <v/>
      </c>
      <c r="N560" s="20"/>
      <c r="O560" s="19"/>
    </row>
    <row r="561" customFormat="false" ht="15" hidden="false" customHeight="false" outlineLevel="0" collapsed="false">
      <c r="A561" s="17"/>
      <c r="B561" s="18" t="str">
        <f aca="false">IF($A561="","",TEXT($A561,"ddd"))</f>
        <v/>
      </c>
      <c r="C561" s="19"/>
      <c r="D561" s="19"/>
      <c r="E561" s="18" t="str">
        <f aca="false">IF($C561="","",IFERROR(INDEX(Lists!$B$2:$B$40,MATCH($C561,Lists!$A$2:$A$40,0)),""))</f>
        <v/>
      </c>
      <c r="F561" s="20"/>
      <c r="G561" s="20"/>
      <c r="H561" s="20"/>
      <c r="I561" s="20"/>
      <c r="J561" s="20"/>
      <c r="K561" s="18" t="str">
        <f aca="false">IF(COUNT($F561:$J561)=0,"",SUM($F561:$J561))</f>
        <v/>
      </c>
      <c r="L561" s="18" t="str">
        <f aca="false">IF(COUNT($F561:$J561)=0,"",MAX($F561:$J561))</f>
        <v/>
      </c>
      <c r="M561" s="18" t="str">
        <f aca="false">IFERROR(IF(OR($C561="",COUNT($F561:$J561)&lt;3),"",IF(N(INDEX(Lists!$C$2:$C$40,MATCH($C561,Lists!$A$2:$A$40,0)))=0,"",IF(MIN($F561:$J561)&gt;=INDEX(Lists!$C$2:$C$40,MATCH($C561,Lists!$A$2:$A$40,0)),"LEVEL UP",""))),"")</f>
        <v/>
      </c>
      <c r="N561" s="20"/>
      <c r="O561" s="19"/>
    </row>
    <row r="562" customFormat="false" ht="15" hidden="false" customHeight="false" outlineLevel="0" collapsed="false">
      <c r="A562" s="17"/>
      <c r="B562" s="18" t="str">
        <f aca="false">IF($A562="","",TEXT($A562,"ddd"))</f>
        <v/>
      </c>
      <c r="C562" s="19"/>
      <c r="D562" s="19"/>
      <c r="E562" s="18" t="str">
        <f aca="false">IF($C562="","",IFERROR(INDEX(Lists!$B$2:$B$40,MATCH($C562,Lists!$A$2:$A$40,0)),""))</f>
        <v/>
      </c>
      <c r="F562" s="20"/>
      <c r="G562" s="20"/>
      <c r="H562" s="20"/>
      <c r="I562" s="20"/>
      <c r="J562" s="20"/>
      <c r="K562" s="18" t="str">
        <f aca="false">IF(COUNT($F562:$J562)=0,"",SUM($F562:$J562))</f>
        <v/>
      </c>
      <c r="L562" s="18" t="str">
        <f aca="false">IF(COUNT($F562:$J562)=0,"",MAX($F562:$J562))</f>
        <v/>
      </c>
      <c r="M562" s="18" t="str">
        <f aca="false">IFERROR(IF(OR($C562="",COUNT($F562:$J562)&lt;3),"",IF(N(INDEX(Lists!$C$2:$C$40,MATCH($C562,Lists!$A$2:$A$40,0)))=0,"",IF(MIN($F562:$J562)&gt;=INDEX(Lists!$C$2:$C$40,MATCH($C562,Lists!$A$2:$A$40,0)),"LEVEL UP",""))),"")</f>
        <v/>
      </c>
      <c r="N562" s="20"/>
      <c r="O562" s="19"/>
    </row>
    <row r="563" customFormat="false" ht="15" hidden="false" customHeight="false" outlineLevel="0" collapsed="false">
      <c r="A563" s="17"/>
      <c r="B563" s="18" t="str">
        <f aca="false">IF($A563="","",TEXT($A563,"ddd"))</f>
        <v/>
      </c>
      <c r="C563" s="19"/>
      <c r="D563" s="19"/>
      <c r="E563" s="18" t="str">
        <f aca="false">IF($C563="","",IFERROR(INDEX(Lists!$B$2:$B$40,MATCH($C563,Lists!$A$2:$A$40,0)),""))</f>
        <v/>
      </c>
      <c r="F563" s="20"/>
      <c r="G563" s="20"/>
      <c r="H563" s="20"/>
      <c r="I563" s="20"/>
      <c r="J563" s="20"/>
      <c r="K563" s="18" t="str">
        <f aca="false">IF(COUNT($F563:$J563)=0,"",SUM($F563:$J563))</f>
        <v/>
      </c>
      <c r="L563" s="18" t="str">
        <f aca="false">IF(COUNT($F563:$J563)=0,"",MAX($F563:$J563))</f>
        <v/>
      </c>
      <c r="M563" s="18" t="str">
        <f aca="false">IFERROR(IF(OR($C563="",COUNT($F563:$J563)&lt;3),"",IF(N(INDEX(Lists!$C$2:$C$40,MATCH($C563,Lists!$A$2:$A$40,0)))=0,"",IF(MIN($F563:$J563)&gt;=INDEX(Lists!$C$2:$C$40,MATCH($C563,Lists!$A$2:$A$40,0)),"LEVEL UP",""))),"")</f>
        <v/>
      </c>
      <c r="N563" s="20"/>
      <c r="O563" s="19"/>
    </row>
    <row r="564" customFormat="false" ht="15" hidden="false" customHeight="false" outlineLevel="0" collapsed="false">
      <c r="A564" s="17"/>
      <c r="B564" s="18" t="str">
        <f aca="false">IF($A564="","",TEXT($A564,"ddd"))</f>
        <v/>
      </c>
      <c r="C564" s="19"/>
      <c r="D564" s="19"/>
      <c r="E564" s="18" t="str">
        <f aca="false">IF($C564="","",IFERROR(INDEX(Lists!$B$2:$B$40,MATCH($C564,Lists!$A$2:$A$40,0)),""))</f>
        <v/>
      </c>
      <c r="F564" s="20"/>
      <c r="G564" s="20"/>
      <c r="H564" s="20"/>
      <c r="I564" s="20"/>
      <c r="J564" s="20"/>
      <c r="K564" s="18" t="str">
        <f aca="false">IF(COUNT($F564:$J564)=0,"",SUM($F564:$J564))</f>
        <v/>
      </c>
      <c r="L564" s="18" t="str">
        <f aca="false">IF(COUNT($F564:$J564)=0,"",MAX($F564:$J564))</f>
        <v/>
      </c>
      <c r="M564" s="18" t="str">
        <f aca="false">IFERROR(IF(OR($C564="",COUNT($F564:$J564)&lt;3),"",IF(N(INDEX(Lists!$C$2:$C$40,MATCH($C564,Lists!$A$2:$A$40,0)))=0,"",IF(MIN($F564:$J564)&gt;=INDEX(Lists!$C$2:$C$40,MATCH($C564,Lists!$A$2:$A$40,0)),"LEVEL UP",""))),"")</f>
        <v/>
      </c>
      <c r="N564" s="20"/>
      <c r="O564" s="19"/>
    </row>
    <row r="565" customFormat="false" ht="15" hidden="false" customHeight="false" outlineLevel="0" collapsed="false">
      <c r="A565" s="17"/>
      <c r="B565" s="18" t="str">
        <f aca="false">IF($A565="","",TEXT($A565,"ddd"))</f>
        <v/>
      </c>
      <c r="C565" s="19"/>
      <c r="D565" s="19"/>
      <c r="E565" s="18" t="str">
        <f aca="false">IF($C565="","",IFERROR(INDEX(Lists!$B$2:$B$40,MATCH($C565,Lists!$A$2:$A$40,0)),""))</f>
        <v/>
      </c>
      <c r="F565" s="20"/>
      <c r="G565" s="20"/>
      <c r="H565" s="20"/>
      <c r="I565" s="20"/>
      <c r="J565" s="20"/>
      <c r="K565" s="18" t="str">
        <f aca="false">IF(COUNT($F565:$J565)=0,"",SUM($F565:$J565))</f>
        <v/>
      </c>
      <c r="L565" s="18" t="str">
        <f aca="false">IF(COUNT($F565:$J565)=0,"",MAX($F565:$J565))</f>
        <v/>
      </c>
      <c r="M565" s="18" t="str">
        <f aca="false">IFERROR(IF(OR($C565="",COUNT($F565:$J565)&lt;3),"",IF(N(INDEX(Lists!$C$2:$C$40,MATCH($C565,Lists!$A$2:$A$40,0)))=0,"",IF(MIN($F565:$J565)&gt;=INDEX(Lists!$C$2:$C$40,MATCH($C565,Lists!$A$2:$A$40,0)),"LEVEL UP",""))),"")</f>
        <v/>
      </c>
      <c r="N565" s="20"/>
      <c r="O565" s="19"/>
    </row>
    <row r="566" customFormat="false" ht="15" hidden="false" customHeight="false" outlineLevel="0" collapsed="false">
      <c r="A566" s="17"/>
      <c r="B566" s="18" t="str">
        <f aca="false">IF($A566="","",TEXT($A566,"ddd"))</f>
        <v/>
      </c>
      <c r="C566" s="19"/>
      <c r="D566" s="19"/>
      <c r="E566" s="18" t="str">
        <f aca="false">IF($C566="","",IFERROR(INDEX(Lists!$B$2:$B$40,MATCH($C566,Lists!$A$2:$A$40,0)),""))</f>
        <v/>
      </c>
      <c r="F566" s="20"/>
      <c r="G566" s="20"/>
      <c r="H566" s="20"/>
      <c r="I566" s="20"/>
      <c r="J566" s="20"/>
      <c r="K566" s="18" t="str">
        <f aca="false">IF(COUNT($F566:$J566)=0,"",SUM($F566:$J566))</f>
        <v/>
      </c>
      <c r="L566" s="18" t="str">
        <f aca="false">IF(COUNT($F566:$J566)=0,"",MAX($F566:$J566))</f>
        <v/>
      </c>
      <c r="M566" s="18" t="str">
        <f aca="false">IFERROR(IF(OR($C566="",COUNT($F566:$J566)&lt;3),"",IF(N(INDEX(Lists!$C$2:$C$40,MATCH($C566,Lists!$A$2:$A$40,0)))=0,"",IF(MIN($F566:$J566)&gt;=INDEX(Lists!$C$2:$C$40,MATCH($C566,Lists!$A$2:$A$40,0)),"LEVEL UP",""))),"")</f>
        <v/>
      </c>
      <c r="N566" s="20"/>
      <c r="O566" s="19"/>
    </row>
    <row r="567" customFormat="false" ht="15" hidden="false" customHeight="false" outlineLevel="0" collapsed="false">
      <c r="A567" s="17"/>
      <c r="B567" s="18" t="str">
        <f aca="false">IF($A567="","",TEXT($A567,"ddd"))</f>
        <v/>
      </c>
      <c r="C567" s="19"/>
      <c r="D567" s="19"/>
      <c r="E567" s="18" t="str">
        <f aca="false">IF($C567="","",IFERROR(INDEX(Lists!$B$2:$B$40,MATCH($C567,Lists!$A$2:$A$40,0)),""))</f>
        <v/>
      </c>
      <c r="F567" s="20"/>
      <c r="G567" s="20"/>
      <c r="H567" s="20"/>
      <c r="I567" s="20"/>
      <c r="J567" s="20"/>
      <c r="K567" s="18" t="str">
        <f aca="false">IF(COUNT($F567:$J567)=0,"",SUM($F567:$J567))</f>
        <v/>
      </c>
      <c r="L567" s="18" t="str">
        <f aca="false">IF(COUNT($F567:$J567)=0,"",MAX($F567:$J567))</f>
        <v/>
      </c>
      <c r="M567" s="18" t="str">
        <f aca="false">IFERROR(IF(OR($C567="",COUNT($F567:$J567)&lt;3),"",IF(N(INDEX(Lists!$C$2:$C$40,MATCH($C567,Lists!$A$2:$A$40,0)))=0,"",IF(MIN($F567:$J567)&gt;=INDEX(Lists!$C$2:$C$40,MATCH($C567,Lists!$A$2:$A$40,0)),"LEVEL UP",""))),"")</f>
        <v/>
      </c>
      <c r="N567" s="20"/>
      <c r="O567" s="19"/>
    </row>
    <row r="568" customFormat="false" ht="15" hidden="false" customHeight="false" outlineLevel="0" collapsed="false">
      <c r="A568" s="17"/>
      <c r="B568" s="18" t="str">
        <f aca="false">IF($A568="","",TEXT($A568,"ddd"))</f>
        <v/>
      </c>
      <c r="C568" s="19"/>
      <c r="D568" s="19"/>
      <c r="E568" s="18" t="str">
        <f aca="false">IF($C568="","",IFERROR(INDEX(Lists!$B$2:$B$40,MATCH($C568,Lists!$A$2:$A$40,0)),""))</f>
        <v/>
      </c>
      <c r="F568" s="20"/>
      <c r="G568" s="20"/>
      <c r="H568" s="20"/>
      <c r="I568" s="20"/>
      <c r="J568" s="20"/>
      <c r="K568" s="18" t="str">
        <f aca="false">IF(COUNT($F568:$J568)=0,"",SUM($F568:$J568))</f>
        <v/>
      </c>
      <c r="L568" s="18" t="str">
        <f aca="false">IF(COUNT($F568:$J568)=0,"",MAX($F568:$J568))</f>
        <v/>
      </c>
      <c r="M568" s="18" t="str">
        <f aca="false">IFERROR(IF(OR($C568="",COUNT($F568:$J568)&lt;3),"",IF(N(INDEX(Lists!$C$2:$C$40,MATCH($C568,Lists!$A$2:$A$40,0)))=0,"",IF(MIN($F568:$J568)&gt;=INDEX(Lists!$C$2:$C$40,MATCH($C568,Lists!$A$2:$A$40,0)),"LEVEL UP",""))),"")</f>
        <v/>
      </c>
      <c r="N568" s="20"/>
      <c r="O568" s="19"/>
    </row>
    <row r="569" customFormat="false" ht="15" hidden="false" customHeight="false" outlineLevel="0" collapsed="false">
      <c r="A569" s="17"/>
      <c r="B569" s="18" t="str">
        <f aca="false">IF($A569="","",TEXT($A569,"ddd"))</f>
        <v/>
      </c>
      <c r="C569" s="19"/>
      <c r="D569" s="19"/>
      <c r="E569" s="18" t="str">
        <f aca="false">IF($C569="","",IFERROR(INDEX(Lists!$B$2:$B$40,MATCH($C569,Lists!$A$2:$A$40,0)),""))</f>
        <v/>
      </c>
      <c r="F569" s="20"/>
      <c r="G569" s="20"/>
      <c r="H569" s="20"/>
      <c r="I569" s="20"/>
      <c r="J569" s="20"/>
      <c r="K569" s="18" t="str">
        <f aca="false">IF(COUNT($F569:$J569)=0,"",SUM($F569:$J569))</f>
        <v/>
      </c>
      <c r="L569" s="18" t="str">
        <f aca="false">IF(COUNT($F569:$J569)=0,"",MAX($F569:$J569))</f>
        <v/>
      </c>
      <c r="M569" s="18" t="str">
        <f aca="false">IFERROR(IF(OR($C569="",COUNT($F569:$J569)&lt;3),"",IF(N(INDEX(Lists!$C$2:$C$40,MATCH($C569,Lists!$A$2:$A$40,0)))=0,"",IF(MIN($F569:$J569)&gt;=INDEX(Lists!$C$2:$C$40,MATCH($C569,Lists!$A$2:$A$40,0)),"LEVEL UP",""))),"")</f>
        <v/>
      </c>
      <c r="N569" s="20"/>
      <c r="O569" s="19"/>
    </row>
    <row r="570" customFormat="false" ht="15" hidden="false" customHeight="false" outlineLevel="0" collapsed="false">
      <c r="A570" s="17"/>
      <c r="B570" s="18" t="str">
        <f aca="false">IF($A570="","",TEXT($A570,"ddd"))</f>
        <v/>
      </c>
      <c r="C570" s="19"/>
      <c r="D570" s="19"/>
      <c r="E570" s="18" t="str">
        <f aca="false">IF($C570="","",IFERROR(INDEX(Lists!$B$2:$B$40,MATCH($C570,Lists!$A$2:$A$40,0)),""))</f>
        <v/>
      </c>
      <c r="F570" s="20"/>
      <c r="G570" s="20"/>
      <c r="H570" s="20"/>
      <c r="I570" s="20"/>
      <c r="J570" s="20"/>
      <c r="K570" s="18" t="str">
        <f aca="false">IF(COUNT($F570:$J570)=0,"",SUM($F570:$J570))</f>
        <v/>
      </c>
      <c r="L570" s="18" t="str">
        <f aca="false">IF(COUNT($F570:$J570)=0,"",MAX($F570:$J570))</f>
        <v/>
      </c>
      <c r="M570" s="18" t="str">
        <f aca="false">IFERROR(IF(OR($C570="",COUNT($F570:$J570)&lt;3),"",IF(N(INDEX(Lists!$C$2:$C$40,MATCH($C570,Lists!$A$2:$A$40,0)))=0,"",IF(MIN($F570:$J570)&gt;=INDEX(Lists!$C$2:$C$40,MATCH($C570,Lists!$A$2:$A$40,0)),"LEVEL UP",""))),"")</f>
        <v/>
      </c>
      <c r="N570" s="20"/>
      <c r="O570" s="19"/>
    </row>
    <row r="571" customFormat="false" ht="15" hidden="false" customHeight="false" outlineLevel="0" collapsed="false">
      <c r="A571" s="17"/>
      <c r="B571" s="18" t="str">
        <f aca="false">IF($A571="","",TEXT($A571,"ddd"))</f>
        <v/>
      </c>
      <c r="C571" s="19"/>
      <c r="D571" s="19"/>
      <c r="E571" s="18" t="str">
        <f aca="false">IF($C571="","",IFERROR(INDEX(Lists!$B$2:$B$40,MATCH($C571,Lists!$A$2:$A$40,0)),""))</f>
        <v/>
      </c>
      <c r="F571" s="20"/>
      <c r="G571" s="20"/>
      <c r="H571" s="20"/>
      <c r="I571" s="20"/>
      <c r="J571" s="20"/>
      <c r="K571" s="18" t="str">
        <f aca="false">IF(COUNT($F571:$J571)=0,"",SUM($F571:$J571))</f>
        <v/>
      </c>
      <c r="L571" s="18" t="str">
        <f aca="false">IF(COUNT($F571:$J571)=0,"",MAX($F571:$J571))</f>
        <v/>
      </c>
      <c r="M571" s="18" t="str">
        <f aca="false">IFERROR(IF(OR($C571="",COUNT($F571:$J571)&lt;3),"",IF(N(INDEX(Lists!$C$2:$C$40,MATCH($C571,Lists!$A$2:$A$40,0)))=0,"",IF(MIN($F571:$J571)&gt;=INDEX(Lists!$C$2:$C$40,MATCH($C571,Lists!$A$2:$A$40,0)),"LEVEL UP",""))),"")</f>
        <v/>
      </c>
      <c r="N571" s="20"/>
      <c r="O571" s="19"/>
    </row>
    <row r="572" customFormat="false" ht="15" hidden="false" customHeight="false" outlineLevel="0" collapsed="false">
      <c r="A572" s="17"/>
      <c r="B572" s="18" t="str">
        <f aca="false">IF($A572="","",TEXT($A572,"ddd"))</f>
        <v/>
      </c>
      <c r="C572" s="19"/>
      <c r="D572" s="19"/>
      <c r="E572" s="18" t="str">
        <f aca="false">IF($C572="","",IFERROR(INDEX(Lists!$B$2:$B$40,MATCH($C572,Lists!$A$2:$A$40,0)),""))</f>
        <v/>
      </c>
      <c r="F572" s="20"/>
      <c r="G572" s="20"/>
      <c r="H572" s="20"/>
      <c r="I572" s="20"/>
      <c r="J572" s="20"/>
      <c r="K572" s="18" t="str">
        <f aca="false">IF(COUNT($F572:$J572)=0,"",SUM($F572:$J572))</f>
        <v/>
      </c>
      <c r="L572" s="18" t="str">
        <f aca="false">IF(COUNT($F572:$J572)=0,"",MAX($F572:$J572))</f>
        <v/>
      </c>
      <c r="M572" s="18" t="str">
        <f aca="false">IFERROR(IF(OR($C572="",COUNT($F572:$J572)&lt;3),"",IF(N(INDEX(Lists!$C$2:$C$40,MATCH($C572,Lists!$A$2:$A$40,0)))=0,"",IF(MIN($F572:$J572)&gt;=INDEX(Lists!$C$2:$C$40,MATCH($C572,Lists!$A$2:$A$40,0)),"LEVEL UP",""))),"")</f>
        <v/>
      </c>
      <c r="N572" s="20"/>
      <c r="O572" s="19"/>
    </row>
    <row r="573" customFormat="false" ht="15" hidden="false" customHeight="false" outlineLevel="0" collapsed="false">
      <c r="A573" s="17"/>
      <c r="B573" s="18" t="str">
        <f aca="false">IF($A573="","",TEXT($A573,"ddd"))</f>
        <v/>
      </c>
      <c r="C573" s="19"/>
      <c r="D573" s="19"/>
      <c r="E573" s="18" t="str">
        <f aca="false">IF($C573="","",IFERROR(INDEX(Lists!$B$2:$B$40,MATCH($C573,Lists!$A$2:$A$40,0)),""))</f>
        <v/>
      </c>
      <c r="F573" s="20"/>
      <c r="G573" s="20"/>
      <c r="H573" s="20"/>
      <c r="I573" s="20"/>
      <c r="J573" s="20"/>
      <c r="K573" s="18" t="str">
        <f aca="false">IF(COUNT($F573:$J573)=0,"",SUM($F573:$J573))</f>
        <v/>
      </c>
      <c r="L573" s="18" t="str">
        <f aca="false">IF(COUNT($F573:$J573)=0,"",MAX($F573:$J573))</f>
        <v/>
      </c>
      <c r="M573" s="18" t="str">
        <f aca="false">IFERROR(IF(OR($C573="",COUNT($F573:$J573)&lt;3),"",IF(N(INDEX(Lists!$C$2:$C$40,MATCH($C573,Lists!$A$2:$A$40,0)))=0,"",IF(MIN($F573:$J573)&gt;=INDEX(Lists!$C$2:$C$40,MATCH($C573,Lists!$A$2:$A$40,0)),"LEVEL UP",""))),"")</f>
        <v/>
      </c>
      <c r="N573" s="20"/>
      <c r="O573" s="19"/>
    </row>
    <row r="574" customFormat="false" ht="15" hidden="false" customHeight="false" outlineLevel="0" collapsed="false">
      <c r="A574" s="17"/>
      <c r="B574" s="18" t="str">
        <f aca="false">IF($A574="","",TEXT($A574,"ddd"))</f>
        <v/>
      </c>
      <c r="C574" s="19"/>
      <c r="D574" s="19"/>
      <c r="E574" s="18" t="str">
        <f aca="false">IF($C574="","",IFERROR(INDEX(Lists!$B$2:$B$40,MATCH($C574,Lists!$A$2:$A$40,0)),""))</f>
        <v/>
      </c>
      <c r="F574" s="20"/>
      <c r="G574" s="20"/>
      <c r="H574" s="20"/>
      <c r="I574" s="20"/>
      <c r="J574" s="20"/>
      <c r="K574" s="18" t="str">
        <f aca="false">IF(COUNT($F574:$J574)=0,"",SUM($F574:$J574))</f>
        <v/>
      </c>
      <c r="L574" s="18" t="str">
        <f aca="false">IF(COUNT($F574:$J574)=0,"",MAX($F574:$J574))</f>
        <v/>
      </c>
      <c r="M574" s="18" t="str">
        <f aca="false">IFERROR(IF(OR($C574="",COUNT($F574:$J574)&lt;3),"",IF(N(INDEX(Lists!$C$2:$C$40,MATCH($C574,Lists!$A$2:$A$40,0)))=0,"",IF(MIN($F574:$J574)&gt;=INDEX(Lists!$C$2:$C$40,MATCH($C574,Lists!$A$2:$A$40,0)),"LEVEL UP",""))),"")</f>
        <v/>
      </c>
      <c r="N574" s="20"/>
      <c r="O574" s="19"/>
    </row>
    <row r="575" customFormat="false" ht="15" hidden="false" customHeight="false" outlineLevel="0" collapsed="false">
      <c r="A575" s="17"/>
      <c r="B575" s="18" t="str">
        <f aca="false">IF($A575="","",TEXT($A575,"ddd"))</f>
        <v/>
      </c>
      <c r="C575" s="19"/>
      <c r="D575" s="19"/>
      <c r="E575" s="18" t="str">
        <f aca="false">IF($C575="","",IFERROR(INDEX(Lists!$B$2:$B$40,MATCH($C575,Lists!$A$2:$A$40,0)),""))</f>
        <v/>
      </c>
      <c r="F575" s="20"/>
      <c r="G575" s="20"/>
      <c r="H575" s="20"/>
      <c r="I575" s="20"/>
      <c r="J575" s="20"/>
      <c r="K575" s="18" t="str">
        <f aca="false">IF(COUNT($F575:$J575)=0,"",SUM($F575:$J575))</f>
        <v/>
      </c>
      <c r="L575" s="18" t="str">
        <f aca="false">IF(COUNT($F575:$J575)=0,"",MAX($F575:$J575))</f>
        <v/>
      </c>
      <c r="M575" s="18" t="str">
        <f aca="false">IFERROR(IF(OR($C575="",COUNT($F575:$J575)&lt;3),"",IF(N(INDEX(Lists!$C$2:$C$40,MATCH($C575,Lists!$A$2:$A$40,0)))=0,"",IF(MIN($F575:$J575)&gt;=INDEX(Lists!$C$2:$C$40,MATCH($C575,Lists!$A$2:$A$40,0)),"LEVEL UP",""))),"")</f>
        <v/>
      </c>
      <c r="N575" s="20"/>
      <c r="O575" s="19"/>
    </row>
    <row r="576" customFormat="false" ht="15" hidden="false" customHeight="false" outlineLevel="0" collapsed="false">
      <c r="A576" s="17"/>
      <c r="B576" s="18" t="str">
        <f aca="false">IF($A576="","",TEXT($A576,"ddd"))</f>
        <v/>
      </c>
      <c r="C576" s="19"/>
      <c r="D576" s="19"/>
      <c r="E576" s="18" t="str">
        <f aca="false">IF($C576="","",IFERROR(INDEX(Lists!$B$2:$B$40,MATCH($C576,Lists!$A$2:$A$40,0)),""))</f>
        <v/>
      </c>
      <c r="F576" s="20"/>
      <c r="G576" s="20"/>
      <c r="H576" s="20"/>
      <c r="I576" s="20"/>
      <c r="J576" s="20"/>
      <c r="K576" s="18" t="str">
        <f aca="false">IF(COUNT($F576:$J576)=0,"",SUM($F576:$J576))</f>
        <v/>
      </c>
      <c r="L576" s="18" t="str">
        <f aca="false">IF(COUNT($F576:$J576)=0,"",MAX($F576:$J576))</f>
        <v/>
      </c>
      <c r="M576" s="18" t="str">
        <f aca="false">IFERROR(IF(OR($C576="",COUNT($F576:$J576)&lt;3),"",IF(N(INDEX(Lists!$C$2:$C$40,MATCH($C576,Lists!$A$2:$A$40,0)))=0,"",IF(MIN($F576:$J576)&gt;=INDEX(Lists!$C$2:$C$40,MATCH($C576,Lists!$A$2:$A$40,0)),"LEVEL UP",""))),"")</f>
        <v/>
      </c>
      <c r="N576" s="20"/>
      <c r="O576" s="19"/>
    </row>
    <row r="577" customFormat="false" ht="15" hidden="false" customHeight="false" outlineLevel="0" collapsed="false">
      <c r="A577" s="17"/>
      <c r="B577" s="18" t="str">
        <f aca="false">IF($A577="","",TEXT($A577,"ddd"))</f>
        <v/>
      </c>
      <c r="C577" s="19"/>
      <c r="D577" s="19"/>
      <c r="E577" s="18" t="str">
        <f aca="false">IF($C577="","",IFERROR(INDEX(Lists!$B$2:$B$40,MATCH($C577,Lists!$A$2:$A$40,0)),""))</f>
        <v/>
      </c>
      <c r="F577" s="20"/>
      <c r="G577" s="20"/>
      <c r="H577" s="20"/>
      <c r="I577" s="20"/>
      <c r="J577" s="20"/>
      <c r="K577" s="18" t="str">
        <f aca="false">IF(COUNT($F577:$J577)=0,"",SUM($F577:$J577))</f>
        <v/>
      </c>
      <c r="L577" s="18" t="str">
        <f aca="false">IF(COUNT($F577:$J577)=0,"",MAX($F577:$J577))</f>
        <v/>
      </c>
      <c r="M577" s="18" t="str">
        <f aca="false">IFERROR(IF(OR($C577="",COUNT($F577:$J577)&lt;3),"",IF(N(INDEX(Lists!$C$2:$C$40,MATCH($C577,Lists!$A$2:$A$40,0)))=0,"",IF(MIN($F577:$J577)&gt;=INDEX(Lists!$C$2:$C$40,MATCH($C577,Lists!$A$2:$A$40,0)),"LEVEL UP",""))),"")</f>
        <v/>
      </c>
      <c r="N577" s="20"/>
      <c r="O577" s="19"/>
    </row>
    <row r="578" customFormat="false" ht="15" hidden="false" customHeight="false" outlineLevel="0" collapsed="false">
      <c r="A578" s="17"/>
      <c r="B578" s="18" t="str">
        <f aca="false">IF($A578="","",TEXT($A578,"ddd"))</f>
        <v/>
      </c>
      <c r="C578" s="19"/>
      <c r="D578" s="19"/>
      <c r="E578" s="18" t="str">
        <f aca="false">IF($C578="","",IFERROR(INDEX(Lists!$B$2:$B$40,MATCH($C578,Lists!$A$2:$A$40,0)),""))</f>
        <v/>
      </c>
      <c r="F578" s="20"/>
      <c r="G578" s="20"/>
      <c r="H578" s="20"/>
      <c r="I578" s="20"/>
      <c r="J578" s="20"/>
      <c r="K578" s="18" t="str">
        <f aca="false">IF(COUNT($F578:$J578)=0,"",SUM($F578:$J578))</f>
        <v/>
      </c>
      <c r="L578" s="18" t="str">
        <f aca="false">IF(COUNT($F578:$J578)=0,"",MAX($F578:$J578))</f>
        <v/>
      </c>
      <c r="M578" s="18" t="str">
        <f aca="false">IFERROR(IF(OR($C578="",COUNT($F578:$J578)&lt;3),"",IF(N(INDEX(Lists!$C$2:$C$40,MATCH($C578,Lists!$A$2:$A$40,0)))=0,"",IF(MIN($F578:$J578)&gt;=INDEX(Lists!$C$2:$C$40,MATCH($C578,Lists!$A$2:$A$40,0)),"LEVEL UP",""))),"")</f>
        <v/>
      </c>
      <c r="N578" s="20"/>
      <c r="O578" s="19"/>
    </row>
    <row r="579" customFormat="false" ht="15" hidden="false" customHeight="false" outlineLevel="0" collapsed="false">
      <c r="A579" s="17"/>
      <c r="B579" s="18" t="str">
        <f aca="false">IF($A579="","",TEXT($A579,"ddd"))</f>
        <v/>
      </c>
      <c r="C579" s="19"/>
      <c r="D579" s="19"/>
      <c r="E579" s="18" t="str">
        <f aca="false">IF($C579="","",IFERROR(INDEX(Lists!$B$2:$B$40,MATCH($C579,Lists!$A$2:$A$40,0)),""))</f>
        <v/>
      </c>
      <c r="F579" s="20"/>
      <c r="G579" s="20"/>
      <c r="H579" s="20"/>
      <c r="I579" s="20"/>
      <c r="J579" s="20"/>
      <c r="K579" s="18" t="str">
        <f aca="false">IF(COUNT($F579:$J579)=0,"",SUM($F579:$J579))</f>
        <v/>
      </c>
      <c r="L579" s="18" t="str">
        <f aca="false">IF(COUNT($F579:$J579)=0,"",MAX($F579:$J579))</f>
        <v/>
      </c>
      <c r="M579" s="18" t="str">
        <f aca="false">IFERROR(IF(OR($C579="",COUNT($F579:$J579)&lt;3),"",IF(N(INDEX(Lists!$C$2:$C$40,MATCH($C579,Lists!$A$2:$A$40,0)))=0,"",IF(MIN($F579:$J579)&gt;=INDEX(Lists!$C$2:$C$40,MATCH($C579,Lists!$A$2:$A$40,0)),"LEVEL UP",""))),"")</f>
        <v/>
      </c>
      <c r="N579" s="20"/>
      <c r="O579" s="19"/>
    </row>
    <row r="580" customFormat="false" ht="15" hidden="false" customHeight="false" outlineLevel="0" collapsed="false">
      <c r="A580" s="17"/>
      <c r="B580" s="18" t="str">
        <f aca="false">IF($A580="","",TEXT($A580,"ddd"))</f>
        <v/>
      </c>
      <c r="C580" s="19"/>
      <c r="D580" s="19"/>
      <c r="E580" s="18" t="str">
        <f aca="false">IF($C580="","",IFERROR(INDEX(Lists!$B$2:$B$40,MATCH($C580,Lists!$A$2:$A$40,0)),""))</f>
        <v/>
      </c>
      <c r="F580" s="20"/>
      <c r="G580" s="20"/>
      <c r="H580" s="20"/>
      <c r="I580" s="20"/>
      <c r="J580" s="20"/>
      <c r="K580" s="18" t="str">
        <f aca="false">IF(COUNT($F580:$J580)=0,"",SUM($F580:$J580))</f>
        <v/>
      </c>
      <c r="L580" s="18" t="str">
        <f aca="false">IF(COUNT($F580:$J580)=0,"",MAX($F580:$J580))</f>
        <v/>
      </c>
      <c r="M580" s="18" t="str">
        <f aca="false">IFERROR(IF(OR($C580="",COUNT($F580:$J580)&lt;3),"",IF(N(INDEX(Lists!$C$2:$C$40,MATCH($C580,Lists!$A$2:$A$40,0)))=0,"",IF(MIN($F580:$J580)&gt;=INDEX(Lists!$C$2:$C$40,MATCH($C580,Lists!$A$2:$A$40,0)),"LEVEL UP",""))),"")</f>
        <v/>
      </c>
      <c r="N580" s="20"/>
      <c r="O580" s="19"/>
    </row>
    <row r="581" customFormat="false" ht="15" hidden="false" customHeight="false" outlineLevel="0" collapsed="false">
      <c r="A581" s="17"/>
      <c r="B581" s="18" t="str">
        <f aca="false">IF($A581="","",TEXT($A581,"ddd"))</f>
        <v/>
      </c>
      <c r="C581" s="19"/>
      <c r="D581" s="19"/>
      <c r="E581" s="18" t="str">
        <f aca="false">IF($C581="","",IFERROR(INDEX(Lists!$B$2:$B$40,MATCH($C581,Lists!$A$2:$A$40,0)),""))</f>
        <v/>
      </c>
      <c r="F581" s="20"/>
      <c r="G581" s="20"/>
      <c r="H581" s="20"/>
      <c r="I581" s="20"/>
      <c r="J581" s="20"/>
      <c r="K581" s="18" t="str">
        <f aca="false">IF(COUNT($F581:$J581)=0,"",SUM($F581:$J581))</f>
        <v/>
      </c>
      <c r="L581" s="18" t="str">
        <f aca="false">IF(COUNT($F581:$J581)=0,"",MAX($F581:$J581))</f>
        <v/>
      </c>
      <c r="M581" s="18" t="str">
        <f aca="false">IFERROR(IF(OR($C581="",COUNT($F581:$J581)&lt;3),"",IF(N(INDEX(Lists!$C$2:$C$40,MATCH($C581,Lists!$A$2:$A$40,0)))=0,"",IF(MIN($F581:$J581)&gt;=INDEX(Lists!$C$2:$C$40,MATCH($C581,Lists!$A$2:$A$40,0)),"LEVEL UP",""))),"")</f>
        <v/>
      </c>
      <c r="N581" s="20"/>
      <c r="O581" s="19"/>
    </row>
    <row r="582" customFormat="false" ht="15" hidden="false" customHeight="false" outlineLevel="0" collapsed="false">
      <c r="A582" s="17"/>
      <c r="B582" s="18" t="str">
        <f aca="false">IF($A582="","",TEXT($A582,"ddd"))</f>
        <v/>
      </c>
      <c r="C582" s="19"/>
      <c r="D582" s="19"/>
      <c r="E582" s="18" t="str">
        <f aca="false">IF($C582="","",IFERROR(INDEX(Lists!$B$2:$B$40,MATCH($C582,Lists!$A$2:$A$40,0)),""))</f>
        <v/>
      </c>
      <c r="F582" s="20"/>
      <c r="G582" s="20"/>
      <c r="H582" s="20"/>
      <c r="I582" s="20"/>
      <c r="J582" s="20"/>
      <c r="K582" s="18" t="str">
        <f aca="false">IF(COUNT($F582:$J582)=0,"",SUM($F582:$J582))</f>
        <v/>
      </c>
      <c r="L582" s="18" t="str">
        <f aca="false">IF(COUNT($F582:$J582)=0,"",MAX($F582:$J582))</f>
        <v/>
      </c>
      <c r="M582" s="18" t="str">
        <f aca="false">IFERROR(IF(OR($C582="",COUNT($F582:$J582)&lt;3),"",IF(N(INDEX(Lists!$C$2:$C$40,MATCH($C582,Lists!$A$2:$A$40,0)))=0,"",IF(MIN($F582:$J582)&gt;=INDEX(Lists!$C$2:$C$40,MATCH($C582,Lists!$A$2:$A$40,0)),"LEVEL UP",""))),"")</f>
        <v/>
      </c>
      <c r="N582" s="20"/>
      <c r="O582" s="19"/>
    </row>
    <row r="583" customFormat="false" ht="15" hidden="false" customHeight="false" outlineLevel="0" collapsed="false">
      <c r="A583" s="17"/>
      <c r="B583" s="18" t="str">
        <f aca="false">IF($A583="","",TEXT($A583,"ddd"))</f>
        <v/>
      </c>
      <c r="C583" s="19"/>
      <c r="D583" s="19"/>
      <c r="E583" s="18" t="str">
        <f aca="false">IF($C583="","",IFERROR(INDEX(Lists!$B$2:$B$40,MATCH($C583,Lists!$A$2:$A$40,0)),""))</f>
        <v/>
      </c>
      <c r="F583" s="20"/>
      <c r="G583" s="20"/>
      <c r="H583" s="20"/>
      <c r="I583" s="20"/>
      <c r="J583" s="20"/>
      <c r="K583" s="18" t="str">
        <f aca="false">IF(COUNT($F583:$J583)=0,"",SUM($F583:$J583))</f>
        <v/>
      </c>
      <c r="L583" s="18" t="str">
        <f aca="false">IF(COUNT($F583:$J583)=0,"",MAX($F583:$J583))</f>
        <v/>
      </c>
      <c r="M583" s="18" t="str">
        <f aca="false">IFERROR(IF(OR($C583="",COUNT($F583:$J583)&lt;3),"",IF(N(INDEX(Lists!$C$2:$C$40,MATCH($C583,Lists!$A$2:$A$40,0)))=0,"",IF(MIN($F583:$J583)&gt;=INDEX(Lists!$C$2:$C$40,MATCH($C583,Lists!$A$2:$A$40,0)),"LEVEL UP",""))),"")</f>
        <v/>
      </c>
      <c r="N583" s="20"/>
      <c r="O583" s="19"/>
    </row>
    <row r="584" customFormat="false" ht="15" hidden="false" customHeight="false" outlineLevel="0" collapsed="false">
      <c r="A584" s="17"/>
      <c r="B584" s="18" t="str">
        <f aca="false">IF($A584="","",TEXT($A584,"ddd"))</f>
        <v/>
      </c>
      <c r="C584" s="19"/>
      <c r="D584" s="19"/>
      <c r="E584" s="18" t="str">
        <f aca="false">IF($C584="","",IFERROR(INDEX(Lists!$B$2:$B$40,MATCH($C584,Lists!$A$2:$A$40,0)),""))</f>
        <v/>
      </c>
      <c r="F584" s="20"/>
      <c r="G584" s="20"/>
      <c r="H584" s="20"/>
      <c r="I584" s="20"/>
      <c r="J584" s="20"/>
      <c r="K584" s="18" t="str">
        <f aca="false">IF(COUNT($F584:$J584)=0,"",SUM($F584:$J584))</f>
        <v/>
      </c>
      <c r="L584" s="18" t="str">
        <f aca="false">IF(COUNT($F584:$J584)=0,"",MAX($F584:$J584))</f>
        <v/>
      </c>
      <c r="M584" s="18" t="str">
        <f aca="false">IFERROR(IF(OR($C584="",COUNT($F584:$J584)&lt;3),"",IF(N(INDEX(Lists!$C$2:$C$40,MATCH($C584,Lists!$A$2:$A$40,0)))=0,"",IF(MIN($F584:$J584)&gt;=INDEX(Lists!$C$2:$C$40,MATCH($C584,Lists!$A$2:$A$40,0)),"LEVEL UP",""))),"")</f>
        <v/>
      </c>
      <c r="N584" s="20"/>
      <c r="O584" s="19"/>
    </row>
    <row r="585" customFormat="false" ht="15" hidden="false" customHeight="false" outlineLevel="0" collapsed="false">
      <c r="A585" s="17"/>
      <c r="B585" s="18" t="str">
        <f aca="false">IF($A585="","",TEXT($A585,"ddd"))</f>
        <v/>
      </c>
      <c r="C585" s="19"/>
      <c r="D585" s="19"/>
      <c r="E585" s="18" t="str">
        <f aca="false">IF($C585="","",IFERROR(INDEX(Lists!$B$2:$B$40,MATCH($C585,Lists!$A$2:$A$40,0)),""))</f>
        <v/>
      </c>
      <c r="F585" s="20"/>
      <c r="G585" s="20"/>
      <c r="H585" s="20"/>
      <c r="I585" s="20"/>
      <c r="J585" s="20"/>
      <c r="K585" s="18" t="str">
        <f aca="false">IF(COUNT($F585:$J585)=0,"",SUM($F585:$J585))</f>
        <v/>
      </c>
      <c r="L585" s="18" t="str">
        <f aca="false">IF(COUNT($F585:$J585)=0,"",MAX($F585:$J585))</f>
        <v/>
      </c>
      <c r="M585" s="18" t="str">
        <f aca="false">IFERROR(IF(OR($C585="",COUNT($F585:$J585)&lt;3),"",IF(N(INDEX(Lists!$C$2:$C$40,MATCH($C585,Lists!$A$2:$A$40,0)))=0,"",IF(MIN($F585:$J585)&gt;=INDEX(Lists!$C$2:$C$40,MATCH($C585,Lists!$A$2:$A$40,0)),"LEVEL UP",""))),"")</f>
        <v/>
      </c>
      <c r="N585" s="20"/>
      <c r="O585" s="19"/>
    </row>
    <row r="586" customFormat="false" ht="15" hidden="false" customHeight="false" outlineLevel="0" collapsed="false">
      <c r="A586" s="17"/>
      <c r="B586" s="18" t="str">
        <f aca="false">IF($A586="","",TEXT($A586,"ddd"))</f>
        <v/>
      </c>
      <c r="C586" s="19"/>
      <c r="D586" s="19"/>
      <c r="E586" s="18" t="str">
        <f aca="false">IF($C586="","",IFERROR(INDEX(Lists!$B$2:$B$40,MATCH($C586,Lists!$A$2:$A$40,0)),""))</f>
        <v/>
      </c>
      <c r="F586" s="20"/>
      <c r="G586" s="20"/>
      <c r="H586" s="20"/>
      <c r="I586" s="20"/>
      <c r="J586" s="20"/>
      <c r="K586" s="18" t="str">
        <f aca="false">IF(COUNT($F586:$J586)=0,"",SUM($F586:$J586))</f>
        <v/>
      </c>
      <c r="L586" s="18" t="str">
        <f aca="false">IF(COUNT($F586:$J586)=0,"",MAX($F586:$J586))</f>
        <v/>
      </c>
      <c r="M586" s="18" t="str">
        <f aca="false">IFERROR(IF(OR($C586="",COUNT($F586:$J586)&lt;3),"",IF(N(INDEX(Lists!$C$2:$C$40,MATCH($C586,Lists!$A$2:$A$40,0)))=0,"",IF(MIN($F586:$J586)&gt;=INDEX(Lists!$C$2:$C$40,MATCH($C586,Lists!$A$2:$A$40,0)),"LEVEL UP",""))),"")</f>
        <v/>
      </c>
      <c r="N586" s="20"/>
      <c r="O586" s="19"/>
    </row>
    <row r="587" customFormat="false" ht="15" hidden="false" customHeight="false" outlineLevel="0" collapsed="false">
      <c r="A587" s="17"/>
      <c r="B587" s="18" t="str">
        <f aca="false">IF($A587="","",TEXT($A587,"ddd"))</f>
        <v/>
      </c>
      <c r="C587" s="19"/>
      <c r="D587" s="19"/>
      <c r="E587" s="18" t="str">
        <f aca="false">IF($C587="","",IFERROR(INDEX(Lists!$B$2:$B$40,MATCH($C587,Lists!$A$2:$A$40,0)),""))</f>
        <v/>
      </c>
      <c r="F587" s="20"/>
      <c r="G587" s="20"/>
      <c r="H587" s="20"/>
      <c r="I587" s="20"/>
      <c r="J587" s="20"/>
      <c r="K587" s="18" t="str">
        <f aca="false">IF(COUNT($F587:$J587)=0,"",SUM($F587:$J587))</f>
        <v/>
      </c>
      <c r="L587" s="18" t="str">
        <f aca="false">IF(COUNT($F587:$J587)=0,"",MAX($F587:$J587))</f>
        <v/>
      </c>
      <c r="M587" s="18" t="str">
        <f aca="false">IFERROR(IF(OR($C587="",COUNT($F587:$J587)&lt;3),"",IF(N(INDEX(Lists!$C$2:$C$40,MATCH($C587,Lists!$A$2:$A$40,0)))=0,"",IF(MIN($F587:$J587)&gt;=INDEX(Lists!$C$2:$C$40,MATCH($C587,Lists!$A$2:$A$40,0)),"LEVEL UP",""))),"")</f>
        <v/>
      </c>
      <c r="N587" s="20"/>
      <c r="O587" s="19"/>
    </row>
    <row r="588" customFormat="false" ht="15" hidden="false" customHeight="false" outlineLevel="0" collapsed="false">
      <c r="A588" s="17"/>
      <c r="B588" s="18" t="str">
        <f aca="false">IF($A588="","",TEXT($A588,"ddd"))</f>
        <v/>
      </c>
      <c r="C588" s="19"/>
      <c r="D588" s="19"/>
      <c r="E588" s="18" t="str">
        <f aca="false">IF($C588="","",IFERROR(INDEX(Lists!$B$2:$B$40,MATCH($C588,Lists!$A$2:$A$40,0)),""))</f>
        <v/>
      </c>
      <c r="F588" s="20"/>
      <c r="G588" s="20"/>
      <c r="H588" s="20"/>
      <c r="I588" s="20"/>
      <c r="J588" s="20"/>
      <c r="K588" s="18" t="str">
        <f aca="false">IF(COUNT($F588:$J588)=0,"",SUM($F588:$J588))</f>
        <v/>
      </c>
      <c r="L588" s="18" t="str">
        <f aca="false">IF(COUNT($F588:$J588)=0,"",MAX($F588:$J588))</f>
        <v/>
      </c>
      <c r="M588" s="18" t="str">
        <f aca="false">IFERROR(IF(OR($C588="",COUNT($F588:$J588)&lt;3),"",IF(N(INDEX(Lists!$C$2:$C$40,MATCH($C588,Lists!$A$2:$A$40,0)))=0,"",IF(MIN($F588:$J588)&gt;=INDEX(Lists!$C$2:$C$40,MATCH($C588,Lists!$A$2:$A$40,0)),"LEVEL UP",""))),"")</f>
        <v/>
      </c>
      <c r="N588" s="20"/>
      <c r="O588" s="19"/>
    </row>
    <row r="589" customFormat="false" ht="15" hidden="false" customHeight="false" outlineLevel="0" collapsed="false">
      <c r="A589" s="17"/>
      <c r="B589" s="18" t="str">
        <f aca="false">IF($A589="","",TEXT($A589,"ddd"))</f>
        <v/>
      </c>
      <c r="C589" s="19"/>
      <c r="D589" s="19"/>
      <c r="E589" s="18" t="str">
        <f aca="false">IF($C589="","",IFERROR(INDEX(Lists!$B$2:$B$40,MATCH($C589,Lists!$A$2:$A$40,0)),""))</f>
        <v/>
      </c>
      <c r="F589" s="20"/>
      <c r="G589" s="20"/>
      <c r="H589" s="20"/>
      <c r="I589" s="20"/>
      <c r="J589" s="20"/>
      <c r="K589" s="18" t="str">
        <f aca="false">IF(COUNT($F589:$J589)=0,"",SUM($F589:$J589))</f>
        <v/>
      </c>
      <c r="L589" s="18" t="str">
        <f aca="false">IF(COUNT($F589:$J589)=0,"",MAX($F589:$J589))</f>
        <v/>
      </c>
      <c r="M589" s="18" t="str">
        <f aca="false">IFERROR(IF(OR($C589="",COUNT($F589:$J589)&lt;3),"",IF(N(INDEX(Lists!$C$2:$C$40,MATCH($C589,Lists!$A$2:$A$40,0)))=0,"",IF(MIN($F589:$J589)&gt;=INDEX(Lists!$C$2:$C$40,MATCH($C589,Lists!$A$2:$A$40,0)),"LEVEL UP",""))),"")</f>
        <v/>
      </c>
      <c r="N589" s="20"/>
      <c r="O589" s="19"/>
    </row>
    <row r="590" customFormat="false" ht="15" hidden="false" customHeight="false" outlineLevel="0" collapsed="false">
      <c r="A590" s="17"/>
      <c r="B590" s="18" t="str">
        <f aca="false">IF($A590="","",TEXT($A590,"ddd"))</f>
        <v/>
      </c>
      <c r="C590" s="19"/>
      <c r="D590" s="19"/>
      <c r="E590" s="18" t="str">
        <f aca="false">IF($C590="","",IFERROR(INDEX(Lists!$B$2:$B$40,MATCH($C590,Lists!$A$2:$A$40,0)),""))</f>
        <v/>
      </c>
      <c r="F590" s="20"/>
      <c r="G590" s="20"/>
      <c r="H590" s="20"/>
      <c r="I590" s="20"/>
      <c r="J590" s="20"/>
      <c r="K590" s="18" t="str">
        <f aca="false">IF(COUNT($F590:$J590)=0,"",SUM($F590:$J590))</f>
        <v/>
      </c>
      <c r="L590" s="18" t="str">
        <f aca="false">IF(COUNT($F590:$J590)=0,"",MAX($F590:$J590))</f>
        <v/>
      </c>
      <c r="M590" s="18" t="str">
        <f aca="false">IFERROR(IF(OR($C590="",COUNT($F590:$J590)&lt;3),"",IF(N(INDEX(Lists!$C$2:$C$40,MATCH($C590,Lists!$A$2:$A$40,0)))=0,"",IF(MIN($F590:$J590)&gt;=INDEX(Lists!$C$2:$C$40,MATCH($C590,Lists!$A$2:$A$40,0)),"LEVEL UP",""))),"")</f>
        <v/>
      </c>
      <c r="N590" s="20"/>
      <c r="O590" s="19"/>
    </row>
    <row r="591" customFormat="false" ht="15" hidden="false" customHeight="false" outlineLevel="0" collapsed="false">
      <c r="A591" s="17"/>
      <c r="B591" s="18" t="str">
        <f aca="false">IF($A591="","",TEXT($A591,"ddd"))</f>
        <v/>
      </c>
      <c r="C591" s="19"/>
      <c r="D591" s="19"/>
      <c r="E591" s="18" t="str">
        <f aca="false">IF($C591="","",IFERROR(INDEX(Lists!$B$2:$B$40,MATCH($C591,Lists!$A$2:$A$40,0)),""))</f>
        <v/>
      </c>
      <c r="F591" s="20"/>
      <c r="G591" s="20"/>
      <c r="H591" s="20"/>
      <c r="I591" s="20"/>
      <c r="J591" s="20"/>
      <c r="K591" s="18" t="str">
        <f aca="false">IF(COUNT($F591:$J591)=0,"",SUM($F591:$J591))</f>
        <v/>
      </c>
      <c r="L591" s="18" t="str">
        <f aca="false">IF(COUNT($F591:$J591)=0,"",MAX($F591:$J591))</f>
        <v/>
      </c>
      <c r="M591" s="18" t="str">
        <f aca="false">IFERROR(IF(OR($C591="",COUNT($F591:$J591)&lt;3),"",IF(N(INDEX(Lists!$C$2:$C$40,MATCH($C591,Lists!$A$2:$A$40,0)))=0,"",IF(MIN($F591:$J591)&gt;=INDEX(Lists!$C$2:$C$40,MATCH($C591,Lists!$A$2:$A$40,0)),"LEVEL UP",""))),"")</f>
        <v/>
      </c>
      <c r="N591" s="20"/>
      <c r="O591" s="19"/>
    </row>
    <row r="592" customFormat="false" ht="15" hidden="false" customHeight="false" outlineLevel="0" collapsed="false">
      <c r="A592" s="17"/>
      <c r="B592" s="18" t="str">
        <f aca="false">IF($A592="","",TEXT($A592,"ddd"))</f>
        <v/>
      </c>
      <c r="C592" s="19"/>
      <c r="D592" s="19"/>
      <c r="E592" s="18" t="str">
        <f aca="false">IF($C592="","",IFERROR(INDEX(Lists!$B$2:$B$40,MATCH($C592,Lists!$A$2:$A$40,0)),""))</f>
        <v/>
      </c>
      <c r="F592" s="20"/>
      <c r="G592" s="20"/>
      <c r="H592" s="20"/>
      <c r="I592" s="20"/>
      <c r="J592" s="20"/>
      <c r="K592" s="18" t="str">
        <f aca="false">IF(COUNT($F592:$J592)=0,"",SUM($F592:$J592))</f>
        <v/>
      </c>
      <c r="L592" s="18" t="str">
        <f aca="false">IF(COUNT($F592:$J592)=0,"",MAX($F592:$J592))</f>
        <v/>
      </c>
      <c r="M592" s="18" t="str">
        <f aca="false">IFERROR(IF(OR($C592="",COUNT($F592:$J592)&lt;3),"",IF(N(INDEX(Lists!$C$2:$C$40,MATCH($C592,Lists!$A$2:$A$40,0)))=0,"",IF(MIN($F592:$J592)&gt;=INDEX(Lists!$C$2:$C$40,MATCH($C592,Lists!$A$2:$A$40,0)),"LEVEL UP",""))),"")</f>
        <v/>
      </c>
      <c r="N592" s="20"/>
      <c r="O592" s="19"/>
    </row>
    <row r="593" customFormat="false" ht="15" hidden="false" customHeight="false" outlineLevel="0" collapsed="false">
      <c r="A593" s="17"/>
      <c r="B593" s="18" t="str">
        <f aca="false">IF($A593="","",TEXT($A593,"ddd"))</f>
        <v/>
      </c>
      <c r="C593" s="19"/>
      <c r="D593" s="19"/>
      <c r="E593" s="18" t="str">
        <f aca="false">IF($C593="","",IFERROR(INDEX(Lists!$B$2:$B$40,MATCH($C593,Lists!$A$2:$A$40,0)),""))</f>
        <v/>
      </c>
      <c r="F593" s="20"/>
      <c r="G593" s="20"/>
      <c r="H593" s="20"/>
      <c r="I593" s="20"/>
      <c r="J593" s="20"/>
      <c r="K593" s="18" t="str">
        <f aca="false">IF(COUNT($F593:$J593)=0,"",SUM($F593:$J593))</f>
        <v/>
      </c>
      <c r="L593" s="18" t="str">
        <f aca="false">IF(COUNT($F593:$J593)=0,"",MAX($F593:$J593))</f>
        <v/>
      </c>
      <c r="M593" s="18" t="str">
        <f aca="false">IFERROR(IF(OR($C593="",COUNT($F593:$J593)&lt;3),"",IF(N(INDEX(Lists!$C$2:$C$40,MATCH($C593,Lists!$A$2:$A$40,0)))=0,"",IF(MIN($F593:$J593)&gt;=INDEX(Lists!$C$2:$C$40,MATCH($C593,Lists!$A$2:$A$40,0)),"LEVEL UP",""))),"")</f>
        <v/>
      </c>
      <c r="N593" s="20"/>
      <c r="O593" s="19"/>
    </row>
    <row r="594" customFormat="false" ht="15" hidden="false" customHeight="false" outlineLevel="0" collapsed="false">
      <c r="A594" s="17"/>
      <c r="B594" s="18" t="str">
        <f aca="false">IF($A594="","",TEXT($A594,"ddd"))</f>
        <v/>
      </c>
      <c r="C594" s="19"/>
      <c r="D594" s="19"/>
      <c r="E594" s="18" t="str">
        <f aca="false">IF($C594="","",IFERROR(INDEX(Lists!$B$2:$B$40,MATCH($C594,Lists!$A$2:$A$40,0)),""))</f>
        <v/>
      </c>
      <c r="F594" s="20"/>
      <c r="G594" s="20"/>
      <c r="H594" s="20"/>
      <c r="I594" s="20"/>
      <c r="J594" s="20"/>
      <c r="K594" s="18" t="str">
        <f aca="false">IF(COUNT($F594:$J594)=0,"",SUM($F594:$J594))</f>
        <v/>
      </c>
      <c r="L594" s="18" t="str">
        <f aca="false">IF(COUNT($F594:$J594)=0,"",MAX($F594:$J594))</f>
        <v/>
      </c>
      <c r="M594" s="18" t="str">
        <f aca="false">IFERROR(IF(OR($C594="",COUNT($F594:$J594)&lt;3),"",IF(N(INDEX(Lists!$C$2:$C$40,MATCH($C594,Lists!$A$2:$A$40,0)))=0,"",IF(MIN($F594:$J594)&gt;=INDEX(Lists!$C$2:$C$40,MATCH($C594,Lists!$A$2:$A$40,0)),"LEVEL UP",""))),"")</f>
        <v/>
      </c>
      <c r="N594" s="20"/>
      <c r="O594" s="19"/>
    </row>
    <row r="595" customFormat="false" ht="15" hidden="false" customHeight="false" outlineLevel="0" collapsed="false">
      <c r="A595" s="17"/>
      <c r="B595" s="18" t="str">
        <f aca="false">IF($A595="","",TEXT($A595,"ddd"))</f>
        <v/>
      </c>
      <c r="C595" s="19"/>
      <c r="D595" s="19"/>
      <c r="E595" s="18" t="str">
        <f aca="false">IF($C595="","",IFERROR(INDEX(Lists!$B$2:$B$40,MATCH($C595,Lists!$A$2:$A$40,0)),""))</f>
        <v/>
      </c>
      <c r="F595" s="20"/>
      <c r="G595" s="20"/>
      <c r="H595" s="20"/>
      <c r="I595" s="20"/>
      <c r="J595" s="20"/>
      <c r="K595" s="18" t="str">
        <f aca="false">IF(COUNT($F595:$J595)=0,"",SUM($F595:$J595))</f>
        <v/>
      </c>
      <c r="L595" s="18" t="str">
        <f aca="false">IF(COUNT($F595:$J595)=0,"",MAX($F595:$J595))</f>
        <v/>
      </c>
      <c r="M595" s="18" t="str">
        <f aca="false">IFERROR(IF(OR($C595="",COUNT($F595:$J595)&lt;3),"",IF(N(INDEX(Lists!$C$2:$C$40,MATCH($C595,Lists!$A$2:$A$40,0)))=0,"",IF(MIN($F595:$J595)&gt;=INDEX(Lists!$C$2:$C$40,MATCH($C595,Lists!$A$2:$A$40,0)),"LEVEL UP",""))),"")</f>
        <v/>
      </c>
      <c r="N595" s="20"/>
      <c r="O595" s="19"/>
    </row>
    <row r="596" customFormat="false" ht="15" hidden="false" customHeight="false" outlineLevel="0" collapsed="false">
      <c r="A596" s="17"/>
      <c r="B596" s="18" t="str">
        <f aca="false">IF($A596="","",TEXT($A596,"ddd"))</f>
        <v/>
      </c>
      <c r="C596" s="19"/>
      <c r="D596" s="19"/>
      <c r="E596" s="18" t="str">
        <f aca="false">IF($C596="","",IFERROR(INDEX(Lists!$B$2:$B$40,MATCH($C596,Lists!$A$2:$A$40,0)),""))</f>
        <v/>
      </c>
      <c r="F596" s="20"/>
      <c r="G596" s="20"/>
      <c r="H596" s="20"/>
      <c r="I596" s="20"/>
      <c r="J596" s="20"/>
      <c r="K596" s="18" t="str">
        <f aca="false">IF(COUNT($F596:$J596)=0,"",SUM($F596:$J596))</f>
        <v/>
      </c>
      <c r="L596" s="18" t="str">
        <f aca="false">IF(COUNT($F596:$J596)=0,"",MAX($F596:$J596))</f>
        <v/>
      </c>
      <c r="M596" s="18" t="str">
        <f aca="false">IFERROR(IF(OR($C596="",COUNT($F596:$J596)&lt;3),"",IF(N(INDEX(Lists!$C$2:$C$40,MATCH($C596,Lists!$A$2:$A$40,0)))=0,"",IF(MIN($F596:$J596)&gt;=INDEX(Lists!$C$2:$C$40,MATCH($C596,Lists!$A$2:$A$40,0)),"LEVEL UP",""))),"")</f>
        <v/>
      </c>
      <c r="N596" s="20"/>
      <c r="O596" s="19"/>
    </row>
    <row r="597" customFormat="false" ht="15" hidden="false" customHeight="false" outlineLevel="0" collapsed="false">
      <c r="A597" s="17"/>
      <c r="B597" s="18" t="str">
        <f aca="false">IF($A597="","",TEXT($A597,"ddd"))</f>
        <v/>
      </c>
      <c r="C597" s="19"/>
      <c r="D597" s="19"/>
      <c r="E597" s="18" t="str">
        <f aca="false">IF($C597="","",IFERROR(INDEX(Lists!$B$2:$B$40,MATCH($C597,Lists!$A$2:$A$40,0)),""))</f>
        <v/>
      </c>
      <c r="F597" s="20"/>
      <c r="G597" s="20"/>
      <c r="H597" s="20"/>
      <c r="I597" s="20"/>
      <c r="J597" s="20"/>
      <c r="K597" s="18" t="str">
        <f aca="false">IF(COUNT($F597:$J597)=0,"",SUM($F597:$J597))</f>
        <v/>
      </c>
      <c r="L597" s="18" t="str">
        <f aca="false">IF(COUNT($F597:$J597)=0,"",MAX($F597:$J597))</f>
        <v/>
      </c>
      <c r="M597" s="18" t="str">
        <f aca="false">IFERROR(IF(OR($C597="",COUNT($F597:$J597)&lt;3),"",IF(N(INDEX(Lists!$C$2:$C$40,MATCH($C597,Lists!$A$2:$A$40,0)))=0,"",IF(MIN($F597:$J597)&gt;=INDEX(Lists!$C$2:$C$40,MATCH($C597,Lists!$A$2:$A$40,0)),"LEVEL UP",""))),"")</f>
        <v/>
      </c>
      <c r="N597" s="20"/>
      <c r="O597" s="19"/>
    </row>
    <row r="598" customFormat="false" ht="15" hidden="false" customHeight="false" outlineLevel="0" collapsed="false">
      <c r="A598" s="17"/>
      <c r="B598" s="18" t="str">
        <f aca="false">IF($A598="","",TEXT($A598,"ddd"))</f>
        <v/>
      </c>
      <c r="C598" s="19"/>
      <c r="D598" s="19"/>
      <c r="E598" s="18" t="str">
        <f aca="false">IF($C598="","",IFERROR(INDEX(Lists!$B$2:$B$40,MATCH($C598,Lists!$A$2:$A$40,0)),""))</f>
        <v/>
      </c>
      <c r="F598" s="20"/>
      <c r="G598" s="20"/>
      <c r="H598" s="20"/>
      <c r="I598" s="20"/>
      <c r="J598" s="20"/>
      <c r="K598" s="18" t="str">
        <f aca="false">IF(COUNT($F598:$J598)=0,"",SUM($F598:$J598))</f>
        <v/>
      </c>
      <c r="L598" s="18" t="str">
        <f aca="false">IF(COUNT($F598:$J598)=0,"",MAX($F598:$J598))</f>
        <v/>
      </c>
      <c r="M598" s="18" t="str">
        <f aca="false">IFERROR(IF(OR($C598="",COUNT($F598:$J598)&lt;3),"",IF(N(INDEX(Lists!$C$2:$C$40,MATCH($C598,Lists!$A$2:$A$40,0)))=0,"",IF(MIN($F598:$J598)&gt;=INDEX(Lists!$C$2:$C$40,MATCH($C598,Lists!$A$2:$A$40,0)),"LEVEL UP",""))),"")</f>
        <v/>
      </c>
      <c r="N598" s="20"/>
      <c r="O598" s="19"/>
    </row>
    <row r="599" customFormat="false" ht="15" hidden="false" customHeight="false" outlineLevel="0" collapsed="false">
      <c r="A599" s="17"/>
      <c r="B599" s="18" t="str">
        <f aca="false">IF($A599="","",TEXT($A599,"ddd"))</f>
        <v/>
      </c>
      <c r="C599" s="19"/>
      <c r="D599" s="19"/>
      <c r="E599" s="18" t="str">
        <f aca="false">IF($C599="","",IFERROR(INDEX(Lists!$B$2:$B$40,MATCH($C599,Lists!$A$2:$A$40,0)),""))</f>
        <v/>
      </c>
      <c r="F599" s="20"/>
      <c r="G599" s="20"/>
      <c r="H599" s="20"/>
      <c r="I599" s="20"/>
      <c r="J599" s="20"/>
      <c r="K599" s="18" t="str">
        <f aca="false">IF(COUNT($F599:$J599)=0,"",SUM($F599:$J599))</f>
        <v/>
      </c>
      <c r="L599" s="18" t="str">
        <f aca="false">IF(COUNT($F599:$J599)=0,"",MAX($F599:$J599))</f>
        <v/>
      </c>
      <c r="M599" s="18" t="str">
        <f aca="false">IFERROR(IF(OR($C599="",COUNT($F599:$J599)&lt;3),"",IF(N(INDEX(Lists!$C$2:$C$40,MATCH($C599,Lists!$A$2:$A$40,0)))=0,"",IF(MIN($F599:$J599)&gt;=INDEX(Lists!$C$2:$C$40,MATCH($C599,Lists!$A$2:$A$40,0)),"LEVEL UP",""))),"")</f>
        <v/>
      </c>
      <c r="N599" s="20"/>
      <c r="O599" s="19"/>
    </row>
    <row r="600" customFormat="false" ht="15" hidden="false" customHeight="false" outlineLevel="0" collapsed="false">
      <c r="A600" s="17"/>
      <c r="B600" s="18" t="str">
        <f aca="false">IF($A600="","",TEXT($A600,"ddd"))</f>
        <v/>
      </c>
      <c r="C600" s="19"/>
      <c r="D600" s="19"/>
      <c r="E600" s="18" t="str">
        <f aca="false">IF($C600="","",IFERROR(INDEX(Lists!$B$2:$B$40,MATCH($C600,Lists!$A$2:$A$40,0)),""))</f>
        <v/>
      </c>
      <c r="F600" s="20"/>
      <c r="G600" s="20"/>
      <c r="H600" s="20"/>
      <c r="I600" s="20"/>
      <c r="J600" s="20"/>
      <c r="K600" s="18" t="str">
        <f aca="false">IF(COUNT($F600:$J600)=0,"",SUM($F600:$J600))</f>
        <v/>
      </c>
      <c r="L600" s="18" t="str">
        <f aca="false">IF(COUNT($F600:$J600)=0,"",MAX($F600:$J600))</f>
        <v/>
      </c>
      <c r="M600" s="18" t="str">
        <f aca="false">IFERROR(IF(OR($C600="",COUNT($F600:$J600)&lt;3),"",IF(N(INDEX(Lists!$C$2:$C$40,MATCH($C600,Lists!$A$2:$A$40,0)))=0,"",IF(MIN($F600:$J600)&gt;=INDEX(Lists!$C$2:$C$40,MATCH($C600,Lists!$A$2:$A$40,0)),"LEVEL UP",""))),"")</f>
        <v/>
      </c>
      <c r="N600" s="20"/>
      <c r="O600" s="19"/>
    </row>
    <row r="601" customFormat="false" ht="15" hidden="false" customHeight="false" outlineLevel="0" collapsed="false">
      <c r="A601" s="17"/>
      <c r="B601" s="18" t="str">
        <f aca="false">IF($A601="","",TEXT($A601,"ddd"))</f>
        <v/>
      </c>
      <c r="C601" s="19"/>
      <c r="D601" s="19"/>
      <c r="E601" s="18" t="str">
        <f aca="false">IF($C601="","",IFERROR(INDEX(Lists!$B$2:$B$40,MATCH($C601,Lists!$A$2:$A$40,0)),""))</f>
        <v/>
      </c>
      <c r="F601" s="20"/>
      <c r="G601" s="20"/>
      <c r="H601" s="20"/>
      <c r="I601" s="20"/>
      <c r="J601" s="20"/>
      <c r="K601" s="18" t="str">
        <f aca="false">IF(COUNT($F601:$J601)=0,"",SUM($F601:$J601))</f>
        <v/>
      </c>
      <c r="L601" s="18" t="str">
        <f aca="false">IF(COUNT($F601:$J601)=0,"",MAX($F601:$J601))</f>
        <v/>
      </c>
      <c r="M601" s="18" t="str">
        <f aca="false">IFERROR(IF(OR($C601="",COUNT($F601:$J601)&lt;3),"",IF(N(INDEX(Lists!$C$2:$C$40,MATCH($C601,Lists!$A$2:$A$40,0)))=0,"",IF(MIN($F601:$J601)&gt;=INDEX(Lists!$C$2:$C$40,MATCH($C601,Lists!$A$2:$A$40,0)),"LEVEL UP",""))),"")</f>
        <v/>
      </c>
      <c r="N601" s="20"/>
      <c r="O601" s="19"/>
    </row>
    <row r="602" customFormat="false" ht="15" hidden="false" customHeight="false" outlineLevel="0" collapsed="false">
      <c r="A602" s="17"/>
      <c r="B602" s="18" t="str">
        <f aca="false">IF($A602="","",TEXT($A602,"ddd"))</f>
        <v/>
      </c>
      <c r="C602" s="19"/>
      <c r="D602" s="19"/>
      <c r="E602" s="18" t="str">
        <f aca="false">IF($C602="","",IFERROR(INDEX(Lists!$B$2:$B$40,MATCH($C602,Lists!$A$2:$A$40,0)),""))</f>
        <v/>
      </c>
      <c r="F602" s="20"/>
      <c r="G602" s="20"/>
      <c r="H602" s="20"/>
      <c r="I602" s="20"/>
      <c r="J602" s="20"/>
      <c r="K602" s="18" t="str">
        <f aca="false">IF(COUNT($F602:$J602)=0,"",SUM($F602:$J602))</f>
        <v/>
      </c>
      <c r="L602" s="18" t="str">
        <f aca="false">IF(COUNT($F602:$J602)=0,"",MAX($F602:$J602))</f>
        <v/>
      </c>
      <c r="M602" s="18" t="str">
        <f aca="false">IFERROR(IF(OR($C602="",COUNT($F602:$J602)&lt;3),"",IF(N(INDEX(Lists!$C$2:$C$40,MATCH($C602,Lists!$A$2:$A$40,0)))=0,"",IF(MIN($F602:$J602)&gt;=INDEX(Lists!$C$2:$C$40,MATCH($C602,Lists!$A$2:$A$40,0)),"LEVEL UP",""))),"")</f>
        <v/>
      </c>
      <c r="N602" s="20"/>
      <c r="O602" s="19"/>
    </row>
    <row r="603" customFormat="false" ht="15" hidden="false" customHeight="false" outlineLevel="0" collapsed="false">
      <c r="A603" s="17"/>
      <c r="B603" s="18" t="str">
        <f aca="false">IF($A603="","",TEXT($A603,"ddd"))</f>
        <v/>
      </c>
      <c r="C603" s="19"/>
      <c r="D603" s="19"/>
      <c r="E603" s="18" t="str">
        <f aca="false">IF($C603="","",IFERROR(INDEX(Lists!$B$2:$B$40,MATCH($C603,Lists!$A$2:$A$40,0)),""))</f>
        <v/>
      </c>
      <c r="F603" s="20"/>
      <c r="G603" s="20"/>
      <c r="H603" s="20"/>
      <c r="I603" s="20"/>
      <c r="J603" s="20"/>
      <c r="K603" s="18" t="str">
        <f aca="false">IF(COUNT($F603:$J603)=0,"",SUM($F603:$J603))</f>
        <v/>
      </c>
      <c r="L603" s="18" t="str">
        <f aca="false">IF(COUNT($F603:$J603)=0,"",MAX($F603:$J603))</f>
        <v/>
      </c>
      <c r="M603" s="18" t="str">
        <f aca="false">IFERROR(IF(OR($C603="",COUNT($F603:$J603)&lt;3),"",IF(N(INDEX(Lists!$C$2:$C$40,MATCH($C603,Lists!$A$2:$A$40,0)))=0,"",IF(MIN($F603:$J603)&gt;=INDEX(Lists!$C$2:$C$40,MATCH($C603,Lists!$A$2:$A$40,0)),"LEVEL UP",""))),"")</f>
        <v/>
      </c>
      <c r="N603" s="20"/>
      <c r="O603" s="19"/>
    </row>
    <row r="604" customFormat="false" ht="15" hidden="false" customHeight="false" outlineLevel="0" collapsed="false">
      <c r="A604" s="17"/>
      <c r="B604" s="18" t="str">
        <f aca="false">IF($A604="","",TEXT($A604,"ddd"))</f>
        <v/>
      </c>
      <c r="C604" s="19"/>
      <c r="D604" s="19"/>
      <c r="E604" s="18" t="str">
        <f aca="false">IF($C604="","",IFERROR(INDEX(Lists!$B$2:$B$40,MATCH($C604,Lists!$A$2:$A$40,0)),""))</f>
        <v/>
      </c>
      <c r="F604" s="20"/>
      <c r="G604" s="20"/>
      <c r="H604" s="20"/>
      <c r="I604" s="20"/>
      <c r="J604" s="20"/>
      <c r="K604" s="18" t="str">
        <f aca="false">IF(COUNT($F604:$J604)=0,"",SUM($F604:$J604))</f>
        <v/>
      </c>
      <c r="L604" s="18" t="str">
        <f aca="false">IF(COUNT($F604:$J604)=0,"",MAX($F604:$J604))</f>
        <v/>
      </c>
      <c r="M604" s="18" t="str">
        <f aca="false">IFERROR(IF(OR($C604="",COUNT($F604:$J604)&lt;3),"",IF(N(INDEX(Lists!$C$2:$C$40,MATCH($C604,Lists!$A$2:$A$40,0)))=0,"",IF(MIN($F604:$J604)&gt;=INDEX(Lists!$C$2:$C$40,MATCH($C604,Lists!$A$2:$A$40,0)),"LEVEL UP",""))),"")</f>
        <v/>
      </c>
      <c r="N604" s="20"/>
      <c r="O604" s="19"/>
    </row>
    <row r="605" customFormat="false" ht="15" hidden="false" customHeight="false" outlineLevel="0" collapsed="false">
      <c r="A605" s="17"/>
      <c r="B605" s="18" t="str">
        <f aca="false">IF($A605="","",TEXT($A605,"ddd"))</f>
        <v/>
      </c>
      <c r="C605" s="19"/>
      <c r="D605" s="19"/>
      <c r="E605" s="18" t="str">
        <f aca="false">IF($C605="","",IFERROR(INDEX(Lists!$B$2:$B$40,MATCH($C605,Lists!$A$2:$A$40,0)),""))</f>
        <v/>
      </c>
      <c r="F605" s="20"/>
      <c r="G605" s="20"/>
      <c r="H605" s="20"/>
      <c r="I605" s="20"/>
      <c r="J605" s="20"/>
      <c r="K605" s="18" t="str">
        <f aca="false">IF(COUNT($F605:$J605)=0,"",SUM($F605:$J605))</f>
        <v/>
      </c>
      <c r="L605" s="18" t="str">
        <f aca="false">IF(COUNT($F605:$J605)=0,"",MAX($F605:$J605))</f>
        <v/>
      </c>
      <c r="M605" s="18" t="str">
        <f aca="false">IFERROR(IF(OR($C605="",COUNT($F605:$J605)&lt;3),"",IF(N(INDEX(Lists!$C$2:$C$40,MATCH($C605,Lists!$A$2:$A$40,0)))=0,"",IF(MIN($F605:$J605)&gt;=INDEX(Lists!$C$2:$C$40,MATCH($C605,Lists!$A$2:$A$40,0)),"LEVEL UP",""))),"")</f>
        <v/>
      </c>
      <c r="N605" s="20"/>
      <c r="O605" s="19"/>
    </row>
    <row r="606" customFormat="false" ht="15" hidden="false" customHeight="false" outlineLevel="0" collapsed="false">
      <c r="A606" s="17"/>
      <c r="B606" s="18" t="str">
        <f aca="false">IF($A606="","",TEXT($A606,"ddd"))</f>
        <v/>
      </c>
      <c r="C606" s="19"/>
      <c r="D606" s="19"/>
      <c r="E606" s="18" t="str">
        <f aca="false">IF($C606="","",IFERROR(INDEX(Lists!$B$2:$B$40,MATCH($C606,Lists!$A$2:$A$40,0)),""))</f>
        <v/>
      </c>
      <c r="F606" s="20"/>
      <c r="G606" s="20"/>
      <c r="H606" s="20"/>
      <c r="I606" s="20"/>
      <c r="J606" s="20"/>
      <c r="K606" s="18" t="str">
        <f aca="false">IF(COUNT($F606:$J606)=0,"",SUM($F606:$J606))</f>
        <v/>
      </c>
      <c r="L606" s="18" t="str">
        <f aca="false">IF(COUNT($F606:$J606)=0,"",MAX($F606:$J606))</f>
        <v/>
      </c>
      <c r="M606" s="18" t="str">
        <f aca="false">IFERROR(IF(OR($C606="",COUNT($F606:$J606)&lt;3),"",IF(N(INDEX(Lists!$C$2:$C$40,MATCH($C606,Lists!$A$2:$A$40,0)))=0,"",IF(MIN($F606:$J606)&gt;=INDEX(Lists!$C$2:$C$40,MATCH($C606,Lists!$A$2:$A$40,0)),"LEVEL UP",""))),"")</f>
        <v/>
      </c>
      <c r="N606" s="20"/>
      <c r="O606" s="19"/>
    </row>
    <row r="607" customFormat="false" ht="15" hidden="false" customHeight="false" outlineLevel="0" collapsed="false">
      <c r="A607" s="17"/>
      <c r="B607" s="18" t="str">
        <f aca="false">IF($A607="","",TEXT($A607,"ddd"))</f>
        <v/>
      </c>
      <c r="C607" s="19"/>
      <c r="D607" s="19"/>
      <c r="E607" s="18" t="str">
        <f aca="false">IF($C607="","",IFERROR(INDEX(Lists!$B$2:$B$40,MATCH($C607,Lists!$A$2:$A$40,0)),""))</f>
        <v/>
      </c>
      <c r="F607" s="20"/>
      <c r="G607" s="20"/>
      <c r="H607" s="20"/>
      <c r="I607" s="20"/>
      <c r="J607" s="20"/>
      <c r="K607" s="18" t="str">
        <f aca="false">IF(COUNT($F607:$J607)=0,"",SUM($F607:$J607))</f>
        <v/>
      </c>
      <c r="L607" s="18" t="str">
        <f aca="false">IF(COUNT($F607:$J607)=0,"",MAX($F607:$J607))</f>
        <v/>
      </c>
      <c r="M607" s="18" t="str">
        <f aca="false">IFERROR(IF(OR($C607="",COUNT($F607:$J607)&lt;3),"",IF(N(INDEX(Lists!$C$2:$C$40,MATCH($C607,Lists!$A$2:$A$40,0)))=0,"",IF(MIN($F607:$J607)&gt;=INDEX(Lists!$C$2:$C$40,MATCH($C607,Lists!$A$2:$A$40,0)),"LEVEL UP",""))),"")</f>
        <v/>
      </c>
      <c r="N607" s="20"/>
      <c r="O607" s="19"/>
    </row>
    <row r="608" customFormat="false" ht="15" hidden="false" customHeight="false" outlineLevel="0" collapsed="false">
      <c r="A608" s="17"/>
      <c r="B608" s="18" t="str">
        <f aca="false">IF($A608="","",TEXT($A608,"ddd"))</f>
        <v/>
      </c>
      <c r="C608" s="19"/>
      <c r="D608" s="19"/>
      <c r="E608" s="18" t="str">
        <f aca="false">IF($C608="","",IFERROR(INDEX(Lists!$B$2:$B$40,MATCH($C608,Lists!$A$2:$A$40,0)),""))</f>
        <v/>
      </c>
      <c r="F608" s="20"/>
      <c r="G608" s="20"/>
      <c r="H608" s="20"/>
      <c r="I608" s="20"/>
      <c r="J608" s="20"/>
      <c r="K608" s="18" t="str">
        <f aca="false">IF(COUNT($F608:$J608)=0,"",SUM($F608:$J608))</f>
        <v/>
      </c>
      <c r="L608" s="18" t="str">
        <f aca="false">IF(COUNT($F608:$J608)=0,"",MAX($F608:$J608))</f>
        <v/>
      </c>
      <c r="M608" s="18" t="str">
        <f aca="false">IFERROR(IF(OR($C608="",COUNT($F608:$J608)&lt;3),"",IF(N(INDEX(Lists!$C$2:$C$40,MATCH($C608,Lists!$A$2:$A$40,0)))=0,"",IF(MIN($F608:$J608)&gt;=INDEX(Lists!$C$2:$C$40,MATCH($C608,Lists!$A$2:$A$40,0)),"LEVEL UP",""))),"")</f>
        <v/>
      </c>
      <c r="N608" s="20"/>
      <c r="O608" s="19"/>
    </row>
    <row r="609" customFormat="false" ht="15" hidden="false" customHeight="false" outlineLevel="0" collapsed="false">
      <c r="A609" s="17"/>
      <c r="B609" s="18" t="str">
        <f aca="false">IF($A609="","",TEXT($A609,"ddd"))</f>
        <v/>
      </c>
      <c r="C609" s="19"/>
      <c r="D609" s="19"/>
      <c r="E609" s="18" t="str">
        <f aca="false">IF($C609="","",IFERROR(INDEX(Lists!$B$2:$B$40,MATCH($C609,Lists!$A$2:$A$40,0)),""))</f>
        <v/>
      </c>
      <c r="F609" s="20"/>
      <c r="G609" s="20"/>
      <c r="H609" s="20"/>
      <c r="I609" s="20"/>
      <c r="J609" s="20"/>
      <c r="K609" s="18" t="str">
        <f aca="false">IF(COUNT($F609:$J609)=0,"",SUM($F609:$J609))</f>
        <v/>
      </c>
      <c r="L609" s="18" t="str">
        <f aca="false">IF(COUNT($F609:$J609)=0,"",MAX($F609:$J609))</f>
        <v/>
      </c>
      <c r="M609" s="18" t="str">
        <f aca="false">IFERROR(IF(OR($C609="",COUNT($F609:$J609)&lt;3),"",IF(N(INDEX(Lists!$C$2:$C$40,MATCH($C609,Lists!$A$2:$A$40,0)))=0,"",IF(MIN($F609:$J609)&gt;=INDEX(Lists!$C$2:$C$40,MATCH($C609,Lists!$A$2:$A$40,0)),"LEVEL UP",""))),"")</f>
        <v/>
      </c>
      <c r="N609" s="20"/>
      <c r="O609" s="19"/>
    </row>
    <row r="610" customFormat="false" ht="15" hidden="false" customHeight="false" outlineLevel="0" collapsed="false">
      <c r="A610" s="17"/>
      <c r="B610" s="18" t="str">
        <f aca="false">IF($A610="","",TEXT($A610,"ddd"))</f>
        <v/>
      </c>
      <c r="C610" s="19"/>
      <c r="D610" s="19"/>
      <c r="E610" s="18" t="str">
        <f aca="false">IF($C610="","",IFERROR(INDEX(Lists!$B$2:$B$40,MATCH($C610,Lists!$A$2:$A$40,0)),""))</f>
        <v/>
      </c>
      <c r="F610" s="20"/>
      <c r="G610" s="20"/>
      <c r="H610" s="20"/>
      <c r="I610" s="20"/>
      <c r="J610" s="20"/>
      <c r="K610" s="18" t="str">
        <f aca="false">IF(COUNT($F610:$J610)=0,"",SUM($F610:$J610))</f>
        <v/>
      </c>
      <c r="L610" s="18" t="str">
        <f aca="false">IF(COUNT($F610:$J610)=0,"",MAX($F610:$J610))</f>
        <v/>
      </c>
      <c r="M610" s="18" t="str">
        <f aca="false">IFERROR(IF(OR($C610="",COUNT($F610:$J610)&lt;3),"",IF(N(INDEX(Lists!$C$2:$C$40,MATCH($C610,Lists!$A$2:$A$40,0)))=0,"",IF(MIN($F610:$J610)&gt;=INDEX(Lists!$C$2:$C$40,MATCH($C610,Lists!$A$2:$A$40,0)),"LEVEL UP",""))),"")</f>
        <v/>
      </c>
      <c r="N610" s="20"/>
      <c r="O610" s="19"/>
    </row>
    <row r="611" customFormat="false" ht="15" hidden="false" customHeight="false" outlineLevel="0" collapsed="false">
      <c r="A611" s="17"/>
      <c r="B611" s="18" t="str">
        <f aca="false">IF($A611="","",TEXT($A611,"ddd"))</f>
        <v/>
      </c>
      <c r="C611" s="19"/>
      <c r="D611" s="19"/>
      <c r="E611" s="18" t="str">
        <f aca="false">IF($C611="","",IFERROR(INDEX(Lists!$B$2:$B$40,MATCH($C611,Lists!$A$2:$A$40,0)),""))</f>
        <v/>
      </c>
      <c r="F611" s="20"/>
      <c r="G611" s="20"/>
      <c r="H611" s="20"/>
      <c r="I611" s="20"/>
      <c r="J611" s="20"/>
      <c r="K611" s="18" t="str">
        <f aca="false">IF(COUNT($F611:$J611)=0,"",SUM($F611:$J611))</f>
        <v/>
      </c>
      <c r="L611" s="18" t="str">
        <f aca="false">IF(COUNT($F611:$J611)=0,"",MAX($F611:$J611))</f>
        <v/>
      </c>
      <c r="M611" s="18" t="str">
        <f aca="false">IFERROR(IF(OR($C611="",COUNT($F611:$J611)&lt;3),"",IF(N(INDEX(Lists!$C$2:$C$40,MATCH($C611,Lists!$A$2:$A$40,0)))=0,"",IF(MIN($F611:$J611)&gt;=INDEX(Lists!$C$2:$C$40,MATCH($C611,Lists!$A$2:$A$40,0)),"LEVEL UP",""))),"")</f>
        <v/>
      </c>
      <c r="N611" s="20"/>
      <c r="O611" s="19"/>
    </row>
    <row r="612" customFormat="false" ht="15" hidden="false" customHeight="false" outlineLevel="0" collapsed="false">
      <c r="A612" s="17"/>
      <c r="B612" s="18" t="str">
        <f aca="false">IF($A612="","",TEXT($A612,"ddd"))</f>
        <v/>
      </c>
      <c r="C612" s="19"/>
      <c r="D612" s="19"/>
      <c r="E612" s="18" t="str">
        <f aca="false">IF($C612="","",IFERROR(INDEX(Lists!$B$2:$B$40,MATCH($C612,Lists!$A$2:$A$40,0)),""))</f>
        <v/>
      </c>
      <c r="F612" s="20"/>
      <c r="G612" s="20"/>
      <c r="H612" s="20"/>
      <c r="I612" s="20"/>
      <c r="J612" s="20"/>
      <c r="K612" s="18" t="str">
        <f aca="false">IF(COUNT($F612:$J612)=0,"",SUM($F612:$J612))</f>
        <v/>
      </c>
      <c r="L612" s="18" t="str">
        <f aca="false">IF(COUNT($F612:$J612)=0,"",MAX($F612:$J612))</f>
        <v/>
      </c>
      <c r="M612" s="18" t="str">
        <f aca="false">IFERROR(IF(OR($C612="",COUNT($F612:$J612)&lt;3),"",IF(N(INDEX(Lists!$C$2:$C$40,MATCH($C612,Lists!$A$2:$A$40,0)))=0,"",IF(MIN($F612:$J612)&gt;=INDEX(Lists!$C$2:$C$40,MATCH($C612,Lists!$A$2:$A$40,0)),"LEVEL UP",""))),"")</f>
        <v/>
      </c>
      <c r="N612" s="20"/>
      <c r="O612" s="19"/>
    </row>
    <row r="613" customFormat="false" ht="15" hidden="false" customHeight="false" outlineLevel="0" collapsed="false">
      <c r="A613" s="17"/>
      <c r="B613" s="18" t="str">
        <f aca="false">IF($A613="","",TEXT($A613,"ddd"))</f>
        <v/>
      </c>
      <c r="C613" s="19"/>
      <c r="D613" s="19"/>
      <c r="E613" s="18" t="str">
        <f aca="false">IF($C613="","",IFERROR(INDEX(Lists!$B$2:$B$40,MATCH($C613,Lists!$A$2:$A$40,0)),""))</f>
        <v/>
      </c>
      <c r="F613" s="20"/>
      <c r="G613" s="20"/>
      <c r="H613" s="20"/>
      <c r="I613" s="20"/>
      <c r="J613" s="20"/>
      <c r="K613" s="18" t="str">
        <f aca="false">IF(COUNT($F613:$J613)=0,"",SUM($F613:$J613))</f>
        <v/>
      </c>
      <c r="L613" s="18" t="str">
        <f aca="false">IF(COUNT($F613:$J613)=0,"",MAX($F613:$J613))</f>
        <v/>
      </c>
      <c r="M613" s="18" t="str">
        <f aca="false">IFERROR(IF(OR($C613="",COUNT($F613:$J613)&lt;3),"",IF(N(INDEX(Lists!$C$2:$C$40,MATCH($C613,Lists!$A$2:$A$40,0)))=0,"",IF(MIN($F613:$J613)&gt;=INDEX(Lists!$C$2:$C$40,MATCH($C613,Lists!$A$2:$A$40,0)),"LEVEL UP",""))),"")</f>
        <v/>
      </c>
      <c r="N613" s="20"/>
      <c r="O613" s="19"/>
    </row>
    <row r="614" customFormat="false" ht="15" hidden="false" customHeight="false" outlineLevel="0" collapsed="false">
      <c r="A614" s="17"/>
      <c r="B614" s="18" t="str">
        <f aca="false">IF($A614="","",TEXT($A614,"ddd"))</f>
        <v/>
      </c>
      <c r="C614" s="19"/>
      <c r="D614" s="19"/>
      <c r="E614" s="18" t="str">
        <f aca="false">IF($C614="","",IFERROR(INDEX(Lists!$B$2:$B$40,MATCH($C614,Lists!$A$2:$A$40,0)),""))</f>
        <v/>
      </c>
      <c r="F614" s="20"/>
      <c r="G614" s="20"/>
      <c r="H614" s="20"/>
      <c r="I614" s="20"/>
      <c r="J614" s="20"/>
      <c r="K614" s="18" t="str">
        <f aca="false">IF(COUNT($F614:$J614)=0,"",SUM($F614:$J614))</f>
        <v/>
      </c>
      <c r="L614" s="18" t="str">
        <f aca="false">IF(COUNT($F614:$J614)=0,"",MAX($F614:$J614))</f>
        <v/>
      </c>
      <c r="M614" s="18" t="str">
        <f aca="false">IFERROR(IF(OR($C614="",COUNT($F614:$J614)&lt;3),"",IF(N(INDEX(Lists!$C$2:$C$40,MATCH($C614,Lists!$A$2:$A$40,0)))=0,"",IF(MIN($F614:$J614)&gt;=INDEX(Lists!$C$2:$C$40,MATCH($C614,Lists!$A$2:$A$40,0)),"LEVEL UP",""))),"")</f>
        <v/>
      </c>
      <c r="N614" s="20"/>
      <c r="O614" s="19"/>
    </row>
    <row r="615" customFormat="false" ht="15" hidden="false" customHeight="false" outlineLevel="0" collapsed="false">
      <c r="A615" s="17"/>
      <c r="B615" s="18" t="str">
        <f aca="false">IF($A615="","",TEXT($A615,"ddd"))</f>
        <v/>
      </c>
      <c r="C615" s="19"/>
      <c r="D615" s="19"/>
      <c r="E615" s="18" t="str">
        <f aca="false">IF($C615="","",IFERROR(INDEX(Lists!$B$2:$B$40,MATCH($C615,Lists!$A$2:$A$40,0)),""))</f>
        <v/>
      </c>
      <c r="F615" s="20"/>
      <c r="G615" s="20"/>
      <c r="H615" s="20"/>
      <c r="I615" s="20"/>
      <c r="J615" s="20"/>
      <c r="K615" s="18" t="str">
        <f aca="false">IF(COUNT($F615:$J615)=0,"",SUM($F615:$J615))</f>
        <v/>
      </c>
      <c r="L615" s="18" t="str">
        <f aca="false">IF(COUNT($F615:$J615)=0,"",MAX($F615:$J615))</f>
        <v/>
      </c>
      <c r="M615" s="18" t="str">
        <f aca="false">IFERROR(IF(OR($C615="",COUNT($F615:$J615)&lt;3),"",IF(N(INDEX(Lists!$C$2:$C$40,MATCH($C615,Lists!$A$2:$A$40,0)))=0,"",IF(MIN($F615:$J615)&gt;=INDEX(Lists!$C$2:$C$40,MATCH($C615,Lists!$A$2:$A$40,0)),"LEVEL UP",""))),"")</f>
        <v/>
      </c>
      <c r="N615" s="20"/>
      <c r="O615" s="19"/>
    </row>
    <row r="616" customFormat="false" ht="15" hidden="false" customHeight="false" outlineLevel="0" collapsed="false">
      <c r="A616" s="17"/>
      <c r="B616" s="18" t="str">
        <f aca="false">IF($A616="","",TEXT($A616,"ddd"))</f>
        <v/>
      </c>
      <c r="C616" s="19"/>
      <c r="D616" s="19"/>
      <c r="E616" s="18" t="str">
        <f aca="false">IF($C616="","",IFERROR(INDEX(Lists!$B$2:$B$40,MATCH($C616,Lists!$A$2:$A$40,0)),""))</f>
        <v/>
      </c>
      <c r="F616" s="20"/>
      <c r="G616" s="20"/>
      <c r="H616" s="20"/>
      <c r="I616" s="20"/>
      <c r="J616" s="20"/>
      <c r="K616" s="18" t="str">
        <f aca="false">IF(COUNT($F616:$J616)=0,"",SUM($F616:$J616))</f>
        <v/>
      </c>
      <c r="L616" s="18" t="str">
        <f aca="false">IF(COUNT($F616:$J616)=0,"",MAX($F616:$J616))</f>
        <v/>
      </c>
      <c r="M616" s="18" t="str">
        <f aca="false">IFERROR(IF(OR($C616="",COUNT($F616:$J616)&lt;3),"",IF(N(INDEX(Lists!$C$2:$C$40,MATCH($C616,Lists!$A$2:$A$40,0)))=0,"",IF(MIN($F616:$J616)&gt;=INDEX(Lists!$C$2:$C$40,MATCH($C616,Lists!$A$2:$A$40,0)),"LEVEL UP",""))),"")</f>
        <v/>
      </c>
      <c r="N616" s="20"/>
      <c r="O616" s="19"/>
    </row>
    <row r="617" customFormat="false" ht="15" hidden="false" customHeight="false" outlineLevel="0" collapsed="false">
      <c r="A617" s="17"/>
      <c r="B617" s="18" t="str">
        <f aca="false">IF($A617="","",TEXT($A617,"ddd"))</f>
        <v/>
      </c>
      <c r="C617" s="19"/>
      <c r="D617" s="19"/>
      <c r="E617" s="18" t="str">
        <f aca="false">IF($C617="","",IFERROR(INDEX(Lists!$B$2:$B$40,MATCH($C617,Lists!$A$2:$A$40,0)),""))</f>
        <v/>
      </c>
      <c r="F617" s="20"/>
      <c r="G617" s="20"/>
      <c r="H617" s="20"/>
      <c r="I617" s="20"/>
      <c r="J617" s="20"/>
      <c r="K617" s="18" t="str">
        <f aca="false">IF(COUNT($F617:$J617)=0,"",SUM($F617:$J617))</f>
        <v/>
      </c>
      <c r="L617" s="18" t="str">
        <f aca="false">IF(COUNT($F617:$J617)=0,"",MAX($F617:$J617))</f>
        <v/>
      </c>
      <c r="M617" s="18" t="str">
        <f aca="false">IFERROR(IF(OR($C617="",COUNT($F617:$J617)&lt;3),"",IF(N(INDEX(Lists!$C$2:$C$40,MATCH($C617,Lists!$A$2:$A$40,0)))=0,"",IF(MIN($F617:$J617)&gt;=INDEX(Lists!$C$2:$C$40,MATCH($C617,Lists!$A$2:$A$40,0)),"LEVEL UP",""))),"")</f>
        <v/>
      </c>
      <c r="N617" s="20"/>
      <c r="O617" s="19"/>
    </row>
    <row r="618" customFormat="false" ht="15" hidden="false" customHeight="false" outlineLevel="0" collapsed="false">
      <c r="A618" s="17"/>
      <c r="B618" s="18" t="str">
        <f aca="false">IF($A618="","",TEXT($A618,"ddd"))</f>
        <v/>
      </c>
      <c r="C618" s="19"/>
      <c r="D618" s="19"/>
      <c r="E618" s="18" t="str">
        <f aca="false">IF($C618="","",IFERROR(INDEX(Lists!$B$2:$B$40,MATCH($C618,Lists!$A$2:$A$40,0)),""))</f>
        <v/>
      </c>
      <c r="F618" s="20"/>
      <c r="G618" s="20"/>
      <c r="H618" s="20"/>
      <c r="I618" s="20"/>
      <c r="J618" s="20"/>
      <c r="K618" s="18" t="str">
        <f aca="false">IF(COUNT($F618:$J618)=0,"",SUM($F618:$J618))</f>
        <v/>
      </c>
      <c r="L618" s="18" t="str">
        <f aca="false">IF(COUNT($F618:$J618)=0,"",MAX($F618:$J618))</f>
        <v/>
      </c>
      <c r="M618" s="18" t="str">
        <f aca="false">IFERROR(IF(OR($C618="",COUNT($F618:$J618)&lt;3),"",IF(N(INDEX(Lists!$C$2:$C$40,MATCH($C618,Lists!$A$2:$A$40,0)))=0,"",IF(MIN($F618:$J618)&gt;=INDEX(Lists!$C$2:$C$40,MATCH($C618,Lists!$A$2:$A$40,0)),"LEVEL UP",""))),"")</f>
        <v/>
      </c>
      <c r="N618" s="20"/>
      <c r="O618" s="19"/>
    </row>
    <row r="619" customFormat="false" ht="15" hidden="false" customHeight="false" outlineLevel="0" collapsed="false">
      <c r="A619" s="17"/>
      <c r="B619" s="18" t="str">
        <f aca="false">IF($A619="","",TEXT($A619,"ddd"))</f>
        <v/>
      </c>
      <c r="C619" s="19"/>
      <c r="D619" s="19"/>
      <c r="E619" s="18" t="str">
        <f aca="false">IF($C619="","",IFERROR(INDEX(Lists!$B$2:$B$40,MATCH($C619,Lists!$A$2:$A$40,0)),""))</f>
        <v/>
      </c>
      <c r="F619" s="20"/>
      <c r="G619" s="20"/>
      <c r="H619" s="20"/>
      <c r="I619" s="20"/>
      <c r="J619" s="20"/>
      <c r="K619" s="18" t="str">
        <f aca="false">IF(COUNT($F619:$J619)=0,"",SUM($F619:$J619))</f>
        <v/>
      </c>
      <c r="L619" s="18" t="str">
        <f aca="false">IF(COUNT($F619:$J619)=0,"",MAX($F619:$J619))</f>
        <v/>
      </c>
      <c r="M619" s="18" t="str">
        <f aca="false">IFERROR(IF(OR($C619="",COUNT($F619:$J619)&lt;3),"",IF(N(INDEX(Lists!$C$2:$C$40,MATCH($C619,Lists!$A$2:$A$40,0)))=0,"",IF(MIN($F619:$J619)&gt;=INDEX(Lists!$C$2:$C$40,MATCH($C619,Lists!$A$2:$A$40,0)),"LEVEL UP",""))),"")</f>
        <v/>
      </c>
      <c r="N619" s="20"/>
      <c r="O619" s="19"/>
    </row>
    <row r="620" customFormat="false" ht="15" hidden="false" customHeight="false" outlineLevel="0" collapsed="false">
      <c r="A620" s="17"/>
      <c r="B620" s="18" t="str">
        <f aca="false">IF($A620="","",TEXT($A620,"ddd"))</f>
        <v/>
      </c>
      <c r="C620" s="19"/>
      <c r="D620" s="19"/>
      <c r="E620" s="18" t="str">
        <f aca="false">IF($C620="","",IFERROR(INDEX(Lists!$B$2:$B$40,MATCH($C620,Lists!$A$2:$A$40,0)),""))</f>
        <v/>
      </c>
      <c r="F620" s="20"/>
      <c r="G620" s="20"/>
      <c r="H620" s="20"/>
      <c r="I620" s="20"/>
      <c r="J620" s="20"/>
      <c r="K620" s="18" t="str">
        <f aca="false">IF(COUNT($F620:$J620)=0,"",SUM($F620:$J620))</f>
        <v/>
      </c>
      <c r="L620" s="18" t="str">
        <f aca="false">IF(COUNT($F620:$J620)=0,"",MAX($F620:$J620))</f>
        <v/>
      </c>
      <c r="M620" s="18" t="str">
        <f aca="false">IFERROR(IF(OR($C620="",COUNT($F620:$J620)&lt;3),"",IF(N(INDEX(Lists!$C$2:$C$40,MATCH($C620,Lists!$A$2:$A$40,0)))=0,"",IF(MIN($F620:$J620)&gt;=INDEX(Lists!$C$2:$C$40,MATCH($C620,Lists!$A$2:$A$40,0)),"LEVEL UP",""))),"")</f>
        <v/>
      </c>
      <c r="N620" s="20"/>
      <c r="O620" s="19"/>
    </row>
    <row r="621" customFormat="false" ht="15" hidden="false" customHeight="false" outlineLevel="0" collapsed="false">
      <c r="A621" s="17"/>
      <c r="B621" s="18" t="str">
        <f aca="false">IF($A621="","",TEXT($A621,"ddd"))</f>
        <v/>
      </c>
      <c r="C621" s="19"/>
      <c r="D621" s="19"/>
      <c r="E621" s="18" t="str">
        <f aca="false">IF($C621="","",IFERROR(INDEX(Lists!$B$2:$B$40,MATCH($C621,Lists!$A$2:$A$40,0)),""))</f>
        <v/>
      </c>
      <c r="F621" s="20"/>
      <c r="G621" s="20"/>
      <c r="H621" s="20"/>
      <c r="I621" s="20"/>
      <c r="J621" s="20"/>
      <c r="K621" s="18" t="str">
        <f aca="false">IF(COUNT($F621:$J621)=0,"",SUM($F621:$J621))</f>
        <v/>
      </c>
      <c r="L621" s="18" t="str">
        <f aca="false">IF(COUNT($F621:$J621)=0,"",MAX($F621:$J621))</f>
        <v/>
      </c>
      <c r="M621" s="18" t="str">
        <f aca="false">IFERROR(IF(OR($C621="",COUNT($F621:$J621)&lt;3),"",IF(N(INDEX(Lists!$C$2:$C$40,MATCH($C621,Lists!$A$2:$A$40,0)))=0,"",IF(MIN($F621:$J621)&gt;=INDEX(Lists!$C$2:$C$40,MATCH($C621,Lists!$A$2:$A$40,0)),"LEVEL UP",""))),"")</f>
        <v/>
      </c>
      <c r="N621" s="20"/>
      <c r="O621" s="19"/>
    </row>
    <row r="622" customFormat="false" ht="15" hidden="false" customHeight="false" outlineLevel="0" collapsed="false">
      <c r="A622" s="17"/>
      <c r="B622" s="18" t="str">
        <f aca="false">IF($A622="","",TEXT($A622,"ddd"))</f>
        <v/>
      </c>
      <c r="C622" s="19"/>
      <c r="D622" s="19"/>
      <c r="E622" s="18" t="str">
        <f aca="false">IF($C622="","",IFERROR(INDEX(Lists!$B$2:$B$40,MATCH($C622,Lists!$A$2:$A$40,0)),""))</f>
        <v/>
      </c>
      <c r="F622" s="20"/>
      <c r="G622" s="20"/>
      <c r="H622" s="20"/>
      <c r="I622" s="20"/>
      <c r="J622" s="20"/>
      <c r="K622" s="18" t="str">
        <f aca="false">IF(COUNT($F622:$J622)=0,"",SUM($F622:$J622))</f>
        <v/>
      </c>
      <c r="L622" s="18" t="str">
        <f aca="false">IF(COUNT($F622:$J622)=0,"",MAX($F622:$J622))</f>
        <v/>
      </c>
      <c r="M622" s="18" t="str">
        <f aca="false">IFERROR(IF(OR($C622="",COUNT($F622:$J622)&lt;3),"",IF(N(INDEX(Lists!$C$2:$C$40,MATCH($C622,Lists!$A$2:$A$40,0)))=0,"",IF(MIN($F622:$J622)&gt;=INDEX(Lists!$C$2:$C$40,MATCH($C622,Lists!$A$2:$A$40,0)),"LEVEL UP",""))),"")</f>
        <v/>
      </c>
      <c r="N622" s="20"/>
      <c r="O622" s="19"/>
    </row>
    <row r="623" customFormat="false" ht="15" hidden="false" customHeight="false" outlineLevel="0" collapsed="false">
      <c r="A623" s="17"/>
      <c r="B623" s="18" t="str">
        <f aca="false">IF($A623="","",TEXT($A623,"ddd"))</f>
        <v/>
      </c>
      <c r="C623" s="19"/>
      <c r="D623" s="19"/>
      <c r="E623" s="18" t="str">
        <f aca="false">IF($C623="","",IFERROR(INDEX(Lists!$B$2:$B$40,MATCH($C623,Lists!$A$2:$A$40,0)),""))</f>
        <v/>
      </c>
      <c r="F623" s="20"/>
      <c r="G623" s="20"/>
      <c r="H623" s="20"/>
      <c r="I623" s="20"/>
      <c r="J623" s="20"/>
      <c r="K623" s="18" t="str">
        <f aca="false">IF(COUNT($F623:$J623)=0,"",SUM($F623:$J623))</f>
        <v/>
      </c>
      <c r="L623" s="18" t="str">
        <f aca="false">IF(COUNT($F623:$J623)=0,"",MAX($F623:$J623))</f>
        <v/>
      </c>
      <c r="M623" s="18" t="str">
        <f aca="false">IFERROR(IF(OR($C623="",COUNT($F623:$J623)&lt;3),"",IF(N(INDEX(Lists!$C$2:$C$40,MATCH($C623,Lists!$A$2:$A$40,0)))=0,"",IF(MIN($F623:$J623)&gt;=INDEX(Lists!$C$2:$C$40,MATCH($C623,Lists!$A$2:$A$40,0)),"LEVEL UP",""))),"")</f>
        <v/>
      </c>
      <c r="N623" s="20"/>
      <c r="O623" s="19"/>
    </row>
    <row r="624" customFormat="false" ht="15" hidden="false" customHeight="false" outlineLevel="0" collapsed="false">
      <c r="A624" s="17"/>
      <c r="B624" s="18" t="str">
        <f aca="false">IF($A624="","",TEXT($A624,"ddd"))</f>
        <v/>
      </c>
      <c r="C624" s="19"/>
      <c r="D624" s="19"/>
      <c r="E624" s="18" t="str">
        <f aca="false">IF($C624="","",IFERROR(INDEX(Lists!$B$2:$B$40,MATCH($C624,Lists!$A$2:$A$40,0)),""))</f>
        <v/>
      </c>
      <c r="F624" s="20"/>
      <c r="G624" s="20"/>
      <c r="H624" s="20"/>
      <c r="I624" s="20"/>
      <c r="J624" s="20"/>
      <c r="K624" s="18" t="str">
        <f aca="false">IF(COUNT($F624:$J624)=0,"",SUM($F624:$J624))</f>
        <v/>
      </c>
      <c r="L624" s="18" t="str">
        <f aca="false">IF(COUNT($F624:$J624)=0,"",MAX($F624:$J624))</f>
        <v/>
      </c>
      <c r="M624" s="18" t="str">
        <f aca="false">IFERROR(IF(OR($C624="",COUNT($F624:$J624)&lt;3),"",IF(N(INDEX(Lists!$C$2:$C$40,MATCH($C624,Lists!$A$2:$A$40,0)))=0,"",IF(MIN($F624:$J624)&gt;=INDEX(Lists!$C$2:$C$40,MATCH($C624,Lists!$A$2:$A$40,0)),"LEVEL UP",""))),"")</f>
        <v/>
      </c>
      <c r="N624" s="20"/>
      <c r="O624" s="19"/>
    </row>
    <row r="625" customFormat="false" ht="15" hidden="false" customHeight="false" outlineLevel="0" collapsed="false">
      <c r="A625" s="17"/>
      <c r="B625" s="18" t="str">
        <f aca="false">IF($A625="","",TEXT($A625,"ddd"))</f>
        <v/>
      </c>
      <c r="C625" s="19"/>
      <c r="D625" s="19"/>
      <c r="E625" s="18" t="str">
        <f aca="false">IF($C625="","",IFERROR(INDEX(Lists!$B$2:$B$40,MATCH($C625,Lists!$A$2:$A$40,0)),""))</f>
        <v/>
      </c>
      <c r="F625" s="20"/>
      <c r="G625" s="20"/>
      <c r="H625" s="20"/>
      <c r="I625" s="20"/>
      <c r="J625" s="20"/>
      <c r="K625" s="18" t="str">
        <f aca="false">IF(COUNT($F625:$J625)=0,"",SUM($F625:$J625))</f>
        <v/>
      </c>
      <c r="L625" s="18" t="str">
        <f aca="false">IF(COUNT($F625:$J625)=0,"",MAX($F625:$J625))</f>
        <v/>
      </c>
      <c r="M625" s="18" t="str">
        <f aca="false">IFERROR(IF(OR($C625="",COUNT($F625:$J625)&lt;3),"",IF(N(INDEX(Lists!$C$2:$C$40,MATCH($C625,Lists!$A$2:$A$40,0)))=0,"",IF(MIN($F625:$J625)&gt;=INDEX(Lists!$C$2:$C$40,MATCH($C625,Lists!$A$2:$A$40,0)),"LEVEL UP",""))),"")</f>
        <v/>
      </c>
      <c r="N625" s="20"/>
      <c r="O625" s="19"/>
    </row>
    <row r="626" customFormat="false" ht="15" hidden="false" customHeight="false" outlineLevel="0" collapsed="false">
      <c r="A626" s="17"/>
      <c r="B626" s="18" t="str">
        <f aca="false">IF($A626="","",TEXT($A626,"ddd"))</f>
        <v/>
      </c>
      <c r="C626" s="19"/>
      <c r="D626" s="19"/>
      <c r="E626" s="18" t="str">
        <f aca="false">IF($C626="","",IFERROR(INDEX(Lists!$B$2:$B$40,MATCH($C626,Lists!$A$2:$A$40,0)),""))</f>
        <v/>
      </c>
      <c r="F626" s="20"/>
      <c r="G626" s="20"/>
      <c r="H626" s="20"/>
      <c r="I626" s="20"/>
      <c r="J626" s="20"/>
      <c r="K626" s="18" t="str">
        <f aca="false">IF(COUNT($F626:$J626)=0,"",SUM($F626:$J626))</f>
        <v/>
      </c>
      <c r="L626" s="18" t="str">
        <f aca="false">IF(COUNT($F626:$J626)=0,"",MAX($F626:$J626))</f>
        <v/>
      </c>
      <c r="M626" s="18" t="str">
        <f aca="false">IFERROR(IF(OR($C626="",COUNT($F626:$J626)&lt;3),"",IF(N(INDEX(Lists!$C$2:$C$40,MATCH($C626,Lists!$A$2:$A$40,0)))=0,"",IF(MIN($F626:$J626)&gt;=INDEX(Lists!$C$2:$C$40,MATCH($C626,Lists!$A$2:$A$40,0)),"LEVEL UP",""))),"")</f>
        <v/>
      </c>
      <c r="N626" s="20"/>
      <c r="O626" s="19"/>
    </row>
    <row r="627" customFormat="false" ht="15" hidden="false" customHeight="false" outlineLevel="0" collapsed="false">
      <c r="A627" s="17"/>
      <c r="B627" s="18" t="str">
        <f aca="false">IF($A627="","",TEXT($A627,"ddd"))</f>
        <v/>
      </c>
      <c r="C627" s="19"/>
      <c r="D627" s="19"/>
      <c r="E627" s="18" t="str">
        <f aca="false">IF($C627="","",IFERROR(INDEX(Lists!$B$2:$B$40,MATCH($C627,Lists!$A$2:$A$40,0)),""))</f>
        <v/>
      </c>
      <c r="F627" s="20"/>
      <c r="G627" s="20"/>
      <c r="H627" s="20"/>
      <c r="I627" s="20"/>
      <c r="J627" s="20"/>
      <c r="K627" s="18" t="str">
        <f aca="false">IF(COUNT($F627:$J627)=0,"",SUM($F627:$J627))</f>
        <v/>
      </c>
      <c r="L627" s="18" t="str">
        <f aca="false">IF(COUNT($F627:$J627)=0,"",MAX($F627:$J627))</f>
        <v/>
      </c>
      <c r="M627" s="18" t="str">
        <f aca="false">IFERROR(IF(OR($C627="",COUNT($F627:$J627)&lt;3),"",IF(N(INDEX(Lists!$C$2:$C$40,MATCH($C627,Lists!$A$2:$A$40,0)))=0,"",IF(MIN($F627:$J627)&gt;=INDEX(Lists!$C$2:$C$40,MATCH($C627,Lists!$A$2:$A$40,0)),"LEVEL UP",""))),"")</f>
        <v/>
      </c>
      <c r="N627" s="20"/>
      <c r="O627" s="19"/>
    </row>
    <row r="628" customFormat="false" ht="15" hidden="false" customHeight="false" outlineLevel="0" collapsed="false">
      <c r="A628" s="17"/>
      <c r="B628" s="18" t="str">
        <f aca="false">IF($A628="","",TEXT($A628,"ddd"))</f>
        <v/>
      </c>
      <c r="C628" s="19"/>
      <c r="D628" s="19"/>
      <c r="E628" s="18" t="str">
        <f aca="false">IF($C628="","",IFERROR(INDEX(Lists!$B$2:$B$40,MATCH($C628,Lists!$A$2:$A$40,0)),""))</f>
        <v/>
      </c>
      <c r="F628" s="20"/>
      <c r="G628" s="20"/>
      <c r="H628" s="20"/>
      <c r="I628" s="20"/>
      <c r="J628" s="20"/>
      <c r="K628" s="18" t="str">
        <f aca="false">IF(COUNT($F628:$J628)=0,"",SUM($F628:$J628))</f>
        <v/>
      </c>
      <c r="L628" s="18" t="str">
        <f aca="false">IF(COUNT($F628:$J628)=0,"",MAX($F628:$J628))</f>
        <v/>
      </c>
      <c r="M628" s="18" t="str">
        <f aca="false">IFERROR(IF(OR($C628="",COUNT($F628:$J628)&lt;3),"",IF(N(INDEX(Lists!$C$2:$C$40,MATCH($C628,Lists!$A$2:$A$40,0)))=0,"",IF(MIN($F628:$J628)&gt;=INDEX(Lists!$C$2:$C$40,MATCH($C628,Lists!$A$2:$A$40,0)),"LEVEL UP",""))),"")</f>
        <v/>
      </c>
      <c r="N628" s="20"/>
      <c r="O628" s="19"/>
    </row>
    <row r="629" customFormat="false" ht="15" hidden="false" customHeight="false" outlineLevel="0" collapsed="false">
      <c r="A629" s="17"/>
      <c r="B629" s="18" t="str">
        <f aca="false">IF($A629="","",TEXT($A629,"ddd"))</f>
        <v/>
      </c>
      <c r="C629" s="19"/>
      <c r="D629" s="19"/>
      <c r="E629" s="18" t="str">
        <f aca="false">IF($C629="","",IFERROR(INDEX(Lists!$B$2:$B$40,MATCH($C629,Lists!$A$2:$A$40,0)),""))</f>
        <v/>
      </c>
      <c r="F629" s="20"/>
      <c r="G629" s="20"/>
      <c r="H629" s="20"/>
      <c r="I629" s="20"/>
      <c r="J629" s="20"/>
      <c r="K629" s="18" t="str">
        <f aca="false">IF(COUNT($F629:$J629)=0,"",SUM($F629:$J629))</f>
        <v/>
      </c>
      <c r="L629" s="18" t="str">
        <f aca="false">IF(COUNT($F629:$J629)=0,"",MAX($F629:$J629))</f>
        <v/>
      </c>
      <c r="M629" s="18" t="str">
        <f aca="false">IFERROR(IF(OR($C629="",COUNT($F629:$J629)&lt;3),"",IF(N(INDEX(Lists!$C$2:$C$40,MATCH($C629,Lists!$A$2:$A$40,0)))=0,"",IF(MIN($F629:$J629)&gt;=INDEX(Lists!$C$2:$C$40,MATCH($C629,Lists!$A$2:$A$40,0)),"LEVEL UP",""))),"")</f>
        <v/>
      </c>
      <c r="N629" s="20"/>
      <c r="O629" s="19"/>
    </row>
    <row r="630" customFormat="false" ht="15" hidden="false" customHeight="false" outlineLevel="0" collapsed="false">
      <c r="A630" s="17"/>
      <c r="B630" s="18" t="str">
        <f aca="false">IF($A630="","",TEXT($A630,"ddd"))</f>
        <v/>
      </c>
      <c r="C630" s="19"/>
      <c r="D630" s="19"/>
      <c r="E630" s="18" t="str">
        <f aca="false">IF($C630="","",IFERROR(INDEX(Lists!$B$2:$B$40,MATCH($C630,Lists!$A$2:$A$40,0)),""))</f>
        <v/>
      </c>
      <c r="F630" s="20"/>
      <c r="G630" s="20"/>
      <c r="H630" s="20"/>
      <c r="I630" s="20"/>
      <c r="J630" s="20"/>
      <c r="K630" s="18" t="str">
        <f aca="false">IF(COUNT($F630:$J630)=0,"",SUM($F630:$J630))</f>
        <v/>
      </c>
      <c r="L630" s="18" t="str">
        <f aca="false">IF(COUNT($F630:$J630)=0,"",MAX($F630:$J630))</f>
        <v/>
      </c>
      <c r="M630" s="18" t="str">
        <f aca="false">IFERROR(IF(OR($C630="",COUNT($F630:$J630)&lt;3),"",IF(N(INDEX(Lists!$C$2:$C$40,MATCH($C630,Lists!$A$2:$A$40,0)))=0,"",IF(MIN($F630:$J630)&gt;=INDEX(Lists!$C$2:$C$40,MATCH($C630,Lists!$A$2:$A$40,0)),"LEVEL UP",""))),"")</f>
        <v/>
      </c>
      <c r="N630" s="20"/>
      <c r="O630" s="19"/>
    </row>
    <row r="631" customFormat="false" ht="15" hidden="false" customHeight="false" outlineLevel="0" collapsed="false">
      <c r="A631" s="17"/>
      <c r="B631" s="18" t="str">
        <f aca="false">IF($A631="","",TEXT($A631,"ddd"))</f>
        <v/>
      </c>
      <c r="C631" s="19"/>
      <c r="D631" s="19"/>
      <c r="E631" s="18" t="str">
        <f aca="false">IF($C631="","",IFERROR(INDEX(Lists!$B$2:$B$40,MATCH($C631,Lists!$A$2:$A$40,0)),""))</f>
        <v/>
      </c>
      <c r="F631" s="20"/>
      <c r="G631" s="20"/>
      <c r="H631" s="20"/>
      <c r="I631" s="20"/>
      <c r="J631" s="20"/>
      <c r="K631" s="18" t="str">
        <f aca="false">IF(COUNT($F631:$J631)=0,"",SUM($F631:$J631))</f>
        <v/>
      </c>
      <c r="L631" s="18" t="str">
        <f aca="false">IF(COUNT($F631:$J631)=0,"",MAX($F631:$J631))</f>
        <v/>
      </c>
      <c r="M631" s="18" t="str">
        <f aca="false">IFERROR(IF(OR($C631="",COUNT($F631:$J631)&lt;3),"",IF(N(INDEX(Lists!$C$2:$C$40,MATCH($C631,Lists!$A$2:$A$40,0)))=0,"",IF(MIN($F631:$J631)&gt;=INDEX(Lists!$C$2:$C$40,MATCH($C631,Lists!$A$2:$A$40,0)),"LEVEL UP",""))),"")</f>
        <v/>
      </c>
      <c r="N631" s="20"/>
      <c r="O631" s="19"/>
    </row>
    <row r="632" customFormat="false" ht="15" hidden="false" customHeight="false" outlineLevel="0" collapsed="false">
      <c r="A632" s="17"/>
      <c r="B632" s="18" t="str">
        <f aca="false">IF($A632="","",TEXT($A632,"ddd"))</f>
        <v/>
      </c>
      <c r="C632" s="19"/>
      <c r="D632" s="19"/>
      <c r="E632" s="18" t="str">
        <f aca="false">IF($C632="","",IFERROR(INDEX(Lists!$B$2:$B$40,MATCH($C632,Lists!$A$2:$A$40,0)),""))</f>
        <v/>
      </c>
      <c r="F632" s="20"/>
      <c r="G632" s="20"/>
      <c r="H632" s="20"/>
      <c r="I632" s="20"/>
      <c r="J632" s="20"/>
      <c r="K632" s="18" t="str">
        <f aca="false">IF(COUNT($F632:$J632)=0,"",SUM($F632:$J632))</f>
        <v/>
      </c>
      <c r="L632" s="18" t="str">
        <f aca="false">IF(COUNT($F632:$J632)=0,"",MAX($F632:$J632))</f>
        <v/>
      </c>
      <c r="M632" s="18" t="str">
        <f aca="false">IFERROR(IF(OR($C632="",COUNT($F632:$J632)&lt;3),"",IF(N(INDEX(Lists!$C$2:$C$40,MATCH($C632,Lists!$A$2:$A$40,0)))=0,"",IF(MIN($F632:$J632)&gt;=INDEX(Lists!$C$2:$C$40,MATCH($C632,Lists!$A$2:$A$40,0)),"LEVEL UP",""))),"")</f>
        <v/>
      </c>
      <c r="N632" s="20"/>
      <c r="O632" s="19"/>
    </row>
    <row r="633" customFormat="false" ht="15" hidden="false" customHeight="false" outlineLevel="0" collapsed="false">
      <c r="A633" s="17"/>
      <c r="B633" s="18" t="str">
        <f aca="false">IF($A633="","",TEXT($A633,"ddd"))</f>
        <v/>
      </c>
      <c r="C633" s="19"/>
      <c r="D633" s="19"/>
      <c r="E633" s="18" t="str">
        <f aca="false">IF($C633="","",IFERROR(INDEX(Lists!$B$2:$B$40,MATCH($C633,Lists!$A$2:$A$40,0)),""))</f>
        <v/>
      </c>
      <c r="F633" s="20"/>
      <c r="G633" s="20"/>
      <c r="H633" s="20"/>
      <c r="I633" s="20"/>
      <c r="J633" s="20"/>
      <c r="K633" s="18" t="str">
        <f aca="false">IF(COUNT($F633:$J633)=0,"",SUM($F633:$J633))</f>
        <v/>
      </c>
      <c r="L633" s="18" t="str">
        <f aca="false">IF(COUNT($F633:$J633)=0,"",MAX($F633:$J633))</f>
        <v/>
      </c>
      <c r="M633" s="18" t="str">
        <f aca="false">IFERROR(IF(OR($C633="",COUNT($F633:$J633)&lt;3),"",IF(N(INDEX(Lists!$C$2:$C$40,MATCH($C633,Lists!$A$2:$A$40,0)))=0,"",IF(MIN($F633:$J633)&gt;=INDEX(Lists!$C$2:$C$40,MATCH($C633,Lists!$A$2:$A$40,0)),"LEVEL UP",""))),"")</f>
        <v/>
      </c>
      <c r="N633" s="20"/>
      <c r="O633" s="19"/>
    </row>
    <row r="634" customFormat="false" ht="15" hidden="false" customHeight="false" outlineLevel="0" collapsed="false">
      <c r="A634" s="17"/>
      <c r="B634" s="18" t="str">
        <f aca="false">IF($A634="","",TEXT($A634,"ddd"))</f>
        <v/>
      </c>
      <c r="C634" s="19"/>
      <c r="D634" s="19"/>
      <c r="E634" s="18" t="str">
        <f aca="false">IF($C634="","",IFERROR(INDEX(Lists!$B$2:$B$40,MATCH($C634,Lists!$A$2:$A$40,0)),""))</f>
        <v/>
      </c>
      <c r="F634" s="20"/>
      <c r="G634" s="20"/>
      <c r="H634" s="20"/>
      <c r="I634" s="20"/>
      <c r="J634" s="20"/>
      <c r="K634" s="18" t="str">
        <f aca="false">IF(COUNT($F634:$J634)=0,"",SUM($F634:$J634))</f>
        <v/>
      </c>
      <c r="L634" s="18" t="str">
        <f aca="false">IF(COUNT($F634:$J634)=0,"",MAX($F634:$J634))</f>
        <v/>
      </c>
      <c r="M634" s="18" t="str">
        <f aca="false">IFERROR(IF(OR($C634="",COUNT($F634:$J634)&lt;3),"",IF(N(INDEX(Lists!$C$2:$C$40,MATCH($C634,Lists!$A$2:$A$40,0)))=0,"",IF(MIN($F634:$J634)&gt;=INDEX(Lists!$C$2:$C$40,MATCH($C634,Lists!$A$2:$A$40,0)),"LEVEL UP",""))),"")</f>
        <v/>
      </c>
      <c r="N634" s="20"/>
      <c r="O634" s="19"/>
    </row>
    <row r="635" customFormat="false" ht="15" hidden="false" customHeight="false" outlineLevel="0" collapsed="false">
      <c r="A635" s="17"/>
      <c r="B635" s="18" t="str">
        <f aca="false">IF($A635="","",TEXT($A635,"ddd"))</f>
        <v/>
      </c>
      <c r="C635" s="19"/>
      <c r="D635" s="19"/>
      <c r="E635" s="18" t="str">
        <f aca="false">IF($C635="","",IFERROR(INDEX(Lists!$B$2:$B$40,MATCH($C635,Lists!$A$2:$A$40,0)),""))</f>
        <v/>
      </c>
      <c r="F635" s="20"/>
      <c r="G635" s="20"/>
      <c r="H635" s="20"/>
      <c r="I635" s="20"/>
      <c r="J635" s="20"/>
      <c r="K635" s="18" t="str">
        <f aca="false">IF(COUNT($F635:$J635)=0,"",SUM($F635:$J635))</f>
        <v/>
      </c>
      <c r="L635" s="18" t="str">
        <f aca="false">IF(COUNT($F635:$J635)=0,"",MAX($F635:$J635))</f>
        <v/>
      </c>
      <c r="M635" s="18" t="str">
        <f aca="false">IFERROR(IF(OR($C635="",COUNT($F635:$J635)&lt;3),"",IF(N(INDEX(Lists!$C$2:$C$40,MATCH($C635,Lists!$A$2:$A$40,0)))=0,"",IF(MIN($F635:$J635)&gt;=INDEX(Lists!$C$2:$C$40,MATCH($C635,Lists!$A$2:$A$40,0)),"LEVEL UP",""))),"")</f>
        <v/>
      </c>
      <c r="N635" s="20"/>
      <c r="O635" s="19"/>
    </row>
    <row r="636" customFormat="false" ht="15" hidden="false" customHeight="false" outlineLevel="0" collapsed="false">
      <c r="A636" s="17"/>
      <c r="B636" s="18" t="str">
        <f aca="false">IF($A636="","",TEXT($A636,"ddd"))</f>
        <v/>
      </c>
      <c r="C636" s="19"/>
      <c r="D636" s="19"/>
      <c r="E636" s="18" t="str">
        <f aca="false">IF($C636="","",IFERROR(INDEX(Lists!$B$2:$B$40,MATCH($C636,Lists!$A$2:$A$40,0)),""))</f>
        <v/>
      </c>
      <c r="F636" s="20"/>
      <c r="G636" s="20"/>
      <c r="H636" s="20"/>
      <c r="I636" s="20"/>
      <c r="J636" s="20"/>
      <c r="K636" s="18" t="str">
        <f aca="false">IF(COUNT($F636:$J636)=0,"",SUM($F636:$J636))</f>
        <v/>
      </c>
      <c r="L636" s="18" t="str">
        <f aca="false">IF(COUNT($F636:$J636)=0,"",MAX($F636:$J636))</f>
        <v/>
      </c>
      <c r="M636" s="18" t="str">
        <f aca="false">IFERROR(IF(OR($C636="",COUNT($F636:$J636)&lt;3),"",IF(N(INDEX(Lists!$C$2:$C$40,MATCH($C636,Lists!$A$2:$A$40,0)))=0,"",IF(MIN($F636:$J636)&gt;=INDEX(Lists!$C$2:$C$40,MATCH($C636,Lists!$A$2:$A$40,0)),"LEVEL UP",""))),"")</f>
        <v/>
      </c>
      <c r="N636" s="20"/>
      <c r="O636" s="19"/>
    </row>
    <row r="637" customFormat="false" ht="15" hidden="false" customHeight="false" outlineLevel="0" collapsed="false">
      <c r="A637" s="17"/>
      <c r="B637" s="18" t="str">
        <f aca="false">IF($A637="","",TEXT($A637,"ddd"))</f>
        <v/>
      </c>
      <c r="C637" s="19"/>
      <c r="D637" s="19"/>
      <c r="E637" s="18" t="str">
        <f aca="false">IF($C637="","",IFERROR(INDEX(Lists!$B$2:$B$40,MATCH($C637,Lists!$A$2:$A$40,0)),""))</f>
        <v/>
      </c>
      <c r="F637" s="20"/>
      <c r="G637" s="20"/>
      <c r="H637" s="20"/>
      <c r="I637" s="20"/>
      <c r="J637" s="20"/>
      <c r="K637" s="18" t="str">
        <f aca="false">IF(COUNT($F637:$J637)=0,"",SUM($F637:$J637))</f>
        <v/>
      </c>
      <c r="L637" s="18" t="str">
        <f aca="false">IF(COUNT($F637:$J637)=0,"",MAX($F637:$J637))</f>
        <v/>
      </c>
      <c r="M637" s="18" t="str">
        <f aca="false">IFERROR(IF(OR($C637="",COUNT($F637:$J637)&lt;3),"",IF(N(INDEX(Lists!$C$2:$C$40,MATCH($C637,Lists!$A$2:$A$40,0)))=0,"",IF(MIN($F637:$J637)&gt;=INDEX(Lists!$C$2:$C$40,MATCH($C637,Lists!$A$2:$A$40,0)),"LEVEL UP",""))),"")</f>
        <v/>
      </c>
      <c r="N637" s="20"/>
      <c r="O637" s="19"/>
    </row>
    <row r="638" customFormat="false" ht="15" hidden="false" customHeight="false" outlineLevel="0" collapsed="false">
      <c r="A638" s="17"/>
      <c r="B638" s="18" t="str">
        <f aca="false">IF($A638="","",TEXT($A638,"ddd"))</f>
        <v/>
      </c>
      <c r="C638" s="19"/>
      <c r="D638" s="19"/>
      <c r="E638" s="18" t="str">
        <f aca="false">IF($C638="","",IFERROR(INDEX(Lists!$B$2:$B$40,MATCH($C638,Lists!$A$2:$A$40,0)),""))</f>
        <v/>
      </c>
      <c r="F638" s="20"/>
      <c r="G638" s="20"/>
      <c r="H638" s="20"/>
      <c r="I638" s="20"/>
      <c r="J638" s="20"/>
      <c r="K638" s="18" t="str">
        <f aca="false">IF(COUNT($F638:$J638)=0,"",SUM($F638:$J638))</f>
        <v/>
      </c>
      <c r="L638" s="18" t="str">
        <f aca="false">IF(COUNT($F638:$J638)=0,"",MAX($F638:$J638))</f>
        <v/>
      </c>
      <c r="M638" s="18" t="str">
        <f aca="false">IFERROR(IF(OR($C638="",COUNT($F638:$J638)&lt;3),"",IF(N(INDEX(Lists!$C$2:$C$40,MATCH($C638,Lists!$A$2:$A$40,0)))=0,"",IF(MIN($F638:$J638)&gt;=INDEX(Lists!$C$2:$C$40,MATCH($C638,Lists!$A$2:$A$40,0)),"LEVEL UP",""))),"")</f>
        <v/>
      </c>
      <c r="N638" s="20"/>
      <c r="O638" s="19"/>
    </row>
    <row r="639" customFormat="false" ht="15" hidden="false" customHeight="false" outlineLevel="0" collapsed="false">
      <c r="A639" s="17"/>
      <c r="B639" s="18" t="str">
        <f aca="false">IF($A639="","",TEXT($A639,"ddd"))</f>
        <v/>
      </c>
      <c r="C639" s="19"/>
      <c r="D639" s="19"/>
      <c r="E639" s="18" t="str">
        <f aca="false">IF($C639="","",IFERROR(INDEX(Lists!$B$2:$B$40,MATCH($C639,Lists!$A$2:$A$40,0)),""))</f>
        <v/>
      </c>
      <c r="F639" s="20"/>
      <c r="G639" s="20"/>
      <c r="H639" s="20"/>
      <c r="I639" s="20"/>
      <c r="J639" s="20"/>
      <c r="K639" s="18" t="str">
        <f aca="false">IF(COUNT($F639:$J639)=0,"",SUM($F639:$J639))</f>
        <v/>
      </c>
      <c r="L639" s="18" t="str">
        <f aca="false">IF(COUNT($F639:$J639)=0,"",MAX($F639:$J639))</f>
        <v/>
      </c>
      <c r="M639" s="18" t="str">
        <f aca="false">IFERROR(IF(OR($C639="",COUNT($F639:$J639)&lt;3),"",IF(N(INDEX(Lists!$C$2:$C$40,MATCH($C639,Lists!$A$2:$A$40,0)))=0,"",IF(MIN($F639:$J639)&gt;=INDEX(Lists!$C$2:$C$40,MATCH($C639,Lists!$A$2:$A$40,0)),"LEVEL UP",""))),"")</f>
        <v/>
      </c>
      <c r="N639" s="20"/>
      <c r="O639" s="19"/>
    </row>
    <row r="640" customFormat="false" ht="15" hidden="false" customHeight="false" outlineLevel="0" collapsed="false">
      <c r="A640" s="17"/>
      <c r="B640" s="18" t="str">
        <f aca="false">IF($A640="","",TEXT($A640,"ddd"))</f>
        <v/>
      </c>
      <c r="C640" s="19"/>
      <c r="D640" s="19"/>
      <c r="E640" s="18" t="str">
        <f aca="false">IF($C640="","",IFERROR(INDEX(Lists!$B$2:$B$40,MATCH($C640,Lists!$A$2:$A$40,0)),""))</f>
        <v/>
      </c>
      <c r="F640" s="20"/>
      <c r="G640" s="20"/>
      <c r="H640" s="20"/>
      <c r="I640" s="20"/>
      <c r="J640" s="20"/>
      <c r="K640" s="18" t="str">
        <f aca="false">IF(COUNT($F640:$J640)=0,"",SUM($F640:$J640))</f>
        <v/>
      </c>
      <c r="L640" s="18" t="str">
        <f aca="false">IF(COUNT($F640:$J640)=0,"",MAX($F640:$J640))</f>
        <v/>
      </c>
      <c r="M640" s="18" t="str">
        <f aca="false">IFERROR(IF(OR($C640="",COUNT($F640:$J640)&lt;3),"",IF(N(INDEX(Lists!$C$2:$C$40,MATCH($C640,Lists!$A$2:$A$40,0)))=0,"",IF(MIN($F640:$J640)&gt;=INDEX(Lists!$C$2:$C$40,MATCH($C640,Lists!$A$2:$A$40,0)),"LEVEL UP",""))),"")</f>
        <v/>
      </c>
      <c r="N640" s="20"/>
      <c r="O640" s="19"/>
    </row>
    <row r="641" customFormat="false" ht="15" hidden="false" customHeight="false" outlineLevel="0" collapsed="false">
      <c r="A641" s="17"/>
      <c r="B641" s="18" t="str">
        <f aca="false">IF($A641="","",TEXT($A641,"ddd"))</f>
        <v/>
      </c>
      <c r="C641" s="19"/>
      <c r="D641" s="19"/>
      <c r="E641" s="18" t="str">
        <f aca="false">IF($C641="","",IFERROR(INDEX(Lists!$B$2:$B$40,MATCH($C641,Lists!$A$2:$A$40,0)),""))</f>
        <v/>
      </c>
      <c r="F641" s="20"/>
      <c r="G641" s="20"/>
      <c r="H641" s="20"/>
      <c r="I641" s="20"/>
      <c r="J641" s="20"/>
      <c r="K641" s="18" t="str">
        <f aca="false">IF(COUNT($F641:$J641)=0,"",SUM($F641:$J641))</f>
        <v/>
      </c>
      <c r="L641" s="18" t="str">
        <f aca="false">IF(COUNT($F641:$J641)=0,"",MAX($F641:$J641))</f>
        <v/>
      </c>
      <c r="M641" s="18" t="str">
        <f aca="false">IFERROR(IF(OR($C641="",COUNT($F641:$J641)&lt;3),"",IF(N(INDEX(Lists!$C$2:$C$40,MATCH($C641,Lists!$A$2:$A$40,0)))=0,"",IF(MIN($F641:$J641)&gt;=INDEX(Lists!$C$2:$C$40,MATCH($C641,Lists!$A$2:$A$40,0)),"LEVEL UP",""))),"")</f>
        <v/>
      </c>
      <c r="N641" s="20"/>
      <c r="O641" s="19"/>
    </row>
    <row r="642" customFormat="false" ht="15" hidden="false" customHeight="false" outlineLevel="0" collapsed="false">
      <c r="A642" s="17"/>
      <c r="B642" s="18" t="str">
        <f aca="false">IF($A642="","",TEXT($A642,"ddd"))</f>
        <v/>
      </c>
      <c r="C642" s="19"/>
      <c r="D642" s="19"/>
      <c r="E642" s="18" t="str">
        <f aca="false">IF($C642="","",IFERROR(INDEX(Lists!$B$2:$B$40,MATCH($C642,Lists!$A$2:$A$40,0)),""))</f>
        <v/>
      </c>
      <c r="F642" s="20"/>
      <c r="G642" s="20"/>
      <c r="H642" s="20"/>
      <c r="I642" s="20"/>
      <c r="J642" s="20"/>
      <c r="K642" s="18" t="str">
        <f aca="false">IF(COUNT($F642:$J642)=0,"",SUM($F642:$J642))</f>
        <v/>
      </c>
      <c r="L642" s="18" t="str">
        <f aca="false">IF(COUNT($F642:$J642)=0,"",MAX($F642:$J642))</f>
        <v/>
      </c>
      <c r="M642" s="18" t="str">
        <f aca="false">IFERROR(IF(OR($C642="",COUNT($F642:$J642)&lt;3),"",IF(N(INDEX(Lists!$C$2:$C$40,MATCH($C642,Lists!$A$2:$A$40,0)))=0,"",IF(MIN($F642:$J642)&gt;=INDEX(Lists!$C$2:$C$40,MATCH($C642,Lists!$A$2:$A$40,0)),"LEVEL UP",""))),"")</f>
        <v/>
      </c>
      <c r="N642" s="20"/>
      <c r="O642" s="19"/>
    </row>
    <row r="643" customFormat="false" ht="15" hidden="false" customHeight="false" outlineLevel="0" collapsed="false">
      <c r="A643" s="17"/>
      <c r="B643" s="18" t="str">
        <f aca="false">IF($A643="","",TEXT($A643,"ddd"))</f>
        <v/>
      </c>
      <c r="C643" s="19"/>
      <c r="D643" s="19"/>
      <c r="E643" s="18" t="str">
        <f aca="false">IF($C643="","",IFERROR(INDEX(Lists!$B$2:$B$40,MATCH($C643,Lists!$A$2:$A$40,0)),""))</f>
        <v/>
      </c>
      <c r="F643" s="20"/>
      <c r="G643" s="20"/>
      <c r="H643" s="20"/>
      <c r="I643" s="20"/>
      <c r="J643" s="20"/>
      <c r="K643" s="18" t="str">
        <f aca="false">IF(COUNT($F643:$J643)=0,"",SUM($F643:$J643))</f>
        <v/>
      </c>
      <c r="L643" s="18" t="str">
        <f aca="false">IF(COUNT($F643:$J643)=0,"",MAX($F643:$J643))</f>
        <v/>
      </c>
      <c r="M643" s="18" t="str">
        <f aca="false">IFERROR(IF(OR($C643="",COUNT($F643:$J643)&lt;3),"",IF(N(INDEX(Lists!$C$2:$C$40,MATCH($C643,Lists!$A$2:$A$40,0)))=0,"",IF(MIN($F643:$J643)&gt;=INDEX(Lists!$C$2:$C$40,MATCH($C643,Lists!$A$2:$A$40,0)),"LEVEL UP",""))),"")</f>
        <v/>
      </c>
      <c r="N643" s="20"/>
      <c r="O643" s="19"/>
    </row>
    <row r="644" customFormat="false" ht="15" hidden="false" customHeight="false" outlineLevel="0" collapsed="false">
      <c r="A644" s="17"/>
      <c r="B644" s="18" t="str">
        <f aca="false">IF($A644="","",TEXT($A644,"ddd"))</f>
        <v/>
      </c>
      <c r="C644" s="19"/>
      <c r="D644" s="19"/>
      <c r="E644" s="18" t="str">
        <f aca="false">IF($C644="","",IFERROR(INDEX(Lists!$B$2:$B$40,MATCH($C644,Lists!$A$2:$A$40,0)),""))</f>
        <v/>
      </c>
      <c r="F644" s="20"/>
      <c r="G644" s="20"/>
      <c r="H644" s="20"/>
      <c r="I644" s="20"/>
      <c r="J644" s="20"/>
      <c r="K644" s="18" t="str">
        <f aca="false">IF(COUNT($F644:$J644)=0,"",SUM($F644:$J644))</f>
        <v/>
      </c>
      <c r="L644" s="18" t="str">
        <f aca="false">IF(COUNT($F644:$J644)=0,"",MAX($F644:$J644))</f>
        <v/>
      </c>
      <c r="M644" s="18" t="str">
        <f aca="false">IFERROR(IF(OR($C644="",COUNT($F644:$J644)&lt;3),"",IF(N(INDEX(Lists!$C$2:$C$40,MATCH($C644,Lists!$A$2:$A$40,0)))=0,"",IF(MIN($F644:$J644)&gt;=INDEX(Lists!$C$2:$C$40,MATCH($C644,Lists!$A$2:$A$40,0)),"LEVEL UP",""))),"")</f>
        <v/>
      </c>
      <c r="N644" s="20"/>
      <c r="O644" s="19"/>
    </row>
    <row r="645" customFormat="false" ht="15" hidden="false" customHeight="false" outlineLevel="0" collapsed="false">
      <c r="A645" s="17"/>
      <c r="B645" s="18" t="str">
        <f aca="false">IF($A645="","",TEXT($A645,"ddd"))</f>
        <v/>
      </c>
      <c r="C645" s="19"/>
      <c r="D645" s="19"/>
      <c r="E645" s="18" t="str">
        <f aca="false">IF($C645="","",IFERROR(INDEX(Lists!$B$2:$B$40,MATCH($C645,Lists!$A$2:$A$40,0)),""))</f>
        <v/>
      </c>
      <c r="F645" s="20"/>
      <c r="G645" s="20"/>
      <c r="H645" s="20"/>
      <c r="I645" s="20"/>
      <c r="J645" s="20"/>
      <c r="K645" s="18" t="str">
        <f aca="false">IF(COUNT($F645:$J645)=0,"",SUM($F645:$J645))</f>
        <v/>
      </c>
      <c r="L645" s="18" t="str">
        <f aca="false">IF(COUNT($F645:$J645)=0,"",MAX($F645:$J645))</f>
        <v/>
      </c>
      <c r="M645" s="18" t="str">
        <f aca="false">IFERROR(IF(OR($C645="",COUNT($F645:$J645)&lt;3),"",IF(N(INDEX(Lists!$C$2:$C$40,MATCH($C645,Lists!$A$2:$A$40,0)))=0,"",IF(MIN($F645:$J645)&gt;=INDEX(Lists!$C$2:$C$40,MATCH($C645,Lists!$A$2:$A$40,0)),"LEVEL UP",""))),"")</f>
        <v/>
      </c>
      <c r="N645" s="20"/>
      <c r="O645" s="19"/>
    </row>
    <row r="646" customFormat="false" ht="15" hidden="false" customHeight="false" outlineLevel="0" collapsed="false">
      <c r="A646" s="17"/>
      <c r="B646" s="18" t="str">
        <f aca="false">IF($A646="","",TEXT($A646,"ddd"))</f>
        <v/>
      </c>
      <c r="C646" s="19"/>
      <c r="D646" s="19"/>
      <c r="E646" s="18" t="str">
        <f aca="false">IF($C646="","",IFERROR(INDEX(Lists!$B$2:$B$40,MATCH($C646,Lists!$A$2:$A$40,0)),""))</f>
        <v/>
      </c>
      <c r="F646" s="20"/>
      <c r="G646" s="20"/>
      <c r="H646" s="20"/>
      <c r="I646" s="20"/>
      <c r="J646" s="20"/>
      <c r="K646" s="18" t="str">
        <f aca="false">IF(COUNT($F646:$J646)=0,"",SUM($F646:$J646))</f>
        <v/>
      </c>
      <c r="L646" s="18" t="str">
        <f aca="false">IF(COUNT($F646:$J646)=0,"",MAX($F646:$J646))</f>
        <v/>
      </c>
      <c r="M646" s="18" t="str">
        <f aca="false">IFERROR(IF(OR($C646="",COUNT($F646:$J646)&lt;3),"",IF(N(INDEX(Lists!$C$2:$C$40,MATCH($C646,Lists!$A$2:$A$40,0)))=0,"",IF(MIN($F646:$J646)&gt;=INDEX(Lists!$C$2:$C$40,MATCH($C646,Lists!$A$2:$A$40,0)),"LEVEL UP",""))),"")</f>
        <v/>
      </c>
      <c r="N646" s="20"/>
      <c r="O646" s="19"/>
    </row>
    <row r="647" customFormat="false" ht="15" hidden="false" customHeight="false" outlineLevel="0" collapsed="false">
      <c r="A647" s="17"/>
      <c r="B647" s="18" t="str">
        <f aca="false">IF($A647="","",TEXT($A647,"ddd"))</f>
        <v/>
      </c>
      <c r="C647" s="19"/>
      <c r="D647" s="19"/>
      <c r="E647" s="18" t="str">
        <f aca="false">IF($C647="","",IFERROR(INDEX(Lists!$B$2:$B$40,MATCH($C647,Lists!$A$2:$A$40,0)),""))</f>
        <v/>
      </c>
      <c r="F647" s="20"/>
      <c r="G647" s="20"/>
      <c r="H647" s="20"/>
      <c r="I647" s="20"/>
      <c r="J647" s="20"/>
      <c r="K647" s="18" t="str">
        <f aca="false">IF(COUNT($F647:$J647)=0,"",SUM($F647:$J647))</f>
        <v/>
      </c>
      <c r="L647" s="18" t="str">
        <f aca="false">IF(COUNT($F647:$J647)=0,"",MAX($F647:$J647))</f>
        <v/>
      </c>
      <c r="M647" s="18" t="str">
        <f aca="false">IFERROR(IF(OR($C647="",COUNT($F647:$J647)&lt;3),"",IF(N(INDEX(Lists!$C$2:$C$40,MATCH($C647,Lists!$A$2:$A$40,0)))=0,"",IF(MIN($F647:$J647)&gt;=INDEX(Lists!$C$2:$C$40,MATCH($C647,Lists!$A$2:$A$40,0)),"LEVEL UP",""))),"")</f>
        <v/>
      </c>
      <c r="N647" s="20"/>
      <c r="O647" s="19"/>
    </row>
    <row r="648" customFormat="false" ht="15" hidden="false" customHeight="false" outlineLevel="0" collapsed="false">
      <c r="A648" s="17"/>
      <c r="B648" s="18" t="str">
        <f aca="false">IF($A648="","",TEXT($A648,"ddd"))</f>
        <v/>
      </c>
      <c r="C648" s="19"/>
      <c r="D648" s="19"/>
      <c r="E648" s="18" t="str">
        <f aca="false">IF($C648="","",IFERROR(INDEX(Lists!$B$2:$B$40,MATCH($C648,Lists!$A$2:$A$40,0)),""))</f>
        <v/>
      </c>
      <c r="F648" s="20"/>
      <c r="G648" s="20"/>
      <c r="H648" s="20"/>
      <c r="I648" s="20"/>
      <c r="J648" s="20"/>
      <c r="K648" s="18" t="str">
        <f aca="false">IF(COUNT($F648:$J648)=0,"",SUM($F648:$J648))</f>
        <v/>
      </c>
      <c r="L648" s="18" t="str">
        <f aca="false">IF(COUNT($F648:$J648)=0,"",MAX($F648:$J648))</f>
        <v/>
      </c>
      <c r="M648" s="18" t="str">
        <f aca="false">IFERROR(IF(OR($C648="",COUNT($F648:$J648)&lt;3),"",IF(N(INDEX(Lists!$C$2:$C$40,MATCH($C648,Lists!$A$2:$A$40,0)))=0,"",IF(MIN($F648:$J648)&gt;=INDEX(Lists!$C$2:$C$40,MATCH($C648,Lists!$A$2:$A$40,0)),"LEVEL UP",""))),"")</f>
        <v/>
      </c>
      <c r="N648" s="20"/>
      <c r="O648" s="19"/>
    </row>
    <row r="649" customFormat="false" ht="15" hidden="false" customHeight="false" outlineLevel="0" collapsed="false">
      <c r="A649" s="17"/>
      <c r="B649" s="18" t="str">
        <f aca="false">IF($A649="","",TEXT($A649,"ddd"))</f>
        <v/>
      </c>
      <c r="C649" s="19"/>
      <c r="D649" s="19"/>
      <c r="E649" s="18" t="str">
        <f aca="false">IF($C649="","",IFERROR(INDEX(Lists!$B$2:$B$40,MATCH($C649,Lists!$A$2:$A$40,0)),""))</f>
        <v/>
      </c>
      <c r="F649" s="20"/>
      <c r="G649" s="20"/>
      <c r="H649" s="20"/>
      <c r="I649" s="20"/>
      <c r="J649" s="20"/>
      <c r="K649" s="18" t="str">
        <f aca="false">IF(COUNT($F649:$J649)=0,"",SUM($F649:$J649))</f>
        <v/>
      </c>
      <c r="L649" s="18" t="str">
        <f aca="false">IF(COUNT($F649:$J649)=0,"",MAX($F649:$J649))</f>
        <v/>
      </c>
      <c r="M649" s="18" t="str">
        <f aca="false">IFERROR(IF(OR($C649="",COUNT($F649:$J649)&lt;3),"",IF(N(INDEX(Lists!$C$2:$C$40,MATCH($C649,Lists!$A$2:$A$40,0)))=0,"",IF(MIN($F649:$J649)&gt;=INDEX(Lists!$C$2:$C$40,MATCH($C649,Lists!$A$2:$A$40,0)),"LEVEL UP",""))),"")</f>
        <v/>
      </c>
      <c r="N649" s="20"/>
      <c r="O649" s="19"/>
    </row>
    <row r="650" customFormat="false" ht="15" hidden="false" customHeight="false" outlineLevel="0" collapsed="false">
      <c r="A650" s="17"/>
      <c r="B650" s="18" t="str">
        <f aca="false">IF($A650="","",TEXT($A650,"ddd"))</f>
        <v/>
      </c>
      <c r="C650" s="19"/>
      <c r="D650" s="19"/>
      <c r="E650" s="18" t="str">
        <f aca="false">IF($C650="","",IFERROR(INDEX(Lists!$B$2:$B$40,MATCH($C650,Lists!$A$2:$A$40,0)),""))</f>
        <v/>
      </c>
      <c r="F650" s="20"/>
      <c r="G650" s="20"/>
      <c r="H650" s="20"/>
      <c r="I650" s="20"/>
      <c r="J650" s="20"/>
      <c r="K650" s="18" t="str">
        <f aca="false">IF(COUNT($F650:$J650)=0,"",SUM($F650:$J650))</f>
        <v/>
      </c>
      <c r="L650" s="18" t="str">
        <f aca="false">IF(COUNT($F650:$J650)=0,"",MAX($F650:$J650))</f>
        <v/>
      </c>
      <c r="M650" s="18" t="str">
        <f aca="false">IFERROR(IF(OR($C650="",COUNT($F650:$J650)&lt;3),"",IF(N(INDEX(Lists!$C$2:$C$40,MATCH($C650,Lists!$A$2:$A$40,0)))=0,"",IF(MIN($F650:$J650)&gt;=INDEX(Lists!$C$2:$C$40,MATCH($C650,Lists!$A$2:$A$40,0)),"LEVEL UP",""))),"")</f>
        <v/>
      </c>
      <c r="N650" s="20"/>
      <c r="O650" s="19"/>
    </row>
    <row r="651" customFormat="false" ht="15" hidden="false" customHeight="false" outlineLevel="0" collapsed="false">
      <c r="A651" s="17"/>
      <c r="B651" s="18" t="str">
        <f aca="false">IF($A651="","",TEXT($A651,"ddd"))</f>
        <v/>
      </c>
      <c r="C651" s="19"/>
      <c r="D651" s="19"/>
      <c r="E651" s="18" t="str">
        <f aca="false">IF($C651="","",IFERROR(INDEX(Lists!$B$2:$B$40,MATCH($C651,Lists!$A$2:$A$40,0)),""))</f>
        <v/>
      </c>
      <c r="F651" s="20"/>
      <c r="G651" s="20"/>
      <c r="H651" s="20"/>
      <c r="I651" s="20"/>
      <c r="J651" s="20"/>
      <c r="K651" s="18" t="str">
        <f aca="false">IF(COUNT($F651:$J651)=0,"",SUM($F651:$J651))</f>
        <v/>
      </c>
      <c r="L651" s="18" t="str">
        <f aca="false">IF(COUNT($F651:$J651)=0,"",MAX($F651:$J651))</f>
        <v/>
      </c>
      <c r="M651" s="18" t="str">
        <f aca="false">IFERROR(IF(OR($C651="",COUNT($F651:$J651)&lt;3),"",IF(N(INDEX(Lists!$C$2:$C$40,MATCH($C651,Lists!$A$2:$A$40,0)))=0,"",IF(MIN($F651:$J651)&gt;=INDEX(Lists!$C$2:$C$40,MATCH($C651,Lists!$A$2:$A$40,0)),"LEVEL UP",""))),"")</f>
        <v/>
      </c>
      <c r="N651" s="20"/>
      <c r="O651" s="19"/>
    </row>
    <row r="652" customFormat="false" ht="15" hidden="false" customHeight="false" outlineLevel="0" collapsed="false">
      <c r="A652" s="17"/>
      <c r="B652" s="18" t="str">
        <f aca="false">IF($A652="","",TEXT($A652,"ddd"))</f>
        <v/>
      </c>
      <c r="C652" s="19"/>
      <c r="D652" s="19"/>
      <c r="E652" s="18" t="str">
        <f aca="false">IF($C652="","",IFERROR(INDEX(Lists!$B$2:$B$40,MATCH($C652,Lists!$A$2:$A$40,0)),""))</f>
        <v/>
      </c>
      <c r="F652" s="20"/>
      <c r="G652" s="20"/>
      <c r="H652" s="20"/>
      <c r="I652" s="20"/>
      <c r="J652" s="20"/>
      <c r="K652" s="18" t="str">
        <f aca="false">IF(COUNT($F652:$J652)=0,"",SUM($F652:$J652))</f>
        <v/>
      </c>
      <c r="L652" s="18" t="str">
        <f aca="false">IF(COUNT($F652:$J652)=0,"",MAX($F652:$J652))</f>
        <v/>
      </c>
      <c r="M652" s="18" t="str">
        <f aca="false">IFERROR(IF(OR($C652="",COUNT($F652:$J652)&lt;3),"",IF(N(INDEX(Lists!$C$2:$C$40,MATCH($C652,Lists!$A$2:$A$40,0)))=0,"",IF(MIN($F652:$J652)&gt;=INDEX(Lists!$C$2:$C$40,MATCH($C652,Lists!$A$2:$A$40,0)),"LEVEL UP",""))),"")</f>
        <v/>
      </c>
      <c r="N652" s="20"/>
      <c r="O652" s="19"/>
    </row>
    <row r="653" customFormat="false" ht="15" hidden="false" customHeight="false" outlineLevel="0" collapsed="false">
      <c r="A653" s="17"/>
      <c r="B653" s="18" t="str">
        <f aca="false">IF($A653="","",TEXT($A653,"ddd"))</f>
        <v/>
      </c>
      <c r="C653" s="19"/>
      <c r="D653" s="19"/>
      <c r="E653" s="18" t="str">
        <f aca="false">IF($C653="","",IFERROR(INDEX(Lists!$B$2:$B$40,MATCH($C653,Lists!$A$2:$A$40,0)),""))</f>
        <v/>
      </c>
      <c r="F653" s="20"/>
      <c r="G653" s="20"/>
      <c r="H653" s="20"/>
      <c r="I653" s="20"/>
      <c r="J653" s="20"/>
      <c r="K653" s="18" t="str">
        <f aca="false">IF(COUNT($F653:$J653)=0,"",SUM($F653:$J653))</f>
        <v/>
      </c>
      <c r="L653" s="18" t="str">
        <f aca="false">IF(COUNT($F653:$J653)=0,"",MAX($F653:$J653))</f>
        <v/>
      </c>
      <c r="M653" s="18" t="str">
        <f aca="false">IFERROR(IF(OR($C653="",COUNT($F653:$J653)&lt;3),"",IF(N(INDEX(Lists!$C$2:$C$40,MATCH($C653,Lists!$A$2:$A$40,0)))=0,"",IF(MIN($F653:$J653)&gt;=INDEX(Lists!$C$2:$C$40,MATCH($C653,Lists!$A$2:$A$40,0)),"LEVEL UP",""))),"")</f>
        <v/>
      </c>
      <c r="N653" s="20"/>
      <c r="O653" s="19"/>
    </row>
    <row r="654" customFormat="false" ht="15" hidden="false" customHeight="false" outlineLevel="0" collapsed="false">
      <c r="A654" s="17"/>
      <c r="B654" s="18" t="str">
        <f aca="false">IF($A654="","",TEXT($A654,"ddd"))</f>
        <v/>
      </c>
      <c r="C654" s="19"/>
      <c r="D654" s="19"/>
      <c r="E654" s="18" t="str">
        <f aca="false">IF($C654="","",IFERROR(INDEX(Lists!$B$2:$B$40,MATCH($C654,Lists!$A$2:$A$40,0)),""))</f>
        <v/>
      </c>
      <c r="F654" s="20"/>
      <c r="G654" s="20"/>
      <c r="H654" s="20"/>
      <c r="I654" s="20"/>
      <c r="J654" s="20"/>
      <c r="K654" s="18" t="str">
        <f aca="false">IF(COUNT($F654:$J654)=0,"",SUM($F654:$J654))</f>
        <v/>
      </c>
      <c r="L654" s="18" t="str">
        <f aca="false">IF(COUNT($F654:$J654)=0,"",MAX($F654:$J654))</f>
        <v/>
      </c>
      <c r="M654" s="18" t="str">
        <f aca="false">IFERROR(IF(OR($C654="",COUNT($F654:$J654)&lt;3),"",IF(N(INDEX(Lists!$C$2:$C$40,MATCH($C654,Lists!$A$2:$A$40,0)))=0,"",IF(MIN($F654:$J654)&gt;=INDEX(Lists!$C$2:$C$40,MATCH($C654,Lists!$A$2:$A$40,0)),"LEVEL UP",""))),"")</f>
        <v/>
      </c>
      <c r="N654" s="20"/>
      <c r="O654" s="19"/>
    </row>
    <row r="655" customFormat="false" ht="15" hidden="false" customHeight="false" outlineLevel="0" collapsed="false">
      <c r="A655" s="17"/>
      <c r="B655" s="18" t="str">
        <f aca="false">IF($A655="","",TEXT($A655,"ddd"))</f>
        <v/>
      </c>
      <c r="C655" s="19"/>
      <c r="D655" s="19"/>
      <c r="E655" s="18" t="str">
        <f aca="false">IF($C655="","",IFERROR(INDEX(Lists!$B$2:$B$40,MATCH($C655,Lists!$A$2:$A$40,0)),""))</f>
        <v/>
      </c>
      <c r="F655" s="20"/>
      <c r="G655" s="20"/>
      <c r="H655" s="20"/>
      <c r="I655" s="20"/>
      <c r="J655" s="20"/>
      <c r="K655" s="18" t="str">
        <f aca="false">IF(COUNT($F655:$J655)=0,"",SUM($F655:$J655))</f>
        <v/>
      </c>
      <c r="L655" s="18" t="str">
        <f aca="false">IF(COUNT($F655:$J655)=0,"",MAX($F655:$J655))</f>
        <v/>
      </c>
      <c r="M655" s="18" t="str">
        <f aca="false">IFERROR(IF(OR($C655="",COUNT($F655:$J655)&lt;3),"",IF(N(INDEX(Lists!$C$2:$C$40,MATCH($C655,Lists!$A$2:$A$40,0)))=0,"",IF(MIN($F655:$J655)&gt;=INDEX(Lists!$C$2:$C$40,MATCH($C655,Lists!$A$2:$A$40,0)),"LEVEL UP",""))),"")</f>
        <v/>
      </c>
      <c r="N655" s="20"/>
      <c r="O655" s="19"/>
    </row>
    <row r="656" customFormat="false" ht="15" hidden="false" customHeight="false" outlineLevel="0" collapsed="false">
      <c r="A656" s="17"/>
      <c r="B656" s="18" t="str">
        <f aca="false">IF($A656="","",TEXT($A656,"ddd"))</f>
        <v/>
      </c>
      <c r="C656" s="19"/>
      <c r="D656" s="19"/>
      <c r="E656" s="18" t="str">
        <f aca="false">IF($C656="","",IFERROR(INDEX(Lists!$B$2:$B$40,MATCH($C656,Lists!$A$2:$A$40,0)),""))</f>
        <v/>
      </c>
      <c r="F656" s="20"/>
      <c r="G656" s="20"/>
      <c r="H656" s="20"/>
      <c r="I656" s="20"/>
      <c r="J656" s="20"/>
      <c r="K656" s="18" t="str">
        <f aca="false">IF(COUNT($F656:$J656)=0,"",SUM($F656:$J656))</f>
        <v/>
      </c>
      <c r="L656" s="18" t="str">
        <f aca="false">IF(COUNT($F656:$J656)=0,"",MAX($F656:$J656))</f>
        <v/>
      </c>
      <c r="M656" s="18" t="str">
        <f aca="false">IFERROR(IF(OR($C656="",COUNT($F656:$J656)&lt;3),"",IF(N(INDEX(Lists!$C$2:$C$40,MATCH($C656,Lists!$A$2:$A$40,0)))=0,"",IF(MIN($F656:$J656)&gt;=INDEX(Lists!$C$2:$C$40,MATCH($C656,Lists!$A$2:$A$40,0)),"LEVEL UP",""))),"")</f>
        <v/>
      </c>
      <c r="N656" s="20"/>
      <c r="O656" s="19"/>
    </row>
    <row r="657" customFormat="false" ht="15" hidden="false" customHeight="false" outlineLevel="0" collapsed="false">
      <c r="A657" s="17"/>
      <c r="B657" s="18" t="str">
        <f aca="false">IF($A657="","",TEXT($A657,"ddd"))</f>
        <v/>
      </c>
      <c r="C657" s="19"/>
      <c r="D657" s="19"/>
      <c r="E657" s="18" t="str">
        <f aca="false">IF($C657="","",IFERROR(INDEX(Lists!$B$2:$B$40,MATCH($C657,Lists!$A$2:$A$40,0)),""))</f>
        <v/>
      </c>
      <c r="F657" s="20"/>
      <c r="G657" s="20"/>
      <c r="H657" s="20"/>
      <c r="I657" s="20"/>
      <c r="J657" s="20"/>
      <c r="K657" s="18" t="str">
        <f aca="false">IF(COUNT($F657:$J657)=0,"",SUM($F657:$J657))</f>
        <v/>
      </c>
      <c r="L657" s="18" t="str">
        <f aca="false">IF(COUNT($F657:$J657)=0,"",MAX($F657:$J657))</f>
        <v/>
      </c>
      <c r="M657" s="18" t="str">
        <f aca="false">IFERROR(IF(OR($C657="",COUNT($F657:$J657)&lt;3),"",IF(N(INDEX(Lists!$C$2:$C$40,MATCH($C657,Lists!$A$2:$A$40,0)))=0,"",IF(MIN($F657:$J657)&gt;=INDEX(Lists!$C$2:$C$40,MATCH($C657,Lists!$A$2:$A$40,0)),"LEVEL UP",""))),"")</f>
        <v/>
      </c>
      <c r="N657" s="20"/>
      <c r="O657" s="19"/>
    </row>
    <row r="658" customFormat="false" ht="15" hidden="false" customHeight="false" outlineLevel="0" collapsed="false">
      <c r="A658" s="17"/>
      <c r="B658" s="18" t="str">
        <f aca="false">IF($A658="","",TEXT($A658,"ddd"))</f>
        <v/>
      </c>
      <c r="C658" s="19"/>
      <c r="D658" s="19"/>
      <c r="E658" s="18" t="str">
        <f aca="false">IF($C658="","",IFERROR(INDEX(Lists!$B$2:$B$40,MATCH($C658,Lists!$A$2:$A$40,0)),""))</f>
        <v/>
      </c>
      <c r="F658" s="20"/>
      <c r="G658" s="20"/>
      <c r="H658" s="20"/>
      <c r="I658" s="20"/>
      <c r="J658" s="20"/>
      <c r="K658" s="18" t="str">
        <f aca="false">IF(COUNT($F658:$J658)=0,"",SUM($F658:$J658))</f>
        <v/>
      </c>
      <c r="L658" s="18" t="str">
        <f aca="false">IF(COUNT($F658:$J658)=0,"",MAX($F658:$J658))</f>
        <v/>
      </c>
      <c r="M658" s="18" t="str">
        <f aca="false">IFERROR(IF(OR($C658="",COUNT($F658:$J658)&lt;3),"",IF(N(INDEX(Lists!$C$2:$C$40,MATCH($C658,Lists!$A$2:$A$40,0)))=0,"",IF(MIN($F658:$J658)&gt;=INDEX(Lists!$C$2:$C$40,MATCH($C658,Lists!$A$2:$A$40,0)),"LEVEL UP",""))),"")</f>
        <v/>
      </c>
      <c r="N658" s="20"/>
      <c r="O658" s="19"/>
    </row>
    <row r="659" customFormat="false" ht="15" hidden="false" customHeight="false" outlineLevel="0" collapsed="false">
      <c r="A659" s="17"/>
      <c r="B659" s="18" t="str">
        <f aca="false">IF($A659="","",TEXT($A659,"ddd"))</f>
        <v/>
      </c>
      <c r="C659" s="19"/>
      <c r="D659" s="19"/>
      <c r="E659" s="18" t="str">
        <f aca="false">IF($C659="","",IFERROR(INDEX(Lists!$B$2:$B$40,MATCH($C659,Lists!$A$2:$A$40,0)),""))</f>
        <v/>
      </c>
      <c r="F659" s="20"/>
      <c r="G659" s="20"/>
      <c r="H659" s="20"/>
      <c r="I659" s="20"/>
      <c r="J659" s="20"/>
      <c r="K659" s="18" t="str">
        <f aca="false">IF(COUNT($F659:$J659)=0,"",SUM($F659:$J659))</f>
        <v/>
      </c>
      <c r="L659" s="18" t="str">
        <f aca="false">IF(COUNT($F659:$J659)=0,"",MAX($F659:$J659))</f>
        <v/>
      </c>
      <c r="M659" s="18" t="str">
        <f aca="false">IFERROR(IF(OR($C659="",COUNT($F659:$J659)&lt;3),"",IF(N(INDEX(Lists!$C$2:$C$40,MATCH($C659,Lists!$A$2:$A$40,0)))=0,"",IF(MIN($F659:$J659)&gt;=INDEX(Lists!$C$2:$C$40,MATCH($C659,Lists!$A$2:$A$40,0)),"LEVEL UP",""))),"")</f>
        <v/>
      </c>
      <c r="N659" s="20"/>
      <c r="O659" s="19"/>
    </row>
    <row r="660" customFormat="false" ht="15" hidden="false" customHeight="false" outlineLevel="0" collapsed="false">
      <c r="A660" s="17"/>
      <c r="B660" s="18" t="str">
        <f aca="false">IF($A660="","",TEXT($A660,"ddd"))</f>
        <v/>
      </c>
      <c r="C660" s="19"/>
      <c r="D660" s="19"/>
      <c r="E660" s="18" t="str">
        <f aca="false">IF($C660="","",IFERROR(INDEX(Lists!$B$2:$B$40,MATCH($C660,Lists!$A$2:$A$40,0)),""))</f>
        <v/>
      </c>
      <c r="F660" s="20"/>
      <c r="G660" s="20"/>
      <c r="H660" s="20"/>
      <c r="I660" s="20"/>
      <c r="J660" s="20"/>
      <c r="K660" s="18" t="str">
        <f aca="false">IF(COUNT($F660:$J660)=0,"",SUM($F660:$J660))</f>
        <v/>
      </c>
      <c r="L660" s="18" t="str">
        <f aca="false">IF(COUNT($F660:$J660)=0,"",MAX($F660:$J660))</f>
        <v/>
      </c>
      <c r="M660" s="18" t="str">
        <f aca="false">IFERROR(IF(OR($C660="",COUNT($F660:$J660)&lt;3),"",IF(N(INDEX(Lists!$C$2:$C$40,MATCH($C660,Lists!$A$2:$A$40,0)))=0,"",IF(MIN($F660:$J660)&gt;=INDEX(Lists!$C$2:$C$40,MATCH($C660,Lists!$A$2:$A$40,0)),"LEVEL UP",""))),"")</f>
        <v/>
      </c>
      <c r="N660" s="20"/>
      <c r="O660" s="19"/>
    </row>
    <row r="661" customFormat="false" ht="15" hidden="false" customHeight="false" outlineLevel="0" collapsed="false">
      <c r="A661" s="17"/>
      <c r="B661" s="18" t="str">
        <f aca="false">IF($A661="","",TEXT($A661,"ddd"))</f>
        <v/>
      </c>
      <c r="C661" s="19"/>
      <c r="D661" s="19"/>
      <c r="E661" s="18" t="str">
        <f aca="false">IF($C661="","",IFERROR(INDEX(Lists!$B$2:$B$40,MATCH($C661,Lists!$A$2:$A$40,0)),""))</f>
        <v/>
      </c>
      <c r="F661" s="20"/>
      <c r="G661" s="20"/>
      <c r="H661" s="20"/>
      <c r="I661" s="20"/>
      <c r="J661" s="20"/>
      <c r="K661" s="18" t="str">
        <f aca="false">IF(COUNT($F661:$J661)=0,"",SUM($F661:$J661))</f>
        <v/>
      </c>
      <c r="L661" s="18" t="str">
        <f aca="false">IF(COUNT($F661:$J661)=0,"",MAX($F661:$J661))</f>
        <v/>
      </c>
      <c r="M661" s="18" t="str">
        <f aca="false">IFERROR(IF(OR($C661="",COUNT($F661:$J661)&lt;3),"",IF(N(INDEX(Lists!$C$2:$C$40,MATCH($C661,Lists!$A$2:$A$40,0)))=0,"",IF(MIN($F661:$J661)&gt;=INDEX(Lists!$C$2:$C$40,MATCH($C661,Lists!$A$2:$A$40,0)),"LEVEL UP",""))),"")</f>
        <v/>
      </c>
      <c r="N661" s="20"/>
      <c r="O661" s="19"/>
    </row>
    <row r="662" customFormat="false" ht="15" hidden="false" customHeight="false" outlineLevel="0" collapsed="false">
      <c r="A662" s="17"/>
      <c r="B662" s="18" t="str">
        <f aca="false">IF($A662="","",TEXT($A662,"ddd"))</f>
        <v/>
      </c>
      <c r="C662" s="19"/>
      <c r="D662" s="19"/>
      <c r="E662" s="18" t="str">
        <f aca="false">IF($C662="","",IFERROR(INDEX(Lists!$B$2:$B$40,MATCH($C662,Lists!$A$2:$A$40,0)),""))</f>
        <v/>
      </c>
      <c r="F662" s="20"/>
      <c r="G662" s="20"/>
      <c r="H662" s="20"/>
      <c r="I662" s="20"/>
      <c r="J662" s="20"/>
      <c r="K662" s="18" t="str">
        <f aca="false">IF(COUNT($F662:$J662)=0,"",SUM($F662:$J662))</f>
        <v/>
      </c>
      <c r="L662" s="18" t="str">
        <f aca="false">IF(COUNT($F662:$J662)=0,"",MAX($F662:$J662))</f>
        <v/>
      </c>
      <c r="M662" s="18" t="str">
        <f aca="false">IFERROR(IF(OR($C662="",COUNT($F662:$J662)&lt;3),"",IF(N(INDEX(Lists!$C$2:$C$40,MATCH($C662,Lists!$A$2:$A$40,0)))=0,"",IF(MIN($F662:$J662)&gt;=INDEX(Lists!$C$2:$C$40,MATCH($C662,Lists!$A$2:$A$40,0)),"LEVEL UP",""))),"")</f>
        <v/>
      </c>
      <c r="N662" s="20"/>
      <c r="O662" s="19"/>
    </row>
    <row r="663" customFormat="false" ht="15" hidden="false" customHeight="false" outlineLevel="0" collapsed="false">
      <c r="A663" s="17"/>
      <c r="B663" s="18" t="str">
        <f aca="false">IF($A663="","",TEXT($A663,"ddd"))</f>
        <v/>
      </c>
      <c r="C663" s="19"/>
      <c r="D663" s="19"/>
      <c r="E663" s="18" t="str">
        <f aca="false">IF($C663="","",IFERROR(INDEX(Lists!$B$2:$B$40,MATCH($C663,Lists!$A$2:$A$40,0)),""))</f>
        <v/>
      </c>
      <c r="F663" s="20"/>
      <c r="G663" s="20"/>
      <c r="H663" s="20"/>
      <c r="I663" s="20"/>
      <c r="J663" s="20"/>
      <c r="K663" s="18" t="str">
        <f aca="false">IF(COUNT($F663:$J663)=0,"",SUM($F663:$J663))</f>
        <v/>
      </c>
      <c r="L663" s="18" t="str">
        <f aca="false">IF(COUNT($F663:$J663)=0,"",MAX($F663:$J663))</f>
        <v/>
      </c>
      <c r="M663" s="18" t="str">
        <f aca="false">IFERROR(IF(OR($C663="",COUNT($F663:$J663)&lt;3),"",IF(N(INDEX(Lists!$C$2:$C$40,MATCH($C663,Lists!$A$2:$A$40,0)))=0,"",IF(MIN($F663:$J663)&gt;=INDEX(Lists!$C$2:$C$40,MATCH($C663,Lists!$A$2:$A$40,0)),"LEVEL UP",""))),"")</f>
        <v/>
      </c>
      <c r="N663" s="20"/>
      <c r="O663" s="19"/>
    </row>
    <row r="664" customFormat="false" ht="15" hidden="false" customHeight="false" outlineLevel="0" collapsed="false">
      <c r="A664" s="17"/>
      <c r="B664" s="18" t="str">
        <f aca="false">IF($A664="","",TEXT($A664,"ddd"))</f>
        <v/>
      </c>
      <c r="C664" s="19"/>
      <c r="D664" s="19"/>
      <c r="E664" s="18" t="str">
        <f aca="false">IF($C664="","",IFERROR(INDEX(Lists!$B$2:$B$40,MATCH($C664,Lists!$A$2:$A$40,0)),""))</f>
        <v/>
      </c>
      <c r="F664" s="20"/>
      <c r="G664" s="20"/>
      <c r="H664" s="20"/>
      <c r="I664" s="20"/>
      <c r="J664" s="20"/>
      <c r="K664" s="18" t="str">
        <f aca="false">IF(COUNT($F664:$J664)=0,"",SUM($F664:$J664))</f>
        <v/>
      </c>
      <c r="L664" s="18" t="str">
        <f aca="false">IF(COUNT($F664:$J664)=0,"",MAX($F664:$J664))</f>
        <v/>
      </c>
      <c r="M664" s="18" t="str">
        <f aca="false">IFERROR(IF(OR($C664="",COUNT($F664:$J664)&lt;3),"",IF(N(INDEX(Lists!$C$2:$C$40,MATCH($C664,Lists!$A$2:$A$40,0)))=0,"",IF(MIN($F664:$J664)&gt;=INDEX(Lists!$C$2:$C$40,MATCH($C664,Lists!$A$2:$A$40,0)),"LEVEL UP",""))),"")</f>
        <v/>
      </c>
      <c r="N664" s="20"/>
      <c r="O664" s="19"/>
    </row>
    <row r="665" customFormat="false" ht="15" hidden="false" customHeight="false" outlineLevel="0" collapsed="false">
      <c r="A665" s="17"/>
      <c r="B665" s="18" t="str">
        <f aca="false">IF($A665="","",TEXT($A665,"ddd"))</f>
        <v/>
      </c>
      <c r="C665" s="19"/>
      <c r="D665" s="19"/>
      <c r="E665" s="18" t="str">
        <f aca="false">IF($C665="","",IFERROR(INDEX(Lists!$B$2:$B$40,MATCH($C665,Lists!$A$2:$A$40,0)),""))</f>
        <v/>
      </c>
      <c r="F665" s="20"/>
      <c r="G665" s="20"/>
      <c r="H665" s="20"/>
      <c r="I665" s="20"/>
      <c r="J665" s="20"/>
      <c r="K665" s="18" t="str">
        <f aca="false">IF(COUNT($F665:$J665)=0,"",SUM($F665:$J665))</f>
        <v/>
      </c>
      <c r="L665" s="18" t="str">
        <f aca="false">IF(COUNT($F665:$J665)=0,"",MAX($F665:$J665))</f>
        <v/>
      </c>
      <c r="M665" s="18" t="str">
        <f aca="false">IFERROR(IF(OR($C665="",COUNT($F665:$J665)&lt;3),"",IF(N(INDEX(Lists!$C$2:$C$40,MATCH($C665,Lists!$A$2:$A$40,0)))=0,"",IF(MIN($F665:$J665)&gt;=INDEX(Lists!$C$2:$C$40,MATCH($C665,Lists!$A$2:$A$40,0)),"LEVEL UP",""))),"")</f>
        <v/>
      </c>
      <c r="N665" s="20"/>
      <c r="O665" s="19"/>
    </row>
    <row r="666" customFormat="false" ht="15" hidden="false" customHeight="false" outlineLevel="0" collapsed="false">
      <c r="A666" s="17"/>
      <c r="B666" s="18" t="str">
        <f aca="false">IF($A666="","",TEXT($A666,"ddd"))</f>
        <v/>
      </c>
      <c r="C666" s="19"/>
      <c r="D666" s="19"/>
      <c r="E666" s="18" t="str">
        <f aca="false">IF($C666="","",IFERROR(INDEX(Lists!$B$2:$B$40,MATCH($C666,Lists!$A$2:$A$40,0)),""))</f>
        <v/>
      </c>
      <c r="F666" s="20"/>
      <c r="G666" s="20"/>
      <c r="H666" s="20"/>
      <c r="I666" s="20"/>
      <c r="J666" s="20"/>
      <c r="K666" s="18" t="str">
        <f aca="false">IF(COUNT($F666:$J666)=0,"",SUM($F666:$J666))</f>
        <v/>
      </c>
      <c r="L666" s="18" t="str">
        <f aca="false">IF(COUNT($F666:$J666)=0,"",MAX($F666:$J666))</f>
        <v/>
      </c>
      <c r="M666" s="18" t="str">
        <f aca="false">IFERROR(IF(OR($C666="",COUNT($F666:$J666)&lt;3),"",IF(N(INDEX(Lists!$C$2:$C$40,MATCH($C666,Lists!$A$2:$A$40,0)))=0,"",IF(MIN($F666:$J666)&gt;=INDEX(Lists!$C$2:$C$40,MATCH($C666,Lists!$A$2:$A$40,0)),"LEVEL UP",""))),"")</f>
        <v/>
      </c>
      <c r="N666" s="20"/>
      <c r="O666" s="19"/>
    </row>
    <row r="667" customFormat="false" ht="15" hidden="false" customHeight="false" outlineLevel="0" collapsed="false">
      <c r="A667" s="17"/>
      <c r="B667" s="18" t="str">
        <f aca="false">IF($A667="","",TEXT($A667,"ddd"))</f>
        <v/>
      </c>
      <c r="C667" s="19"/>
      <c r="D667" s="19"/>
      <c r="E667" s="18" t="str">
        <f aca="false">IF($C667="","",IFERROR(INDEX(Lists!$B$2:$B$40,MATCH($C667,Lists!$A$2:$A$40,0)),""))</f>
        <v/>
      </c>
      <c r="F667" s="20"/>
      <c r="G667" s="20"/>
      <c r="H667" s="20"/>
      <c r="I667" s="20"/>
      <c r="J667" s="20"/>
      <c r="K667" s="18" t="str">
        <f aca="false">IF(COUNT($F667:$J667)=0,"",SUM($F667:$J667))</f>
        <v/>
      </c>
      <c r="L667" s="18" t="str">
        <f aca="false">IF(COUNT($F667:$J667)=0,"",MAX($F667:$J667))</f>
        <v/>
      </c>
      <c r="M667" s="18" t="str">
        <f aca="false">IFERROR(IF(OR($C667="",COUNT($F667:$J667)&lt;3),"",IF(N(INDEX(Lists!$C$2:$C$40,MATCH($C667,Lists!$A$2:$A$40,0)))=0,"",IF(MIN($F667:$J667)&gt;=INDEX(Lists!$C$2:$C$40,MATCH($C667,Lists!$A$2:$A$40,0)),"LEVEL UP",""))),"")</f>
        <v/>
      </c>
      <c r="N667" s="20"/>
      <c r="O667" s="19"/>
    </row>
    <row r="668" customFormat="false" ht="15" hidden="false" customHeight="false" outlineLevel="0" collapsed="false">
      <c r="A668" s="17"/>
      <c r="B668" s="18" t="str">
        <f aca="false">IF($A668="","",TEXT($A668,"ddd"))</f>
        <v/>
      </c>
      <c r="C668" s="19"/>
      <c r="D668" s="19"/>
      <c r="E668" s="18" t="str">
        <f aca="false">IF($C668="","",IFERROR(INDEX(Lists!$B$2:$B$40,MATCH($C668,Lists!$A$2:$A$40,0)),""))</f>
        <v/>
      </c>
      <c r="F668" s="20"/>
      <c r="G668" s="20"/>
      <c r="H668" s="20"/>
      <c r="I668" s="20"/>
      <c r="J668" s="20"/>
      <c r="K668" s="18" t="str">
        <f aca="false">IF(COUNT($F668:$J668)=0,"",SUM($F668:$J668))</f>
        <v/>
      </c>
      <c r="L668" s="18" t="str">
        <f aca="false">IF(COUNT($F668:$J668)=0,"",MAX($F668:$J668))</f>
        <v/>
      </c>
      <c r="M668" s="18" t="str">
        <f aca="false">IFERROR(IF(OR($C668="",COUNT($F668:$J668)&lt;3),"",IF(N(INDEX(Lists!$C$2:$C$40,MATCH($C668,Lists!$A$2:$A$40,0)))=0,"",IF(MIN($F668:$J668)&gt;=INDEX(Lists!$C$2:$C$40,MATCH($C668,Lists!$A$2:$A$40,0)),"LEVEL UP",""))),"")</f>
        <v/>
      </c>
      <c r="N668" s="20"/>
      <c r="O668" s="19"/>
    </row>
    <row r="669" customFormat="false" ht="15" hidden="false" customHeight="false" outlineLevel="0" collapsed="false">
      <c r="A669" s="17"/>
      <c r="B669" s="18" t="str">
        <f aca="false">IF($A669="","",TEXT($A669,"ddd"))</f>
        <v/>
      </c>
      <c r="C669" s="19"/>
      <c r="D669" s="19"/>
      <c r="E669" s="18" t="str">
        <f aca="false">IF($C669="","",IFERROR(INDEX(Lists!$B$2:$B$40,MATCH($C669,Lists!$A$2:$A$40,0)),""))</f>
        <v/>
      </c>
      <c r="F669" s="20"/>
      <c r="G669" s="20"/>
      <c r="H669" s="20"/>
      <c r="I669" s="20"/>
      <c r="J669" s="20"/>
      <c r="K669" s="18" t="str">
        <f aca="false">IF(COUNT($F669:$J669)=0,"",SUM($F669:$J669))</f>
        <v/>
      </c>
      <c r="L669" s="18" t="str">
        <f aca="false">IF(COUNT($F669:$J669)=0,"",MAX($F669:$J669))</f>
        <v/>
      </c>
      <c r="M669" s="18" t="str">
        <f aca="false">IFERROR(IF(OR($C669="",COUNT($F669:$J669)&lt;3),"",IF(N(INDEX(Lists!$C$2:$C$40,MATCH($C669,Lists!$A$2:$A$40,0)))=0,"",IF(MIN($F669:$J669)&gt;=INDEX(Lists!$C$2:$C$40,MATCH($C669,Lists!$A$2:$A$40,0)),"LEVEL UP",""))),"")</f>
        <v/>
      </c>
      <c r="N669" s="20"/>
      <c r="O669" s="19"/>
    </row>
    <row r="670" customFormat="false" ht="15" hidden="false" customHeight="false" outlineLevel="0" collapsed="false">
      <c r="A670" s="17"/>
      <c r="B670" s="18" t="str">
        <f aca="false">IF($A670="","",TEXT($A670,"ddd"))</f>
        <v/>
      </c>
      <c r="C670" s="19"/>
      <c r="D670" s="19"/>
      <c r="E670" s="18" t="str">
        <f aca="false">IF($C670="","",IFERROR(INDEX(Lists!$B$2:$B$40,MATCH($C670,Lists!$A$2:$A$40,0)),""))</f>
        <v/>
      </c>
      <c r="F670" s="20"/>
      <c r="G670" s="20"/>
      <c r="H670" s="20"/>
      <c r="I670" s="20"/>
      <c r="J670" s="20"/>
      <c r="K670" s="18" t="str">
        <f aca="false">IF(COUNT($F670:$J670)=0,"",SUM($F670:$J670))</f>
        <v/>
      </c>
      <c r="L670" s="18" t="str">
        <f aca="false">IF(COUNT($F670:$J670)=0,"",MAX($F670:$J670))</f>
        <v/>
      </c>
      <c r="M670" s="18" t="str">
        <f aca="false">IFERROR(IF(OR($C670="",COUNT($F670:$J670)&lt;3),"",IF(N(INDEX(Lists!$C$2:$C$40,MATCH($C670,Lists!$A$2:$A$40,0)))=0,"",IF(MIN($F670:$J670)&gt;=INDEX(Lists!$C$2:$C$40,MATCH($C670,Lists!$A$2:$A$40,0)),"LEVEL UP",""))),"")</f>
        <v/>
      </c>
      <c r="N670" s="20"/>
      <c r="O670" s="19"/>
    </row>
    <row r="671" customFormat="false" ht="15" hidden="false" customHeight="false" outlineLevel="0" collapsed="false">
      <c r="A671" s="17"/>
      <c r="B671" s="18" t="str">
        <f aca="false">IF($A671="","",TEXT($A671,"ddd"))</f>
        <v/>
      </c>
      <c r="C671" s="19"/>
      <c r="D671" s="19"/>
      <c r="E671" s="18" t="str">
        <f aca="false">IF($C671="","",IFERROR(INDEX(Lists!$B$2:$B$40,MATCH($C671,Lists!$A$2:$A$40,0)),""))</f>
        <v/>
      </c>
      <c r="F671" s="20"/>
      <c r="G671" s="20"/>
      <c r="H671" s="20"/>
      <c r="I671" s="20"/>
      <c r="J671" s="20"/>
      <c r="K671" s="18" t="str">
        <f aca="false">IF(COUNT($F671:$J671)=0,"",SUM($F671:$J671))</f>
        <v/>
      </c>
      <c r="L671" s="18" t="str">
        <f aca="false">IF(COUNT($F671:$J671)=0,"",MAX($F671:$J671))</f>
        <v/>
      </c>
      <c r="M671" s="18" t="str">
        <f aca="false">IFERROR(IF(OR($C671="",COUNT($F671:$J671)&lt;3),"",IF(N(INDEX(Lists!$C$2:$C$40,MATCH($C671,Lists!$A$2:$A$40,0)))=0,"",IF(MIN($F671:$J671)&gt;=INDEX(Lists!$C$2:$C$40,MATCH($C671,Lists!$A$2:$A$40,0)),"LEVEL UP",""))),"")</f>
        <v/>
      </c>
      <c r="N671" s="20"/>
      <c r="O671" s="19"/>
    </row>
    <row r="672" customFormat="false" ht="15" hidden="false" customHeight="false" outlineLevel="0" collapsed="false">
      <c r="A672" s="17"/>
      <c r="B672" s="18" t="str">
        <f aca="false">IF($A672="","",TEXT($A672,"ddd"))</f>
        <v/>
      </c>
      <c r="C672" s="19"/>
      <c r="D672" s="19"/>
      <c r="E672" s="18" t="str">
        <f aca="false">IF($C672="","",IFERROR(INDEX(Lists!$B$2:$B$40,MATCH($C672,Lists!$A$2:$A$40,0)),""))</f>
        <v/>
      </c>
      <c r="F672" s="20"/>
      <c r="G672" s="20"/>
      <c r="H672" s="20"/>
      <c r="I672" s="20"/>
      <c r="J672" s="20"/>
      <c r="K672" s="18" t="str">
        <f aca="false">IF(COUNT($F672:$J672)=0,"",SUM($F672:$J672))</f>
        <v/>
      </c>
      <c r="L672" s="18" t="str">
        <f aca="false">IF(COUNT($F672:$J672)=0,"",MAX($F672:$J672))</f>
        <v/>
      </c>
      <c r="M672" s="18" t="str">
        <f aca="false">IFERROR(IF(OR($C672="",COUNT($F672:$J672)&lt;3),"",IF(N(INDEX(Lists!$C$2:$C$40,MATCH($C672,Lists!$A$2:$A$40,0)))=0,"",IF(MIN($F672:$J672)&gt;=INDEX(Lists!$C$2:$C$40,MATCH($C672,Lists!$A$2:$A$40,0)),"LEVEL UP",""))),"")</f>
        <v/>
      </c>
      <c r="N672" s="20"/>
      <c r="O672" s="19"/>
    </row>
    <row r="673" customFormat="false" ht="15" hidden="false" customHeight="false" outlineLevel="0" collapsed="false">
      <c r="A673" s="17"/>
      <c r="B673" s="18" t="str">
        <f aca="false">IF($A673="","",TEXT($A673,"ddd"))</f>
        <v/>
      </c>
      <c r="C673" s="19"/>
      <c r="D673" s="19"/>
      <c r="E673" s="18" t="str">
        <f aca="false">IF($C673="","",IFERROR(INDEX(Lists!$B$2:$B$40,MATCH($C673,Lists!$A$2:$A$40,0)),""))</f>
        <v/>
      </c>
      <c r="F673" s="20"/>
      <c r="G673" s="20"/>
      <c r="H673" s="20"/>
      <c r="I673" s="20"/>
      <c r="J673" s="20"/>
      <c r="K673" s="18" t="str">
        <f aca="false">IF(COUNT($F673:$J673)=0,"",SUM($F673:$J673))</f>
        <v/>
      </c>
      <c r="L673" s="18" t="str">
        <f aca="false">IF(COUNT($F673:$J673)=0,"",MAX($F673:$J673))</f>
        <v/>
      </c>
      <c r="M673" s="18" t="str">
        <f aca="false">IFERROR(IF(OR($C673="",COUNT($F673:$J673)&lt;3),"",IF(N(INDEX(Lists!$C$2:$C$40,MATCH($C673,Lists!$A$2:$A$40,0)))=0,"",IF(MIN($F673:$J673)&gt;=INDEX(Lists!$C$2:$C$40,MATCH($C673,Lists!$A$2:$A$40,0)),"LEVEL UP",""))),"")</f>
        <v/>
      </c>
      <c r="N673" s="20"/>
      <c r="O673" s="19"/>
    </row>
    <row r="674" customFormat="false" ht="15" hidden="false" customHeight="false" outlineLevel="0" collapsed="false">
      <c r="A674" s="17"/>
      <c r="B674" s="18" t="str">
        <f aca="false">IF($A674="","",TEXT($A674,"ddd"))</f>
        <v/>
      </c>
      <c r="C674" s="19"/>
      <c r="D674" s="19"/>
      <c r="E674" s="18" t="str">
        <f aca="false">IF($C674="","",IFERROR(INDEX(Lists!$B$2:$B$40,MATCH($C674,Lists!$A$2:$A$40,0)),""))</f>
        <v/>
      </c>
      <c r="F674" s="20"/>
      <c r="G674" s="20"/>
      <c r="H674" s="20"/>
      <c r="I674" s="20"/>
      <c r="J674" s="20"/>
      <c r="K674" s="18" t="str">
        <f aca="false">IF(COUNT($F674:$J674)=0,"",SUM($F674:$J674))</f>
        <v/>
      </c>
      <c r="L674" s="18" t="str">
        <f aca="false">IF(COUNT($F674:$J674)=0,"",MAX($F674:$J674))</f>
        <v/>
      </c>
      <c r="M674" s="18" t="str">
        <f aca="false">IFERROR(IF(OR($C674="",COUNT($F674:$J674)&lt;3),"",IF(N(INDEX(Lists!$C$2:$C$40,MATCH($C674,Lists!$A$2:$A$40,0)))=0,"",IF(MIN($F674:$J674)&gt;=INDEX(Lists!$C$2:$C$40,MATCH($C674,Lists!$A$2:$A$40,0)),"LEVEL UP",""))),"")</f>
        <v/>
      </c>
      <c r="N674" s="20"/>
      <c r="O674" s="19"/>
    </row>
    <row r="675" customFormat="false" ht="15" hidden="false" customHeight="false" outlineLevel="0" collapsed="false">
      <c r="A675" s="17"/>
      <c r="B675" s="18" t="str">
        <f aca="false">IF($A675="","",TEXT($A675,"ddd"))</f>
        <v/>
      </c>
      <c r="C675" s="19"/>
      <c r="D675" s="19"/>
      <c r="E675" s="18" t="str">
        <f aca="false">IF($C675="","",IFERROR(INDEX(Lists!$B$2:$B$40,MATCH($C675,Lists!$A$2:$A$40,0)),""))</f>
        <v/>
      </c>
      <c r="F675" s="20"/>
      <c r="G675" s="20"/>
      <c r="H675" s="20"/>
      <c r="I675" s="20"/>
      <c r="J675" s="20"/>
      <c r="K675" s="18" t="str">
        <f aca="false">IF(COUNT($F675:$J675)=0,"",SUM($F675:$J675))</f>
        <v/>
      </c>
      <c r="L675" s="18" t="str">
        <f aca="false">IF(COUNT($F675:$J675)=0,"",MAX($F675:$J675))</f>
        <v/>
      </c>
      <c r="M675" s="18" t="str">
        <f aca="false">IFERROR(IF(OR($C675="",COUNT($F675:$J675)&lt;3),"",IF(N(INDEX(Lists!$C$2:$C$40,MATCH($C675,Lists!$A$2:$A$40,0)))=0,"",IF(MIN($F675:$J675)&gt;=INDEX(Lists!$C$2:$C$40,MATCH($C675,Lists!$A$2:$A$40,0)),"LEVEL UP",""))),"")</f>
        <v/>
      </c>
      <c r="N675" s="20"/>
      <c r="O675" s="19"/>
    </row>
    <row r="676" customFormat="false" ht="15" hidden="false" customHeight="false" outlineLevel="0" collapsed="false">
      <c r="A676" s="17"/>
      <c r="B676" s="18" t="str">
        <f aca="false">IF($A676="","",TEXT($A676,"ddd"))</f>
        <v/>
      </c>
      <c r="C676" s="19"/>
      <c r="D676" s="19"/>
      <c r="E676" s="18" t="str">
        <f aca="false">IF($C676="","",IFERROR(INDEX(Lists!$B$2:$B$40,MATCH($C676,Lists!$A$2:$A$40,0)),""))</f>
        <v/>
      </c>
      <c r="F676" s="20"/>
      <c r="G676" s="20"/>
      <c r="H676" s="20"/>
      <c r="I676" s="20"/>
      <c r="J676" s="20"/>
      <c r="K676" s="18" t="str">
        <f aca="false">IF(COUNT($F676:$J676)=0,"",SUM($F676:$J676))</f>
        <v/>
      </c>
      <c r="L676" s="18" t="str">
        <f aca="false">IF(COUNT($F676:$J676)=0,"",MAX($F676:$J676))</f>
        <v/>
      </c>
      <c r="M676" s="18" t="str">
        <f aca="false">IFERROR(IF(OR($C676="",COUNT($F676:$J676)&lt;3),"",IF(N(INDEX(Lists!$C$2:$C$40,MATCH($C676,Lists!$A$2:$A$40,0)))=0,"",IF(MIN($F676:$J676)&gt;=INDEX(Lists!$C$2:$C$40,MATCH($C676,Lists!$A$2:$A$40,0)),"LEVEL UP",""))),"")</f>
        <v/>
      </c>
      <c r="N676" s="20"/>
      <c r="O676" s="19"/>
    </row>
    <row r="677" customFormat="false" ht="15" hidden="false" customHeight="false" outlineLevel="0" collapsed="false">
      <c r="A677" s="17"/>
      <c r="B677" s="18" t="str">
        <f aca="false">IF($A677="","",TEXT($A677,"ddd"))</f>
        <v/>
      </c>
      <c r="C677" s="19"/>
      <c r="D677" s="19"/>
      <c r="E677" s="18" t="str">
        <f aca="false">IF($C677="","",IFERROR(INDEX(Lists!$B$2:$B$40,MATCH($C677,Lists!$A$2:$A$40,0)),""))</f>
        <v/>
      </c>
      <c r="F677" s="20"/>
      <c r="G677" s="20"/>
      <c r="H677" s="20"/>
      <c r="I677" s="20"/>
      <c r="J677" s="20"/>
      <c r="K677" s="18" t="str">
        <f aca="false">IF(COUNT($F677:$J677)=0,"",SUM($F677:$J677))</f>
        <v/>
      </c>
      <c r="L677" s="18" t="str">
        <f aca="false">IF(COUNT($F677:$J677)=0,"",MAX($F677:$J677))</f>
        <v/>
      </c>
      <c r="M677" s="18" t="str">
        <f aca="false">IFERROR(IF(OR($C677="",COUNT($F677:$J677)&lt;3),"",IF(N(INDEX(Lists!$C$2:$C$40,MATCH($C677,Lists!$A$2:$A$40,0)))=0,"",IF(MIN($F677:$J677)&gt;=INDEX(Lists!$C$2:$C$40,MATCH($C677,Lists!$A$2:$A$40,0)),"LEVEL UP",""))),"")</f>
        <v/>
      </c>
      <c r="N677" s="20"/>
      <c r="O677" s="19"/>
    </row>
    <row r="678" customFormat="false" ht="15" hidden="false" customHeight="false" outlineLevel="0" collapsed="false">
      <c r="A678" s="17"/>
      <c r="B678" s="18" t="str">
        <f aca="false">IF($A678="","",TEXT($A678,"ddd"))</f>
        <v/>
      </c>
      <c r="C678" s="19"/>
      <c r="D678" s="19"/>
      <c r="E678" s="18" t="str">
        <f aca="false">IF($C678="","",IFERROR(INDEX(Lists!$B$2:$B$40,MATCH($C678,Lists!$A$2:$A$40,0)),""))</f>
        <v/>
      </c>
      <c r="F678" s="20"/>
      <c r="G678" s="20"/>
      <c r="H678" s="20"/>
      <c r="I678" s="20"/>
      <c r="J678" s="20"/>
      <c r="K678" s="18" t="str">
        <f aca="false">IF(COUNT($F678:$J678)=0,"",SUM($F678:$J678))</f>
        <v/>
      </c>
      <c r="L678" s="18" t="str">
        <f aca="false">IF(COUNT($F678:$J678)=0,"",MAX($F678:$J678))</f>
        <v/>
      </c>
      <c r="M678" s="18" t="str">
        <f aca="false">IFERROR(IF(OR($C678="",COUNT($F678:$J678)&lt;3),"",IF(N(INDEX(Lists!$C$2:$C$40,MATCH($C678,Lists!$A$2:$A$40,0)))=0,"",IF(MIN($F678:$J678)&gt;=INDEX(Lists!$C$2:$C$40,MATCH($C678,Lists!$A$2:$A$40,0)),"LEVEL UP",""))),"")</f>
        <v/>
      </c>
      <c r="N678" s="20"/>
      <c r="O678" s="19"/>
    </row>
    <row r="679" customFormat="false" ht="15" hidden="false" customHeight="false" outlineLevel="0" collapsed="false">
      <c r="A679" s="17"/>
      <c r="B679" s="18" t="str">
        <f aca="false">IF($A679="","",TEXT($A679,"ddd"))</f>
        <v/>
      </c>
      <c r="C679" s="19"/>
      <c r="D679" s="19"/>
      <c r="E679" s="18" t="str">
        <f aca="false">IF($C679="","",IFERROR(INDEX(Lists!$B$2:$B$40,MATCH($C679,Lists!$A$2:$A$40,0)),""))</f>
        <v/>
      </c>
      <c r="F679" s="20"/>
      <c r="G679" s="20"/>
      <c r="H679" s="20"/>
      <c r="I679" s="20"/>
      <c r="J679" s="20"/>
      <c r="K679" s="18" t="str">
        <f aca="false">IF(COUNT($F679:$J679)=0,"",SUM($F679:$J679))</f>
        <v/>
      </c>
      <c r="L679" s="18" t="str">
        <f aca="false">IF(COUNT($F679:$J679)=0,"",MAX($F679:$J679))</f>
        <v/>
      </c>
      <c r="M679" s="18" t="str">
        <f aca="false">IFERROR(IF(OR($C679="",COUNT($F679:$J679)&lt;3),"",IF(N(INDEX(Lists!$C$2:$C$40,MATCH($C679,Lists!$A$2:$A$40,0)))=0,"",IF(MIN($F679:$J679)&gt;=INDEX(Lists!$C$2:$C$40,MATCH($C679,Lists!$A$2:$A$40,0)),"LEVEL UP",""))),"")</f>
        <v/>
      </c>
      <c r="N679" s="20"/>
      <c r="O679" s="19"/>
    </row>
    <row r="680" customFormat="false" ht="15" hidden="false" customHeight="false" outlineLevel="0" collapsed="false">
      <c r="A680" s="17"/>
      <c r="B680" s="18" t="str">
        <f aca="false">IF($A680="","",TEXT($A680,"ddd"))</f>
        <v/>
      </c>
      <c r="C680" s="19"/>
      <c r="D680" s="19"/>
      <c r="E680" s="18" t="str">
        <f aca="false">IF($C680="","",IFERROR(INDEX(Lists!$B$2:$B$40,MATCH($C680,Lists!$A$2:$A$40,0)),""))</f>
        <v/>
      </c>
      <c r="F680" s="20"/>
      <c r="G680" s="20"/>
      <c r="H680" s="20"/>
      <c r="I680" s="20"/>
      <c r="J680" s="20"/>
      <c r="K680" s="18" t="str">
        <f aca="false">IF(COUNT($F680:$J680)=0,"",SUM($F680:$J680))</f>
        <v/>
      </c>
      <c r="L680" s="18" t="str">
        <f aca="false">IF(COUNT($F680:$J680)=0,"",MAX($F680:$J680))</f>
        <v/>
      </c>
      <c r="M680" s="18" t="str">
        <f aca="false">IFERROR(IF(OR($C680="",COUNT($F680:$J680)&lt;3),"",IF(N(INDEX(Lists!$C$2:$C$40,MATCH($C680,Lists!$A$2:$A$40,0)))=0,"",IF(MIN($F680:$J680)&gt;=INDEX(Lists!$C$2:$C$40,MATCH($C680,Lists!$A$2:$A$40,0)),"LEVEL UP",""))),"")</f>
        <v/>
      </c>
      <c r="N680" s="20"/>
      <c r="O680" s="19"/>
    </row>
    <row r="681" customFormat="false" ht="15" hidden="false" customHeight="false" outlineLevel="0" collapsed="false">
      <c r="A681" s="17"/>
      <c r="B681" s="18" t="str">
        <f aca="false">IF($A681="","",TEXT($A681,"ddd"))</f>
        <v/>
      </c>
      <c r="C681" s="19"/>
      <c r="D681" s="19"/>
      <c r="E681" s="18" t="str">
        <f aca="false">IF($C681="","",IFERROR(INDEX(Lists!$B$2:$B$40,MATCH($C681,Lists!$A$2:$A$40,0)),""))</f>
        <v/>
      </c>
      <c r="F681" s="20"/>
      <c r="G681" s="20"/>
      <c r="H681" s="20"/>
      <c r="I681" s="20"/>
      <c r="J681" s="20"/>
      <c r="K681" s="18" t="str">
        <f aca="false">IF(COUNT($F681:$J681)=0,"",SUM($F681:$J681))</f>
        <v/>
      </c>
      <c r="L681" s="18" t="str">
        <f aca="false">IF(COUNT($F681:$J681)=0,"",MAX($F681:$J681))</f>
        <v/>
      </c>
      <c r="M681" s="18" t="str">
        <f aca="false">IFERROR(IF(OR($C681="",COUNT($F681:$J681)&lt;3),"",IF(N(INDEX(Lists!$C$2:$C$40,MATCH($C681,Lists!$A$2:$A$40,0)))=0,"",IF(MIN($F681:$J681)&gt;=INDEX(Lists!$C$2:$C$40,MATCH($C681,Lists!$A$2:$A$40,0)),"LEVEL UP",""))),"")</f>
        <v/>
      </c>
      <c r="N681" s="20"/>
      <c r="O681" s="19"/>
    </row>
    <row r="682" customFormat="false" ht="15" hidden="false" customHeight="false" outlineLevel="0" collapsed="false">
      <c r="A682" s="17"/>
      <c r="B682" s="18" t="str">
        <f aca="false">IF($A682="","",TEXT($A682,"ddd"))</f>
        <v/>
      </c>
      <c r="C682" s="19"/>
      <c r="D682" s="19"/>
      <c r="E682" s="18" t="str">
        <f aca="false">IF($C682="","",IFERROR(INDEX(Lists!$B$2:$B$40,MATCH($C682,Lists!$A$2:$A$40,0)),""))</f>
        <v/>
      </c>
      <c r="F682" s="20"/>
      <c r="G682" s="20"/>
      <c r="H682" s="20"/>
      <c r="I682" s="20"/>
      <c r="J682" s="20"/>
      <c r="K682" s="18" t="str">
        <f aca="false">IF(COUNT($F682:$J682)=0,"",SUM($F682:$J682))</f>
        <v/>
      </c>
      <c r="L682" s="18" t="str">
        <f aca="false">IF(COUNT($F682:$J682)=0,"",MAX($F682:$J682))</f>
        <v/>
      </c>
      <c r="M682" s="18" t="str">
        <f aca="false">IFERROR(IF(OR($C682="",COUNT($F682:$J682)&lt;3),"",IF(N(INDEX(Lists!$C$2:$C$40,MATCH($C682,Lists!$A$2:$A$40,0)))=0,"",IF(MIN($F682:$J682)&gt;=INDEX(Lists!$C$2:$C$40,MATCH($C682,Lists!$A$2:$A$40,0)),"LEVEL UP",""))),"")</f>
        <v/>
      </c>
      <c r="N682" s="20"/>
      <c r="O682" s="19"/>
    </row>
    <row r="683" customFormat="false" ht="15" hidden="false" customHeight="false" outlineLevel="0" collapsed="false">
      <c r="A683" s="17"/>
      <c r="B683" s="18" t="str">
        <f aca="false">IF($A683="","",TEXT($A683,"ddd"))</f>
        <v/>
      </c>
      <c r="C683" s="19"/>
      <c r="D683" s="19"/>
      <c r="E683" s="18" t="str">
        <f aca="false">IF($C683="","",IFERROR(INDEX(Lists!$B$2:$B$40,MATCH($C683,Lists!$A$2:$A$40,0)),""))</f>
        <v/>
      </c>
      <c r="F683" s="20"/>
      <c r="G683" s="20"/>
      <c r="H683" s="20"/>
      <c r="I683" s="20"/>
      <c r="J683" s="20"/>
      <c r="K683" s="18" t="str">
        <f aca="false">IF(COUNT($F683:$J683)=0,"",SUM($F683:$J683))</f>
        <v/>
      </c>
      <c r="L683" s="18" t="str">
        <f aca="false">IF(COUNT($F683:$J683)=0,"",MAX($F683:$J683))</f>
        <v/>
      </c>
      <c r="M683" s="18" t="str">
        <f aca="false">IFERROR(IF(OR($C683="",COUNT($F683:$J683)&lt;3),"",IF(N(INDEX(Lists!$C$2:$C$40,MATCH($C683,Lists!$A$2:$A$40,0)))=0,"",IF(MIN($F683:$J683)&gt;=INDEX(Lists!$C$2:$C$40,MATCH($C683,Lists!$A$2:$A$40,0)),"LEVEL UP",""))),"")</f>
        <v/>
      </c>
      <c r="N683" s="20"/>
      <c r="O683" s="19"/>
    </row>
    <row r="684" customFormat="false" ht="15" hidden="false" customHeight="false" outlineLevel="0" collapsed="false">
      <c r="A684" s="17"/>
      <c r="B684" s="18" t="str">
        <f aca="false">IF($A684="","",TEXT($A684,"ddd"))</f>
        <v/>
      </c>
      <c r="C684" s="19"/>
      <c r="D684" s="19"/>
      <c r="E684" s="18" t="str">
        <f aca="false">IF($C684="","",IFERROR(INDEX(Lists!$B$2:$B$40,MATCH($C684,Lists!$A$2:$A$40,0)),""))</f>
        <v/>
      </c>
      <c r="F684" s="20"/>
      <c r="G684" s="20"/>
      <c r="H684" s="20"/>
      <c r="I684" s="20"/>
      <c r="J684" s="20"/>
      <c r="K684" s="18" t="str">
        <f aca="false">IF(COUNT($F684:$J684)=0,"",SUM($F684:$J684))</f>
        <v/>
      </c>
      <c r="L684" s="18" t="str">
        <f aca="false">IF(COUNT($F684:$J684)=0,"",MAX($F684:$J684))</f>
        <v/>
      </c>
      <c r="M684" s="18" t="str">
        <f aca="false">IFERROR(IF(OR($C684="",COUNT($F684:$J684)&lt;3),"",IF(N(INDEX(Lists!$C$2:$C$40,MATCH($C684,Lists!$A$2:$A$40,0)))=0,"",IF(MIN($F684:$J684)&gt;=INDEX(Lists!$C$2:$C$40,MATCH($C684,Lists!$A$2:$A$40,0)),"LEVEL UP",""))),"")</f>
        <v/>
      </c>
      <c r="N684" s="20"/>
      <c r="O684" s="19"/>
    </row>
    <row r="685" customFormat="false" ht="15" hidden="false" customHeight="false" outlineLevel="0" collapsed="false">
      <c r="A685" s="17"/>
      <c r="B685" s="18" t="str">
        <f aca="false">IF($A685="","",TEXT($A685,"ddd"))</f>
        <v/>
      </c>
      <c r="C685" s="19"/>
      <c r="D685" s="19"/>
      <c r="E685" s="18" t="str">
        <f aca="false">IF($C685="","",IFERROR(INDEX(Lists!$B$2:$B$40,MATCH($C685,Lists!$A$2:$A$40,0)),""))</f>
        <v/>
      </c>
      <c r="F685" s="20"/>
      <c r="G685" s="20"/>
      <c r="H685" s="20"/>
      <c r="I685" s="20"/>
      <c r="J685" s="20"/>
      <c r="K685" s="18" t="str">
        <f aca="false">IF(COUNT($F685:$J685)=0,"",SUM($F685:$J685))</f>
        <v/>
      </c>
      <c r="L685" s="18" t="str">
        <f aca="false">IF(COUNT($F685:$J685)=0,"",MAX($F685:$J685))</f>
        <v/>
      </c>
      <c r="M685" s="18" t="str">
        <f aca="false">IFERROR(IF(OR($C685="",COUNT($F685:$J685)&lt;3),"",IF(N(INDEX(Lists!$C$2:$C$40,MATCH($C685,Lists!$A$2:$A$40,0)))=0,"",IF(MIN($F685:$J685)&gt;=INDEX(Lists!$C$2:$C$40,MATCH($C685,Lists!$A$2:$A$40,0)),"LEVEL UP",""))),"")</f>
        <v/>
      </c>
      <c r="N685" s="20"/>
      <c r="O685" s="19"/>
    </row>
    <row r="686" customFormat="false" ht="15" hidden="false" customHeight="false" outlineLevel="0" collapsed="false">
      <c r="A686" s="17"/>
      <c r="B686" s="18" t="str">
        <f aca="false">IF($A686="","",TEXT($A686,"ddd"))</f>
        <v/>
      </c>
      <c r="C686" s="19"/>
      <c r="D686" s="19"/>
      <c r="E686" s="18" t="str">
        <f aca="false">IF($C686="","",IFERROR(INDEX(Lists!$B$2:$B$40,MATCH($C686,Lists!$A$2:$A$40,0)),""))</f>
        <v/>
      </c>
      <c r="F686" s="20"/>
      <c r="G686" s="20"/>
      <c r="H686" s="20"/>
      <c r="I686" s="20"/>
      <c r="J686" s="20"/>
      <c r="K686" s="18" t="str">
        <f aca="false">IF(COUNT($F686:$J686)=0,"",SUM($F686:$J686))</f>
        <v/>
      </c>
      <c r="L686" s="18" t="str">
        <f aca="false">IF(COUNT($F686:$J686)=0,"",MAX($F686:$J686))</f>
        <v/>
      </c>
      <c r="M686" s="18" t="str">
        <f aca="false">IFERROR(IF(OR($C686="",COUNT($F686:$J686)&lt;3),"",IF(N(INDEX(Lists!$C$2:$C$40,MATCH($C686,Lists!$A$2:$A$40,0)))=0,"",IF(MIN($F686:$J686)&gt;=INDEX(Lists!$C$2:$C$40,MATCH($C686,Lists!$A$2:$A$40,0)),"LEVEL UP",""))),"")</f>
        <v/>
      </c>
      <c r="N686" s="20"/>
      <c r="O686" s="19"/>
    </row>
    <row r="687" customFormat="false" ht="15" hidden="false" customHeight="false" outlineLevel="0" collapsed="false">
      <c r="A687" s="17"/>
      <c r="B687" s="18" t="str">
        <f aca="false">IF($A687="","",TEXT($A687,"ddd"))</f>
        <v/>
      </c>
      <c r="C687" s="19"/>
      <c r="D687" s="19"/>
      <c r="E687" s="18" t="str">
        <f aca="false">IF($C687="","",IFERROR(INDEX(Lists!$B$2:$B$40,MATCH($C687,Lists!$A$2:$A$40,0)),""))</f>
        <v/>
      </c>
      <c r="F687" s="20"/>
      <c r="G687" s="20"/>
      <c r="H687" s="20"/>
      <c r="I687" s="20"/>
      <c r="J687" s="20"/>
      <c r="K687" s="18" t="str">
        <f aca="false">IF(COUNT($F687:$J687)=0,"",SUM($F687:$J687))</f>
        <v/>
      </c>
      <c r="L687" s="18" t="str">
        <f aca="false">IF(COUNT($F687:$J687)=0,"",MAX($F687:$J687))</f>
        <v/>
      </c>
      <c r="M687" s="18" t="str">
        <f aca="false">IFERROR(IF(OR($C687="",COUNT($F687:$J687)&lt;3),"",IF(N(INDEX(Lists!$C$2:$C$40,MATCH($C687,Lists!$A$2:$A$40,0)))=0,"",IF(MIN($F687:$J687)&gt;=INDEX(Lists!$C$2:$C$40,MATCH($C687,Lists!$A$2:$A$40,0)),"LEVEL UP",""))),"")</f>
        <v/>
      </c>
      <c r="N687" s="20"/>
      <c r="O687" s="19"/>
    </row>
    <row r="688" customFormat="false" ht="15" hidden="false" customHeight="false" outlineLevel="0" collapsed="false">
      <c r="A688" s="17"/>
      <c r="B688" s="18" t="str">
        <f aca="false">IF($A688="","",TEXT($A688,"ddd"))</f>
        <v/>
      </c>
      <c r="C688" s="19"/>
      <c r="D688" s="19"/>
      <c r="E688" s="18" t="str">
        <f aca="false">IF($C688="","",IFERROR(INDEX(Lists!$B$2:$B$40,MATCH($C688,Lists!$A$2:$A$40,0)),""))</f>
        <v/>
      </c>
      <c r="F688" s="20"/>
      <c r="G688" s="20"/>
      <c r="H688" s="20"/>
      <c r="I688" s="20"/>
      <c r="J688" s="20"/>
      <c r="K688" s="18" t="str">
        <f aca="false">IF(COUNT($F688:$J688)=0,"",SUM($F688:$J688))</f>
        <v/>
      </c>
      <c r="L688" s="18" t="str">
        <f aca="false">IF(COUNT($F688:$J688)=0,"",MAX($F688:$J688))</f>
        <v/>
      </c>
      <c r="M688" s="18" t="str">
        <f aca="false">IFERROR(IF(OR($C688="",COUNT($F688:$J688)&lt;3),"",IF(N(INDEX(Lists!$C$2:$C$40,MATCH($C688,Lists!$A$2:$A$40,0)))=0,"",IF(MIN($F688:$J688)&gt;=INDEX(Lists!$C$2:$C$40,MATCH($C688,Lists!$A$2:$A$40,0)),"LEVEL UP",""))),"")</f>
        <v/>
      </c>
      <c r="N688" s="20"/>
      <c r="O688" s="19"/>
    </row>
    <row r="689" customFormat="false" ht="15" hidden="false" customHeight="false" outlineLevel="0" collapsed="false">
      <c r="A689" s="17"/>
      <c r="B689" s="18" t="str">
        <f aca="false">IF($A689="","",TEXT($A689,"ddd"))</f>
        <v/>
      </c>
      <c r="C689" s="19"/>
      <c r="D689" s="19"/>
      <c r="E689" s="18" t="str">
        <f aca="false">IF($C689="","",IFERROR(INDEX(Lists!$B$2:$B$40,MATCH($C689,Lists!$A$2:$A$40,0)),""))</f>
        <v/>
      </c>
      <c r="F689" s="20"/>
      <c r="G689" s="20"/>
      <c r="H689" s="20"/>
      <c r="I689" s="20"/>
      <c r="J689" s="20"/>
      <c r="K689" s="18" t="str">
        <f aca="false">IF(COUNT($F689:$J689)=0,"",SUM($F689:$J689))</f>
        <v/>
      </c>
      <c r="L689" s="18" t="str">
        <f aca="false">IF(COUNT($F689:$J689)=0,"",MAX($F689:$J689))</f>
        <v/>
      </c>
      <c r="M689" s="18" t="str">
        <f aca="false">IFERROR(IF(OR($C689="",COUNT($F689:$J689)&lt;3),"",IF(N(INDEX(Lists!$C$2:$C$40,MATCH($C689,Lists!$A$2:$A$40,0)))=0,"",IF(MIN($F689:$J689)&gt;=INDEX(Lists!$C$2:$C$40,MATCH($C689,Lists!$A$2:$A$40,0)),"LEVEL UP",""))),"")</f>
        <v/>
      </c>
      <c r="N689" s="20"/>
      <c r="O689" s="19"/>
    </row>
    <row r="690" customFormat="false" ht="15" hidden="false" customHeight="false" outlineLevel="0" collapsed="false">
      <c r="A690" s="17"/>
      <c r="B690" s="18" t="str">
        <f aca="false">IF($A690="","",TEXT($A690,"ddd"))</f>
        <v/>
      </c>
      <c r="C690" s="19"/>
      <c r="D690" s="19"/>
      <c r="E690" s="18" t="str">
        <f aca="false">IF($C690="","",IFERROR(INDEX(Lists!$B$2:$B$40,MATCH($C690,Lists!$A$2:$A$40,0)),""))</f>
        <v/>
      </c>
      <c r="F690" s="20"/>
      <c r="G690" s="20"/>
      <c r="H690" s="20"/>
      <c r="I690" s="20"/>
      <c r="J690" s="20"/>
      <c r="K690" s="18" t="str">
        <f aca="false">IF(COUNT($F690:$J690)=0,"",SUM($F690:$J690))</f>
        <v/>
      </c>
      <c r="L690" s="18" t="str">
        <f aca="false">IF(COUNT($F690:$J690)=0,"",MAX($F690:$J690))</f>
        <v/>
      </c>
      <c r="M690" s="18" t="str">
        <f aca="false">IFERROR(IF(OR($C690="",COUNT($F690:$J690)&lt;3),"",IF(N(INDEX(Lists!$C$2:$C$40,MATCH($C690,Lists!$A$2:$A$40,0)))=0,"",IF(MIN($F690:$J690)&gt;=INDEX(Lists!$C$2:$C$40,MATCH($C690,Lists!$A$2:$A$40,0)),"LEVEL UP",""))),"")</f>
        <v/>
      </c>
      <c r="N690" s="20"/>
      <c r="O690" s="19"/>
    </row>
    <row r="691" customFormat="false" ht="15" hidden="false" customHeight="false" outlineLevel="0" collapsed="false">
      <c r="A691" s="17"/>
      <c r="B691" s="18" t="str">
        <f aca="false">IF($A691="","",TEXT($A691,"ddd"))</f>
        <v/>
      </c>
      <c r="C691" s="19"/>
      <c r="D691" s="19"/>
      <c r="E691" s="18" t="str">
        <f aca="false">IF($C691="","",IFERROR(INDEX(Lists!$B$2:$B$40,MATCH($C691,Lists!$A$2:$A$40,0)),""))</f>
        <v/>
      </c>
      <c r="F691" s="20"/>
      <c r="G691" s="20"/>
      <c r="H691" s="20"/>
      <c r="I691" s="20"/>
      <c r="J691" s="20"/>
      <c r="K691" s="18" t="str">
        <f aca="false">IF(COUNT($F691:$J691)=0,"",SUM($F691:$J691))</f>
        <v/>
      </c>
      <c r="L691" s="18" t="str">
        <f aca="false">IF(COUNT($F691:$J691)=0,"",MAX($F691:$J691))</f>
        <v/>
      </c>
      <c r="M691" s="18" t="str">
        <f aca="false">IFERROR(IF(OR($C691="",COUNT($F691:$J691)&lt;3),"",IF(N(INDEX(Lists!$C$2:$C$40,MATCH($C691,Lists!$A$2:$A$40,0)))=0,"",IF(MIN($F691:$J691)&gt;=INDEX(Lists!$C$2:$C$40,MATCH($C691,Lists!$A$2:$A$40,0)),"LEVEL UP",""))),"")</f>
        <v/>
      </c>
      <c r="N691" s="20"/>
      <c r="O691" s="19"/>
    </row>
    <row r="692" customFormat="false" ht="15" hidden="false" customHeight="false" outlineLevel="0" collapsed="false">
      <c r="A692" s="17"/>
      <c r="B692" s="18" t="str">
        <f aca="false">IF($A692="","",TEXT($A692,"ddd"))</f>
        <v/>
      </c>
      <c r="C692" s="19"/>
      <c r="D692" s="19"/>
      <c r="E692" s="18" t="str">
        <f aca="false">IF($C692="","",IFERROR(INDEX(Lists!$B$2:$B$40,MATCH($C692,Lists!$A$2:$A$40,0)),""))</f>
        <v/>
      </c>
      <c r="F692" s="20"/>
      <c r="G692" s="20"/>
      <c r="H692" s="20"/>
      <c r="I692" s="20"/>
      <c r="J692" s="20"/>
      <c r="K692" s="18" t="str">
        <f aca="false">IF(COUNT($F692:$J692)=0,"",SUM($F692:$J692))</f>
        <v/>
      </c>
      <c r="L692" s="18" t="str">
        <f aca="false">IF(COUNT($F692:$J692)=0,"",MAX($F692:$J692))</f>
        <v/>
      </c>
      <c r="M692" s="18" t="str">
        <f aca="false">IFERROR(IF(OR($C692="",COUNT($F692:$J692)&lt;3),"",IF(N(INDEX(Lists!$C$2:$C$40,MATCH($C692,Lists!$A$2:$A$40,0)))=0,"",IF(MIN($F692:$J692)&gt;=INDEX(Lists!$C$2:$C$40,MATCH($C692,Lists!$A$2:$A$40,0)),"LEVEL UP",""))),"")</f>
        <v/>
      </c>
      <c r="N692" s="20"/>
      <c r="O692" s="19"/>
    </row>
    <row r="693" customFormat="false" ht="15" hidden="false" customHeight="false" outlineLevel="0" collapsed="false">
      <c r="A693" s="17"/>
      <c r="B693" s="18" t="str">
        <f aca="false">IF($A693="","",TEXT($A693,"ddd"))</f>
        <v/>
      </c>
      <c r="C693" s="19"/>
      <c r="D693" s="19"/>
      <c r="E693" s="18" t="str">
        <f aca="false">IF($C693="","",IFERROR(INDEX(Lists!$B$2:$B$40,MATCH($C693,Lists!$A$2:$A$40,0)),""))</f>
        <v/>
      </c>
      <c r="F693" s="20"/>
      <c r="G693" s="20"/>
      <c r="H693" s="20"/>
      <c r="I693" s="20"/>
      <c r="J693" s="20"/>
      <c r="K693" s="18" t="str">
        <f aca="false">IF(COUNT($F693:$J693)=0,"",SUM($F693:$J693))</f>
        <v/>
      </c>
      <c r="L693" s="18" t="str">
        <f aca="false">IF(COUNT($F693:$J693)=0,"",MAX($F693:$J693))</f>
        <v/>
      </c>
      <c r="M693" s="18" t="str">
        <f aca="false">IFERROR(IF(OR($C693="",COUNT($F693:$J693)&lt;3),"",IF(N(INDEX(Lists!$C$2:$C$40,MATCH($C693,Lists!$A$2:$A$40,0)))=0,"",IF(MIN($F693:$J693)&gt;=INDEX(Lists!$C$2:$C$40,MATCH($C693,Lists!$A$2:$A$40,0)),"LEVEL UP",""))),"")</f>
        <v/>
      </c>
      <c r="N693" s="20"/>
      <c r="O693" s="19"/>
    </row>
    <row r="694" customFormat="false" ht="15" hidden="false" customHeight="false" outlineLevel="0" collapsed="false">
      <c r="A694" s="17"/>
      <c r="B694" s="18" t="str">
        <f aca="false">IF($A694="","",TEXT($A694,"ddd"))</f>
        <v/>
      </c>
      <c r="C694" s="19"/>
      <c r="D694" s="19"/>
      <c r="E694" s="18" t="str">
        <f aca="false">IF($C694="","",IFERROR(INDEX(Lists!$B$2:$B$40,MATCH($C694,Lists!$A$2:$A$40,0)),""))</f>
        <v/>
      </c>
      <c r="F694" s="20"/>
      <c r="G694" s="20"/>
      <c r="H694" s="20"/>
      <c r="I694" s="20"/>
      <c r="J694" s="20"/>
      <c r="K694" s="18" t="str">
        <f aca="false">IF(COUNT($F694:$J694)=0,"",SUM($F694:$J694))</f>
        <v/>
      </c>
      <c r="L694" s="18" t="str">
        <f aca="false">IF(COUNT($F694:$J694)=0,"",MAX($F694:$J694))</f>
        <v/>
      </c>
      <c r="M694" s="18" t="str">
        <f aca="false">IFERROR(IF(OR($C694="",COUNT($F694:$J694)&lt;3),"",IF(N(INDEX(Lists!$C$2:$C$40,MATCH($C694,Lists!$A$2:$A$40,0)))=0,"",IF(MIN($F694:$J694)&gt;=INDEX(Lists!$C$2:$C$40,MATCH($C694,Lists!$A$2:$A$40,0)),"LEVEL UP",""))),"")</f>
        <v/>
      </c>
      <c r="N694" s="20"/>
      <c r="O694" s="19"/>
    </row>
    <row r="695" customFormat="false" ht="15" hidden="false" customHeight="false" outlineLevel="0" collapsed="false">
      <c r="A695" s="17"/>
      <c r="B695" s="18" t="str">
        <f aca="false">IF($A695="","",TEXT($A695,"ddd"))</f>
        <v/>
      </c>
      <c r="C695" s="19"/>
      <c r="D695" s="19"/>
      <c r="E695" s="18" t="str">
        <f aca="false">IF($C695="","",IFERROR(INDEX(Lists!$B$2:$B$40,MATCH($C695,Lists!$A$2:$A$40,0)),""))</f>
        <v/>
      </c>
      <c r="F695" s="20"/>
      <c r="G695" s="20"/>
      <c r="H695" s="20"/>
      <c r="I695" s="20"/>
      <c r="J695" s="20"/>
      <c r="K695" s="18" t="str">
        <f aca="false">IF(COUNT($F695:$J695)=0,"",SUM($F695:$J695))</f>
        <v/>
      </c>
      <c r="L695" s="18" t="str">
        <f aca="false">IF(COUNT($F695:$J695)=0,"",MAX($F695:$J695))</f>
        <v/>
      </c>
      <c r="M695" s="18" t="str">
        <f aca="false">IFERROR(IF(OR($C695="",COUNT($F695:$J695)&lt;3),"",IF(N(INDEX(Lists!$C$2:$C$40,MATCH($C695,Lists!$A$2:$A$40,0)))=0,"",IF(MIN($F695:$J695)&gt;=INDEX(Lists!$C$2:$C$40,MATCH($C695,Lists!$A$2:$A$40,0)),"LEVEL UP",""))),"")</f>
        <v/>
      </c>
      <c r="N695" s="20"/>
      <c r="O695" s="19"/>
    </row>
    <row r="696" customFormat="false" ht="15" hidden="false" customHeight="false" outlineLevel="0" collapsed="false">
      <c r="A696" s="17"/>
      <c r="B696" s="18" t="str">
        <f aca="false">IF($A696="","",TEXT($A696,"ddd"))</f>
        <v/>
      </c>
      <c r="C696" s="19"/>
      <c r="D696" s="19"/>
      <c r="E696" s="18" t="str">
        <f aca="false">IF($C696="","",IFERROR(INDEX(Lists!$B$2:$B$40,MATCH($C696,Lists!$A$2:$A$40,0)),""))</f>
        <v/>
      </c>
      <c r="F696" s="20"/>
      <c r="G696" s="20"/>
      <c r="H696" s="20"/>
      <c r="I696" s="20"/>
      <c r="J696" s="20"/>
      <c r="K696" s="18" t="str">
        <f aca="false">IF(COUNT($F696:$J696)=0,"",SUM($F696:$J696))</f>
        <v/>
      </c>
      <c r="L696" s="18" t="str">
        <f aca="false">IF(COUNT($F696:$J696)=0,"",MAX($F696:$J696))</f>
        <v/>
      </c>
      <c r="M696" s="18" t="str">
        <f aca="false">IFERROR(IF(OR($C696="",COUNT($F696:$J696)&lt;3),"",IF(N(INDEX(Lists!$C$2:$C$40,MATCH($C696,Lists!$A$2:$A$40,0)))=0,"",IF(MIN($F696:$J696)&gt;=INDEX(Lists!$C$2:$C$40,MATCH($C696,Lists!$A$2:$A$40,0)),"LEVEL UP",""))),"")</f>
        <v/>
      </c>
      <c r="N696" s="20"/>
      <c r="O696" s="19"/>
    </row>
    <row r="697" customFormat="false" ht="15" hidden="false" customHeight="false" outlineLevel="0" collapsed="false">
      <c r="A697" s="17"/>
      <c r="B697" s="18" t="str">
        <f aca="false">IF($A697="","",TEXT($A697,"ddd"))</f>
        <v/>
      </c>
      <c r="C697" s="19"/>
      <c r="D697" s="19"/>
      <c r="E697" s="18" t="str">
        <f aca="false">IF($C697="","",IFERROR(INDEX(Lists!$B$2:$B$40,MATCH($C697,Lists!$A$2:$A$40,0)),""))</f>
        <v/>
      </c>
      <c r="F697" s="20"/>
      <c r="G697" s="20"/>
      <c r="H697" s="20"/>
      <c r="I697" s="20"/>
      <c r="J697" s="20"/>
      <c r="K697" s="18" t="str">
        <f aca="false">IF(COUNT($F697:$J697)=0,"",SUM($F697:$J697))</f>
        <v/>
      </c>
      <c r="L697" s="18" t="str">
        <f aca="false">IF(COUNT($F697:$J697)=0,"",MAX($F697:$J697))</f>
        <v/>
      </c>
      <c r="M697" s="18" t="str">
        <f aca="false">IFERROR(IF(OR($C697="",COUNT($F697:$J697)&lt;3),"",IF(N(INDEX(Lists!$C$2:$C$40,MATCH($C697,Lists!$A$2:$A$40,0)))=0,"",IF(MIN($F697:$J697)&gt;=INDEX(Lists!$C$2:$C$40,MATCH($C697,Lists!$A$2:$A$40,0)),"LEVEL UP",""))),"")</f>
        <v/>
      </c>
      <c r="N697" s="20"/>
      <c r="O697" s="19"/>
    </row>
    <row r="698" customFormat="false" ht="15" hidden="false" customHeight="false" outlineLevel="0" collapsed="false">
      <c r="A698" s="17"/>
      <c r="B698" s="18" t="str">
        <f aca="false">IF($A698="","",TEXT($A698,"ddd"))</f>
        <v/>
      </c>
      <c r="C698" s="19"/>
      <c r="D698" s="19"/>
      <c r="E698" s="18" t="str">
        <f aca="false">IF($C698="","",IFERROR(INDEX(Lists!$B$2:$B$40,MATCH($C698,Lists!$A$2:$A$40,0)),""))</f>
        <v/>
      </c>
      <c r="F698" s="20"/>
      <c r="G698" s="20"/>
      <c r="H698" s="20"/>
      <c r="I698" s="20"/>
      <c r="J698" s="20"/>
      <c r="K698" s="18" t="str">
        <f aca="false">IF(COUNT($F698:$J698)=0,"",SUM($F698:$J698))</f>
        <v/>
      </c>
      <c r="L698" s="18" t="str">
        <f aca="false">IF(COUNT($F698:$J698)=0,"",MAX($F698:$J698))</f>
        <v/>
      </c>
      <c r="M698" s="18" t="str">
        <f aca="false">IFERROR(IF(OR($C698="",COUNT($F698:$J698)&lt;3),"",IF(N(INDEX(Lists!$C$2:$C$40,MATCH($C698,Lists!$A$2:$A$40,0)))=0,"",IF(MIN($F698:$J698)&gt;=INDEX(Lists!$C$2:$C$40,MATCH($C698,Lists!$A$2:$A$40,0)),"LEVEL UP",""))),"")</f>
        <v/>
      </c>
      <c r="N698" s="20"/>
      <c r="O698" s="19"/>
    </row>
    <row r="699" customFormat="false" ht="15" hidden="false" customHeight="false" outlineLevel="0" collapsed="false">
      <c r="A699" s="17"/>
      <c r="B699" s="18" t="str">
        <f aca="false">IF($A699="","",TEXT($A699,"ddd"))</f>
        <v/>
      </c>
      <c r="C699" s="19"/>
      <c r="D699" s="19"/>
      <c r="E699" s="18" t="str">
        <f aca="false">IF($C699="","",IFERROR(INDEX(Lists!$B$2:$B$40,MATCH($C699,Lists!$A$2:$A$40,0)),""))</f>
        <v/>
      </c>
      <c r="F699" s="20"/>
      <c r="G699" s="20"/>
      <c r="H699" s="20"/>
      <c r="I699" s="20"/>
      <c r="J699" s="20"/>
      <c r="K699" s="18" t="str">
        <f aca="false">IF(COUNT($F699:$J699)=0,"",SUM($F699:$J699))</f>
        <v/>
      </c>
      <c r="L699" s="18" t="str">
        <f aca="false">IF(COUNT($F699:$J699)=0,"",MAX($F699:$J699))</f>
        <v/>
      </c>
      <c r="M699" s="18" t="str">
        <f aca="false">IFERROR(IF(OR($C699="",COUNT($F699:$J699)&lt;3),"",IF(N(INDEX(Lists!$C$2:$C$40,MATCH($C699,Lists!$A$2:$A$40,0)))=0,"",IF(MIN($F699:$J699)&gt;=INDEX(Lists!$C$2:$C$40,MATCH($C699,Lists!$A$2:$A$40,0)),"LEVEL UP",""))),"")</f>
        <v/>
      </c>
      <c r="N699" s="20"/>
      <c r="O699" s="19"/>
    </row>
    <row r="700" customFormat="false" ht="15" hidden="false" customHeight="false" outlineLevel="0" collapsed="false">
      <c r="A700" s="17"/>
      <c r="B700" s="18" t="str">
        <f aca="false">IF($A700="","",TEXT($A700,"ddd"))</f>
        <v/>
      </c>
      <c r="C700" s="19"/>
      <c r="D700" s="19"/>
      <c r="E700" s="18" t="str">
        <f aca="false">IF($C700="","",IFERROR(INDEX(Lists!$B$2:$B$40,MATCH($C700,Lists!$A$2:$A$40,0)),""))</f>
        <v/>
      </c>
      <c r="F700" s="20"/>
      <c r="G700" s="20"/>
      <c r="H700" s="20"/>
      <c r="I700" s="20"/>
      <c r="J700" s="20"/>
      <c r="K700" s="18" t="str">
        <f aca="false">IF(COUNT($F700:$J700)=0,"",SUM($F700:$J700))</f>
        <v/>
      </c>
      <c r="L700" s="18" t="str">
        <f aca="false">IF(COUNT($F700:$J700)=0,"",MAX($F700:$J700))</f>
        <v/>
      </c>
      <c r="M700" s="18" t="str">
        <f aca="false">IFERROR(IF(OR($C700="",COUNT($F700:$J700)&lt;3),"",IF(N(INDEX(Lists!$C$2:$C$40,MATCH($C700,Lists!$A$2:$A$40,0)))=0,"",IF(MIN($F700:$J700)&gt;=INDEX(Lists!$C$2:$C$40,MATCH($C700,Lists!$A$2:$A$40,0)),"LEVEL UP",""))),"")</f>
        <v/>
      </c>
      <c r="N700" s="20"/>
      <c r="O700" s="19"/>
    </row>
    <row r="701" customFormat="false" ht="15" hidden="false" customHeight="false" outlineLevel="0" collapsed="false">
      <c r="A701" s="17"/>
      <c r="B701" s="18" t="str">
        <f aca="false">IF($A701="","",TEXT($A701,"ddd"))</f>
        <v/>
      </c>
      <c r="C701" s="19"/>
      <c r="D701" s="19"/>
      <c r="E701" s="18" t="str">
        <f aca="false">IF($C701="","",IFERROR(INDEX(Lists!$B$2:$B$40,MATCH($C701,Lists!$A$2:$A$40,0)),""))</f>
        <v/>
      </c>
      <c r="F701" s="20"/>
      <c r="G701" s="20"/>
      <c r="H701" s="20"/>
      <c r="I701" s="20"/>
      <c r="J701" s="20"/>
      <c r="K701" s="18" t="str">
        <f aca="false">IF(COUNT($F701:$J701)=0,"",SUM($F701:$J701))</f>
        <v/>
      </c>
      <c r="L701" s="18" t="str">
        <f aca="false">IF(COUNT($F701:$J701)=0,"",MAX($F701:$J701))</f>
        <v/>
      </c>
      <c r="M701" s="18" t="str">
        <f aca="false">IFERROR(IF(OR($C701="",COUNT($F701:$J701)&lt;3),"",IF(N(INDEX(Lists!$C$2:$C$40,MATCH($C701,Lists!$A$2:$A$40,0)))=0,"",IF(MIN($F701:$J701)&gt;=INDEX(Lists!$C$2:$C$40,MATCH($C701,Lists!$A$2:$A$40,0)),"LEVEL UP",""))),"")</f>
        <v/>
      </c>
      <c r="N701" s="20"/>
      <c r="O701" s="19"/>
    </row>
    <row r="702" customFormat="false" ht="15" hidden="false" customHeight="false" outlineLevel="0" collapsed="false">
      <c r="A702" s="17"/>
      <c r="B702" s="18" t="str">
        <f aca="false">IF($A702="","",TEXT($A702,"ddd"))</f>
        <v/>
      </c>
      <c r="C702" s="19"/>
      <c r="D702" s="19"/>
      <c r="E702" s="18" t="str">
        <f aca="false">IF($C702="","",IFERROR(INDEX(Lists!$B$2:$B$40,MATCH($C702,Lists!$A$2:$A$40,0)),""))</f>
        <v/>
      </c>
      <c r="F702" s="20"/>
      <c r="G702" s="20"/>
      <c r="H702" s="20"/>
      <c r="I702" s="20"/>
      <c r="J702" s="20"/>
      <c r="K702" s="18" t="str">
        <f aca="false">IF(COUNT($F702:$J702)=0,"",SUM($F702:$J702))</f>
        <v/>
      </c>
      <c r="L702" s="18" t="str">
        <f aca="false">IF(COUNT($F702:$J702)=0,"",MAX($F702:$J702))</f>
        <v/>
      </c>
      <c r="M702" s="18" t="str">
        <f aca="false">IFERROR(IF(OR($C702="",COUNT($F702:$J702)&lt;3),"",IF(N(INDEX(Lists!$C$2:$C$40,MATCH($C702,Lists!$A$2:$A$40,0)))=0,"",IF(MIN($F702:$J702)&gt;=INDEX(Lists!$C$2:$C$40,MATCH($C702,Lists!$A$2:$A$40,0)),"LEVEL UP",""))),"")</f>
        <v/>
      </c>
      <c r="N702" s="20"/>
      <c r="O702" s="19"/>
    </row>
    <row r="703" customFormat="false" ht="15" hidden="false" customHeight="false" outlineLevel="0" collapsed="false">
      <c r="A703" s="17"/>
      <c r="B703" s="18" t="str">
        <f aca="false">IF($A703="","",TEXT($A703,"ddd"))</f>
        <v/>
      </c>
      <c r="C703" s="19"/>
      <c r="D703" s="19"/>
      <c r="E703" s="18" t="str">
        <f aca="false">IF($C703="","",IFERROR(INDEX(Lists!$B$2:$B$40,MATCH($C703,Lists!$A$2:$A$40,0)),""))</f>
        <v/>
      </c>
      <c r="F703" s="20"/>
      <c r="G703" s="20"/>
      <c r="H703" s="20"/>
      <c r="I703" s="20"/>
      <c r="J703" s="20"/>
      <c r="K703" s="18" t="str">
        <f aca="false">IF(COUNT($F703:$J703)=0,"",SUM($F703:$J703))</f>
        <v/>
      </c>
      <c r="L703" s="18" t="str">
        <f aca="false">IF(COUNT($F703:$J703)=0,"",MAX($F703:$J703))</f>
        <v/>
      </c>
      <c r="M703" s="18" t="str">
        <f aca="false">IFERROR(IF(OR($C703="",COUNT($F703:$J703)&lt;3),"",IF(N(INDEX(Lists!$C$2:$C$40,MATCH($C703,Lists!$A$2:$A$40,0)))=0,"",IF(MIN($F703:$J703)&gt;=INDEX(Lists!$C$2:$C$40,MATCH($C703,Lists!$A$2:$A$40,0)),"LEVEL UP",""))),"")</f>
        <v/>
      </c>
      <c r="N703" s="20"/>
      <c r="O703" s="19"/>
    </row>
    <row r="704" customFormat="false" ht="15" hidden="false" customHeight="false" outlineLevel="0" collapsed="false">
      <c r="A704" s="17"/>
      <c r="B704" s="18" t="str">
        <f aca="false">IF($A704="","",TEXT($A704,"ddd"))</f>
        <v/>
      </c>
      <c r="C704" s="19"/>
      <c r="D704" s="19"/>
      <c r="E704" s="18" t="str">
        <f aca="false">IF($C704="","",IFERROR(INDEX(Lists!$B$2:$B$40,MATCH($C704,Lists!$A$2:$A$40,0)),""))</f>
        <v/>
      </c>
      <c r="F704" s="20"/>
      <c r="G704" s="20"/>
      <c r="H704" s="20"/>
      <c r="I704" s="20"/>
      <c r="J704" s="20"/>
      <c r="K704" s="18" t="str">
        <f aca="false">IF(COUNT($F704:$J704)=0,"",SUM($F704:$J704))</f>
        <v/>
      </c>
      <c r="L704" s="18" t="str">
        <f aca="false">IF(COUNT($F704:$J704)=0,"",MAX($F704:$J704))</f>
        <v/>
      </c>
      <c r="M704" s="18" t="str">
        <f aca="false">IFERROR(IF(OR($C704="",COUNT($F704:$J704)&lt;3),"",IF(N(INDEX(Lists!$C$2:$C$40,MATCH($C704,Lists!$A$2:$A$40,0)))=0,"",IF(MIN($F704:$J704)&gt;=INDEX(Lists!$C$2:$C$40,MATCH($C704,Lists!$A$2:$A$40,0)),"LEVEL UP",""))),"")</f>
        <v/>
      </c>
      <c r="N704" s="20"/>
      <c r="O704" s="19"/>
    </row>
    <row r="705" customFormat="false" ht="15" hidden="false" customHeight="false" outlineLevel="0" collapsed="false">
      <c r="A705" s="17"/>
      <c r="B705" s="18" t="str">
        <f aca="false">IF($A705="","",TEXT($A705,"ddd"))</f>
        <v/>
      </c>
      <c r="C705" s="19"/>
      <c r="D705" s="19"/>
      <c r="E705" s="18" t="str">
        <f aca="false">IF($C705="","",IFERROR(INDEX(Lists!$B$2:$B$40,MATCH($C705,Lists!$A$2:$A$40,0)),""))</f>
        <v/>
      </c>
      <c r="F705" s="20"/>
      <c r="G705" s="20"/>
      <c r="H705" s="20"/>
      <c r="I705" s="20"/>
      <c r="J705" s="20"/>
      <c r="K705" s="18" t="str">
        <f aca="false">IF(COUNT($F705:$J705)=0,"",SUM($F705:$J705))</f>
        <v/>
      </c>
      <c r="L705" s="18" t="str">
        <f aca="false">IF(COUNT($F705:$J705)=0,"",MAX($F705:$J705))</f>
        <v/>
      </c>
      <c r="M705" s="18" t="str">
        <f aca="false">IFERROR(IF(OR($C705="",COUNT($F705:$J705)&lt;3),"",IF(N(INDEX(Lists!$C$2:$C$40,MATCH($C705,Lists!$A$2:$A$40,0)))=0,"",IF(MIN($F705:$J705)&gt;=INDEX(Lists!$C$2:$C$40,MATCH($C705,Lists!$A$2:$A$40,0)),"LEVEL UP",""))),"")</f>
        <v/>
      </c>
      <c r="N705" s="20"/>
      <c r="O705" s="19"/>
    </row>
    <row r="706" customFormat="false" ht="15" hidden="false" customHeight="false" outlineLevel="0" collapsed="false">
      <c r="A706" s="17"/>
      <c r="B706" s="18" t="str">
        <f aca="false">IF($A706="","",TEXT($A706,"ddd"))</f>
        <v/>
      </c>
      <c r="C706" s="19"/>
      <c r="D706" s="19"/>
      <c r="E706" s="18" t="str">
        <f aca="false">IF($C706="","",IFERROR(INDEX(Lists!$B$2:$B$40,MATCH($C706,Lists!$A$2:$A$40,0)),""))</f>
        <v/>
      </c>
      <c r="F706" s="20"/>
      <c r="G706" s="20"/>
      <c r="H706" s="20"/>
      <c r="I706" s="20"/>
      <c r="J706" s="20"/>
      <c r="K706" s="18" t="str">
        <f aca="false">IF(COUNT($F706:$J706)=0,"",SUM($F706:$J706))</f>
        <v/>
      </c>
      <c r="L706" s="18" t="str">
        <f aca="false">IF(COUNT($F706:$J706)=0,"",MAX($F706:$J706))</f>
        <v/>
      </c>
      <c r="M706" s="18" t="str">
        <f aca="false">IFERROR(IF(OR($C706="",COUNT($F706:$J706)&lt;3),"",IF(N(INDEX(Lists!$C$2:$C$40,MATCH($C706,Lists!$A$2:$A$40,0)))=0,"",IF(MIN($F706:$J706)&gt;=INDEX(Lists!$C$2:$C$40,MATCH($C706,Lists!$A$2:$A$40,0)),"LEVEL UP",""))),"")</f>
        <v/>
      </c>
      <c r="N706" s="20"/>
      <c r="O706" s="19"/>
    </row>
    <row r="707" customFormat="false" ht="15" hidden="false" customHeight="false" outlineLevel="0" collapsed="false">
      <c r="A707" s="17"/>
      <c r="B707" s="18" t="str">
        <f aca="false">IF($A707="","",TEXT($A707,"ddd"))</f>
        <v/>
      </c>
      <c r="C707" s="19"/>
      <c r="D707" s="19"/>
      <c r="E707" s="18" t="str">
        <f aca="false">IF($C707="","",IFERROR(INDEX(Lists!$B$2:$B$40,MATCH($C707,Lists!$A$2:$A$40,0)),""))</f>
        <v/>
      </c>
      <c r="F707" s="20"/>
      <c r="G707" s="20"/>
      <c r="H707" s="20"/>
      <c r="I707" s="20"/>
      <c r="J707" s="20"/>
      <c r="K707" s="18" t="str">
        <f aca="false">IF(COUNT($F707:$J707)=0,"",SUM($F707:$J707))</f>
        <v/>
      </c>
      <c r="L707" s="18" t="str">
        <f aca="false">IF(COUNT($F707:$J707)=0,"",MAX($F707:$J707))</f>
        <v/>
      </c>
      <c r="M707" s="18" t="str">
        <f aca="false">IFERROR(IF(OR($C707="",COUNT($F707:$J707)&lt;3),"",IF(N(INDEX(Lists!$C$2:$C$40,MATCH($C707,Lists!$A$2:$A$40,0)))=0,"",IF(MIN($F707:$J707)&gt;=INDEX(Lists!$C$2:$C$40,MATCH($C707,Lists!$A$2:$A$40,0)),"LEVEL UP",""))),"")</f>
        <v/>
      </c>
      <c r="N707" s="20"/>
      <c r="O707" s="19"/>
    </row>
    <row r="708" customFormat="false" ht="15" hidden="false" customHeight="false" outlineLevel="0" collapsed="false">
      <c r="A708" s="17"/>
      <c r="B708" s="18" t="str">
        <f aca="false">IF($A708="","",TEXT($A708,"ddd"))</f>
        <v/>
      </c>
      <c r="C708" s="19"/>
      <c r="D708" s="19"/>
      <c r="E708" s="18" t="str">
        <f aca="false">IF($C708="","",IFERROR(INDEX(Lists!$B$2:$B$40,MATCH($C708,Lists!$A$2:$A$40,0)),""))</f>
        <v/>
      </c>
      <c r="F708" s="20"/>
      <c r="G708" s="20"/>
      <c r="H708" s="20"/>
      <c r="I708" s="20"/>
      <c r="J708" s="20"/>
      <c r="K708" s="18" t="str">
        <f aca="false">IF(COUNT($F708:$J708)=0,"",SUM($F708:$J708))</f>
        <v/>
      </c>
      <c r="L708" s="18" t="str">
        <f aca="false">IF(COUNT($F708:$J708)=0,"",MAX($F708:$J708))</f>
        <v/>
      </c>
      <c r="M708" s="18" t="str">
        <f aca="false">IFERROR(IF(OR($C708="",COUNT($F708:$J708)&lt;3),"",IF(N(INDEX(Lists!$C$2:$C$40,MATCH($C708,Lists!$A$2:$A$40,0)))=0,"",IF(MIN($F708:$J708)&gt;=INDEX(Lists!$C$2:$C$40,MATCH($C708,Lists!$A$2:$A$40,0)),"LEVEL UP",""))),"")</f>
        <v/>
      </c>
      <c r="N708" s="20"/>
      <c r="O708" s="19"/>
    </row>
    <row r="709" customFormat="false" ht="15" hidden="false" customHeight="false" outlineLevel="0" collapsed="false">
      <c r="A709" s="17"/>
      <c r="B709" s="18" t="str">
        <f aca="false">IF($A709="","",TEXT($A709,"ddd"))</f>
        <v/>
      </c>
      <c r="C709" s="19"/>
      <c r="D709" s="19"/>
      <c r="E709" s="18" t="str">
        <f aca="false">IF($C709="","",IFERROR(INDEX(Lists!$B$2:$B$40,MATCH($C709,Lists!$A$2:$A$40,0)),""))</f>
        <v/>
      </c>
      <c r="F709" s="20"/>
      <c r="G709" s="20"/>
      <c r="H709" s="20"/>
      <c r="I709" s="20"/>
      <c r="J709" s="20"/>
      <c r="K709" s="18" t="str">
        <f aca="false">IF(COUNT($F709:$J709)=0,"",SUM($F709:$J709))</f>
        <v/>
      </c>
      <c r="L709" s="18" t="str">
        <f aca="false">IF(COUNT($F709:$J709)=0,"",MAX($F709:$J709))</f>
        <v/>
      </c>
      <c r="M709" s="18" t="str">
        <f aca="false">IFERROR(IF(OR($C709="",COUNT($F709:$J709)&lt;3),"",IF(N(INDEX(Lists!$C$2:$C$40,MATCH($C709,Lists!$A$2:$A$40,0)))=0,"",IF(MIN($F709:$J709)&gt;=INDEX(Lists!$C$2:$C$40,MATCH($C709,Lists!$A$2:$A$40,0)),"LEVEL UP",""))),"")</f>
        <v/>
      </c>
      <c r="N709" s="20"/>
      <c r="O709" s="19"/>
    </row>
    <row r="710" customFormat="false" ht="15" hidden="false" customHeight="false" outlineLevel="0" collapsed="false">
      <c r="A710" s="17"/>
      <c r="B710" s="18" t="str">
        <f aca="false">IF($A710="","",TEXT($A710,"ddd"))</f>
        <v/>
      </c>
      <c r="C710" s="19"/>
      <c r="D710" s="19"/>
      <c r="E710" s="18" t="str">
        <f aca="false">IF($C710="","",IFERROR(INDEX(Lists!$B$2:$B$40,MATCH($C710,Lists!$A$2:$A$40,0)),""))</f>
        <v/>
      </c>
      <c r="F710" s="20"/>
      <c r="G710" s="20"/>
      <c r="H710" s="20"/>
      <c r="I710" s="20"/>
      <c r="J710" s="20"/>
      <c r="K710" s="18" t="str">
        <f aca="false">IF(COUNT($F710:$J710)=0,"",SUM($F710:$J710))</f>
        <v/>
      </c>
      <c r="L710" s="18" t="str">
        <f aca="false">IF(COUNT($F710:$J710)=0,"",MAX($F710:$J710))</f>
        <v/>
      </c>
      <c r="M710" s="18" t="str">
        <f aca="false">IFERROR(IF(OR($C710="",COUNT($F710:$J710)&lt;3),"",IF(N(INDEX(Lists!$C$2:$C$40,MATCH($C710,Lists!$A$2:$A$40,0)))=0,"",IF(MIN($F710:$J710)&gt;=INDEX(Lists!$C$2:$C$40,MATCH($C710,Lists!$A$2:$A$40,0)),"LEVEL UP",""))),"")</f>
        <v/>
      </c>
      <c r="N710" s="20"/>
      <c r="O710" s="19"/>
    </row>
    <row r="711" customFormat="false" ht="15" hidden="false" customHeight="false" outlineLevel="0" collapsed="false">
      <c r="A711" s="17"/>
      <c r="B711" s="18" t="str">
        <f aca="false">IF($A711="","",TEXT($A711,"ddd"))</f>
        <v/>
      </c>
      <c r="C711" s="19"/>
      <c r="D711" s="19"/>
      <c r="E711" s="18" t="str">
        <f aca="false">IF($C711="","",IFERROR(INDEX(Lists!$B$2:$B$40,MATCH($C711,Lists!$A$2:$A$40,0)),""))</f>
        <v/>
      </c>
      <c r="F711" s="20"/>
      <c r="G711" s="20"/>
      <c r="H711" s="20"/>
      <c r="I711" s="20"/>
      <c r="J711" s="20"/>
      <c r="K711" s="18" t="str">
        <f aca="false">IF(COUNT($F711:$J711)=0,"",SUM($F711:$J711))</f>
        <v/>
      </c>
      <c r="L711" s="18" t="str">
        <f aca="false">IF(COUNT($F711:$J711)=0,"",MAX($F711:$J711))</f>
        <v/>
      </c>
      <c r="M711" s="18" t="str">
        <f aca="false">IFERROR(IF(OR($C711="",COUNT($F711:$J711)&lt;3),"",IF(N(INDEX(Lists!$C$2:$C$40,MATCH($C711,Lists!$A$2:$A$40,0)))=0,"",IF(MIN($F711:$J711)&gt;=INDEX(Lists!$C$2:$C$40,MATCH($C711,Lists!$A$2:$A$40,0)),"LEVEL UP",""))),"")</f>
        <v/>
      </c>
      <c r="N711" s="20"/>
      <c r="O711" s="19"/>
    </row>
    <row r="712" customFormat="false" ht="15" hidden="false" customHeight="false" outlineLevel="0" collapsed="false">
      <c r="A712" s="17"/>
      <c r="B712" s="18" t="str">
        <f aca="false">IF($A712="","",TEXT($A712,"ddd"))</f>
        <v/>
      </c>
      <c r="C712" s="19"/>
      <c r="D712" s="19"/>
      <c r="E712" s="18" t="str">
        <f aca="false">IF($C712="","",IFERROR(INDEX(Lists!$B$2:$B$40,MATCH($C712,Lists!$A$2:$A$40,0)),""))</f>
        <v/>
      </c>
      <c r="F712" s="20"/>
      <c r="G712" s="20"/>
      <c r="H712" s="20"/>
      <c r="I712" s="20"/>
      <c r="J712" s="20"/>
      <c r="K712" s="18" t="str">
        <f aca="false">IF(COUNT($F712:$J712)=0,"",SUM($F712:$J712))</f>
        <v/>
      </c>
      <c r="L712" s="18" t="str">
        <f aca="false">IF(COUNT($F712:$J712)=0,"",MAX($F712:$J712))</f>
        <v/>
      </c>
      <c r="M712" s="18" t="str">
        <f aca="false">IFERROR(IF(OR($C712="",COUNT($F712:$J712)&lt;3),"",IF(N(INDEX(Lists!$C$2:$C$40,MATCH($C712,Lists!$A$2:$A$40,0)))=0,"",IF(MIN($F712:$J712)&gt;=INDEX(Lists!$C$2:$C$40,MATCH($C712,Lists!$A$2:$A$40,0)),"LEVEL UP",""))),"")</f>
        <v/>
      </c>
      <c r="N712" s="20"/>
      <c r="O712" s="19"/>
    </row>
    <row r="713" customFormat="false" ht="15" hidden="false" customHeight="false" outlineLevel="0" collapsed="false">
      <c r="A713" s="17"/>
      <c r="B713" s="18" t="str">
        <f aca="false">IF($A713="","",TEXT($A713,"ddd"))</f>
        <v/>
      </c>
      <c r="C713" s="19"/>
      <c r="D713" s="19"/>
      <c r="E713" s="18" t="str">
        <f aca="false">IF($C713="","",IFERROR(INDEX(Lists!$B$2:$B$40,MATCH($C713,Lists!$A$2:$A$40,0)),""))</f>
        <v/>
      </c>
      <c r="F713" s="20"/>
      <c r="G713" s="20"/>
      <c r="H713" s="20"/>
      <c r="I713" s="20"/>
      <c r="J713" s="20"/>
      <c r="K713" s="18" t="str">
        <f aca="false">IF(COUNT($F713:$J713)=0,"",SUM($F713:$J713))</f>
        <v/>
      </c>
      <c r="L713" s="18" t="str">
        <f aca="false">IF(COUNT($F713:$J713)=0,"",MAX($F713:$J713))</f>
        <v/>
      </c>
      <c r="M713" s="18" t="str">
        <f aca="false">IFERROR(IF(OR($C713="",COUNT($F713:$J713)&lt;3),"",IF(N(INDEX(Lists!$C$2:$C$40,MATCH($C713,Lists!$A$2:$A$40,0)))=0,"",IF(MIN($F713:$J713)&gt;=INDEX(Lists!$C$2:$C$40,MATCH($C713,Lists!$A$2:$A$40,0)),"LEVEL UP",""))),"")</f>
        <v/>
      </c>
      <c r="N713" s="20"/>
      <c r="O713" s="19"/>
    </row>
    <row r="714" customFormat="false" ht="15" hidden="false" customHeight="false" outlineLevel="0" collapsed="false">
      <c r="A714" s="17"/>
      <c r="B714" s="18" t="str">
        <f aca="false">IF($A714="","",TEXT($A714,"ddd"))</f>
        <v/>
      </c>
      <c r="C714" s="19"/>
      <c r="D714" s="19"/>
      <c r="E714" s="18" t="str">
        <f aca="false">IF($C714="","",IFERROR(INDEX(Lists!$B$2:$B$40,MATCH($C714,Lists!$A$2:$A$40,0)),""))</f>
        <v/>
      </c>
      <c r="F714" s="20"/>
      <c r="G714" s="20"/>
      <c r="H714" s="20"/>
      <c r="I714" s="20"/>
      <c r="J714" s="20"/>
      <c r="K714" s="18" t="str">
        <f aca="false">IF(COUNT($F714:$J714)=0,"",SUM($F714:$J714))</f>
        <v/>
      </c>
      <c r="L714" s="18" t="str">
        <f aca="false">IF(COUNT($F714:$J714)=0,"",MAX($F714:$J714))</f>
        <v/>
      </c>
      <c r="M714" s="18" t="str">
        <f aca="false">IFERROR(IF(OR($C714="",COUNT($F714:$J714)&lt;3),"",IF(N(INDEX(Lists!$C$2:$C$40,MATCH($C714,Lists!$A$2:$A$40,0)))=0,"",IF(MIN($F714:$J714)&gt;=INDEX(Lists!$C$2:$C$40,MATCH($C714,Lists!$A$2:$A$40,0)),"LEVEL UP",""))),"")</f>
        <v/>
      </c>
      <c r="N714" s="20"/>
      <c r="O714" s="19"/>
    </row>
    <row r="715" customFormat="false" ht="15" hidden="false" customHeight="false" outlineLevel="0" collapsed="false">
      <c r="A715" s="17"/>
      <c r="B715" s="18" t="str">
        <f aca="false">IF($A715="","",TEXT($A715,"ddd"))</f>
        <v/>
      </c>
      <c r="C715" s="19"/>
      <c r="D715" s="19"/>
      <c r="E715" s="18" t="str">
        <f aca="false">IF($C715="","",IFERROR(INDEX(Lists!$B$2:$B$40,MATCH($C715,Lists!$A$2:$A$40,0)),""))</f>
        <v/>
      </c>
      <c r="F715" s="20"/>
      <c r="G715" s="20"/>
      <c r="H715" s="20"/>
      <c r="I715" s="20"/>
      <c r="J715" s="20"/>
      <c r="K715" s="18" t="str">
        <f aca="false">IF(COUNT($F715:$J715)=0,"",SUM($F715:$J715))</f>
        <v/>
      </c>
      <c r="L715" s="18" t="str">
        <f aca="false">IF(COUNT($F715:$J715)=0,"",MAX($F715:$J715))</f>
        <v/>
      </c>
      <c r="M715" s="18" t="str">
        <f aca="false">IFERROR(IF(OR($C715="",COUNT($F715:$J715)&lt;3),"",IF(N(INDEX(Lists!$C$2:$C$40,MATCH($C715,Lists!$A$2:$A$40,0)))=0,"",IF(MIN($F715:$J715)&gt;=INDEX(Lists!$C$2:$C$40,MATCH($C715,Lists!$A$2:$A$40,0)),"LEVEL UP",""))),"")</f>
        <v/>
      </c>
      <c r="N715" s="20"/>
      <c r="O715" s="19"/>
    </row>
    <row r="716" customFormat="false" ht="15" hidden="false" customHeight="false" outlineLevel="0" collapsed="false">
      <c r="A716" s="17"/>
      <c r="B716" s="18" t="str">
        <f aca="false">IF($A716="","",TEXT($A716,"ddd"))</f>
        <v/>
      </c>
      <c r="C716" s="19"/>
      <c r="D716" s="19"/>
      <c r="E716" s="18" t="str">
        <f aca="false">IF($C716="","",IFERROR(INDEX(Lists!$B$2:$B$40,MATCH($C716,Lists!$A$2:$A$40,0)),""))</f>
        <v/>
      </c>
      <c r="F716" s="20"/>
      <c r="G716" s="20"/>
      <c r="H716" s="20"/>
      <c r="I716" s="20"/>
      <c r="J716" s="20"/>
      <c r="K716" s="18" t="str">
        <f aca="false">IF(COUNT($F716:$J716)=0,"",SUM($F716:$J716))</f>
        <v/>
      </c>
      <c r="L716" s="18" t="str">
        <f aca="false">IF(COUNT($F716:$J716)=0,"",MAX($F716:$J716))</f>
        <v/>
      </c>
      <c r="M716" s="18" t="str">
        <f aca="false">IFERROR(IF(OR($C716="",COUNT($F716:$J716)&lt;3),"",IF(N(INDEX(Lists!$C$2:$C$40,MATCH($C716,Lists!$A$2:$A$40,0)))=0,"",IF(MIN($F716:$J716)&gt;=INDEX(Lists!$C$2:$C$40,MATCH($C716,Lists!$A$2:$A$40,0)),"LEVEL UP",""))),"")</f>
        <v/>
      </c>
      <c r="N716" s="20"/>
      <c r="O716" s="19"/>
    </row>
    <row r="717" customFormat="false" ht="15" hidden="false" customHeight="false" outlineLevel="0" collapsed="false">
      <c r="A717" s="17"/>
      <c r="B717" s="18" t="str">
        <f aca="false">IF($A717="","",TEXT($A717,"ddd"))</f>
        <v/>
      </c>
      <c r="C717" s="19"/>
      <c r="D717" s="19"/>
      <c r="E717" s="18" t="str">
        <f aca="false">IF($C717="","",IFERROR(INDEX(Lists!$B$2:$B$40,MATCH($C717,Lists!$A$2:$A$40,0)),""))</f>
        <v/>
      </c>
      <c r="F717" s="20"/>
      <c r="G717" s="20"/>
      <c r="H717" s="20"/>
      <c r="I717" s="20"/>
      <c r="J717" s="20"/>
      <c r="K717" s="18" t="str">
        <f aca="false">IF(COUNT($F717:$J717)=0,"",SUM($F717:$J717))</f>
        <v/>
      </c>
      <c r="L717" s="18" t="str">
        <f aca="false">IF(COUNT($F717:$J717)=0,"",MAX($F717:$J717))</f>
        <v/>
      </c>
      <c r="M717" s="18" t="str">
        <f aca="false">IFERROR(IF(OR($C717="",COUNT($F717:$J717)&lt;3),"",IF(N(INDEX(Lists!$C$2:$C$40,MATCH($C717,Lists!$A$2:$A$40,0)))=0,"",IF(MIN($F717:$J717)&gt;=INDEX(Lists!$C$2:$C$40,MATCH($C717,Lists!$A$2:$A$40,0)),"LEVEL UP",""))),"")</f>
        <v/>
      </c>
      <c r="N717" s="20"/>
      <c r="O717" s="19"/>
    </row>
    <row r="718" customFormat="false" ht="15" hidden="false" customHeight="false" outlineLevel="0" collapsed="false">
      <c r="A718" s="17"/>
      <c r="B718" s="18" t="str">
        <f aca="false">IF($A718="","",TEXT($A718,"ddd"))</f>
        <v/>
      </c>
      <c r="C718" s="19"/>
      <c r="D718" s="19"/>
      <c r="E718" s="18" t="str">
        <f aca="false">IF($C718="","",IFERROR(INDEX(Lists!$B$2:$B$40,MATCH($C718,Lists!$A$2:$A$40,0)),""))</f>
        <v/>
      </c>
      <c r="F718" s="20"/>
      <c r="G718" s="20"/>
      <c r="H718" s="20"/>
      <c r="I718" s="20"/>
      <c r="J718" s="20"/>
      <c r="K718" s="18" t="str">
        <f aca="false">IF(COUNT($F718:$J718)=0,"",SUM($F718:$J718))</f>
        <v/>
      </c>
      <c r="L718" s="18" t="str">
        <f aca="false">IF(COUNT($F718:$J718)=0,"",MAX($F718:$J718))</f>
        <v/>
      </c>
      <c r="M718" s="18" t="str">
        <f aca="false">IFERROR(IF(OR($C718="",COUNT($F718:$J718)&lt;3),"",IF(N(INDEX(Lists!$C$2:$C$40,MATCH($C718,Lists!$A$2:$A$40,0)))=0,"",IF(MIN($F718:$J718)&gt;=INDEX(Lists!$C$2:$C$40,MATCH($C718,Lists!$A$2:$A$40,0)),"LEVEL UP",""))),"")</f>
        <v/>
      </c>
      <c r="N718" s="20"/>
      <c r="O718" s="19"/>
    </row>
    <row r="719" customFormat="false" ht="15" hidden="false" customHeight="false" outlineLevel="0" collapsed="false">
      <c r="A719" s="17"/>
      <c r="B719" s="18" t="str">
        <f aca="false">IF($A719="","",TEXT($A719,"ddd"))</f>
        <v/>
      </c>
      <c r="C719" s="19"/>
      <c r="D719" s="19"/>
      <c r="E719" s="18" t="str">
        <f aca="false">IF($C719="","",IFERROR(INDEX(Lists!$B$2:$B$40,MATCH($C719,Lists!$A$2:$A$40,0)),""))</f>
        <v/>
      </c>
      <c r="F719" s="20"/>
      <c r="G719" s="20"/>
      <c r="H719" s="20"/>
      <c r="I719" s="20"/>
      <c r="J719" s="20"/>
      <c r="K719" s="18" t="str">
        <f aca="false">IF(COUNT($F719:$J719)=0,"",SUM($F719:$J719))</f>
        <v/>
      </c>
      <c r="L719" s="18" t="str">
        <f aca="false">IF(COUNT($F719:$J719)=0,"",MAX($F719:$J719))</f>
        <v/>
      </c>
      <c r="M719" s="18" t="str">
        <f aca="false">IFERROR(IF(OR($C719="",COUNT($F719:$J719)&lt;3),"",IF(N(INDEX(Lists!$C$2:$C$40,MATCH($C719,Lists!$A$2:$A$40,0)))=0,"",IF(MIN($F719:$J719)&gt;=INDEX(Lists!$C$2:$C$40,MATCH($C719,Lists!$A$2:$A$40,0)),"LEVEL UP",""))),"")</f>
        <v/>
      </c>
      <c r="N719" s="20"/>
      <c r="O719" s="19"/>
    </row>
    <row r="720" customFormat="false" ht="15" hidden="false" customHeight="false" outlineLevel="0" collapsed="false">
      <c r="A720" s="17"/>
      <c r="B720" s="18" t="str">
        <f aca="false">IF($A720="","",TEXT($A720,"ddd"))</f>
        <v/>
      </c>
      <c r="C720" s="19"/>
      <c r="D720" s="19"/>
      <c r="E720" s="18" t="str">
        <f aca="false">IF($C720="","",IFERROR(INDEX(Lists!$B$2:$B$40,MATCH($C720,Lists!$A$2:$A$40,0)),""))</f>
        <v/>
      </c>
      <c r="F720" s="20"/>
      <c r="G720" s="20"/>
      <c r="H720" s="20"/>
      <c r="I720" s="20"/>
      <c r="J720" s="20"/>
      <c r="K720" s="18" t="str">
        <f aca="false">IF(COUNT($F720:$J720)=0,"",SUM($F720:$J720))</f>
        <v/>
      </c>
      <c r="L720" s="18" t="str">
        <f aca="false">IF(COUNT($F720:$J720)=0,"",MAX($F720:$J720))</f>
        <v/>
      </c>
      <c r="M720" s="18" t="str">
        <f aca="false">IFERROR(IF(OR($C720="",COUNT($F720:$J720)&lt;3),"",IF(N(INDEX(Lists!$C$2:$C$40,MATCH($C720,Lists!$A$2:$A$40,0)))=0,"",IF(MIN($F720:$J720)&gt;=INDEX(Lists!$C$2:$C$40,MATCH($C720,Lists!$A$2:$A$40,0)),"LEVEL UP",""))),"")</f>
        <v/>
      </c>
      <c r="N720" s="20"/>
      <c r="O720" s="19"/>
    </row>
    <row r="721" customFormat="false" ht="15" hidden="false" customHeight="false" outlineLevel="0" collapsed="false">
      <c r="A721" s="17"/>
      <c r="B721" s="18" t="str">
        <f aca="false">IF($A721="","",TEXT($A721,"ddd"))</f>
        <v/>
      </c>
      <c r="C721" s="19"/>
      <c r="D721" s="19"/>
      <c r="E721" s="18" t="str">
        <f aca="false">IF($C721="","",IFERROR(INDEX(Lists!$B$2:$B$40,MATCH($C721,Lists!$A$2:$A$40,0)),""))</f>
        <v/>
      </c>
      <c r="F721" s="20"/>
      <c r="G721" s="20"/>
      <c r="H721" s="20"/>
      <c r="I721" s="20"/>
      <c r="J721" s="20"/>
      <c r="K721" s="18" t="str">
        <f aca="false">IF(COUNT($F721:$J721)=0,"",SUM($F721:$J721))</f>
        <v/>
      </c>
      <c r="L721" s="18" t="str">
        <f aca="false">IF(COUNT($F721:$J721)=0,"",MAX($F721:$J721))</f>
        <v/>
      </c>
      <c r="M721" s="18" t="str">
        <f aca="false">IFERROR(IF(OR($C721="",COUNT($F721:$J721)&lt;3),"",IF(N(INDEX(Lists!$C$2:$C$40,MATCH($C721,Lists!$A$2:$A$40,0)))=0,"",IF(MIN($F721:$J721)&gt;=INDEX(Lists!$C$2:$C$40,MATCH($C721,Lists!$A$2:$A$40,0)),"LEVEL UP",""))),"")</f>
        <v/>
      </c>
      <c r="N721" s="20"/>
      <c r="O721" s="19"/>
    </row>
    <row r="722" customFormat="false" ht="15" hidden="false" customHeight="false" outlineLevel="0" collapsed="false">
      <c r="A722" s="17"/>
      <c r="B722" s="18" t="str">
        <f aca="false">IF($A722="","",TEXT($A722,"ddd"))</f>
        <v/>
      </c>
      <c r="C722" s="19"/>
      <c r="D722" s="19"/>
      <c r="E722" s="18" t="str">
        <f aca="false">IF($C722="","",IFERROR(INDEX(Lists!$B$2:$B$40,MATCH($C722,Lists!$A$2:$A$40,0)),""))</f>
        <v/>
      </c>
      <c r="F722" s="20"/>
      <c r="G722" s="20"/>
      <c r="H722" s="20"/>
      <c r="I722" s="20"/>
      <c r="J722" s="20"/>
      <c r="K722" s="18" t="str">
        <f aca="false">IF(COUNT($F722:$J722)=0,"",SUM($F722:$J722))</f>
        <v/>
      </c>
      <c r="L722" s="18" t="str">
        <f aca="false">IF(COUNT($F722:$J722)=0,"",MAX($F722:$J722))</f>
        <v/>
      </c>
      <c r="M722" s="18" t="str">
        <f aca="false">IFERROR(IF(OR($C722="",COUNT($F722:$J722)&lt;3),"",IF(N(INDEX(Lists!$C$2:$C$40,MATCH($C722,Lists!$A$2:$A$40,0)))=0,"",IF(MIN($F722:$J722)&gt;=INDEX(Lists!$C$2:$C$40,MATCH($C722,Lists!$A$2:$A$40,0)),"LEVEL UP",""))),"")</f>
        <v/>
      </c>
      <c r="N722" s="20"/>
      <c r="O722" s="19"/>
    </row>
    <row r="723" customFormat="false" ht="15" hidden="false" customHeight="false" outlineLevel="0" collapsed="false">
      <c r="A723" s="17"/>
      <c r="B723" s="18" t="str">
        <f aca="false">IF($A723="","",TEXT($A723,"ddd"))</f>
        <v/>
      </c>
      <c r="C723" s="19"/>
      <c r="D723" s="19"/>
      <c r="E723" s="18" t="str">
        <f aca="false">IF($C723="","",IFERROR(INDEX(Lists!$B$2:$B$40,MATCH($C723,Lists!$A$2:$A$40,0)),""))</f>
        <v/>
      </c>
      <c r="F723" s="20"/>
      <c r="G723" s="20"/>
      <c r="H723" s="20"/>
      <c r="I723" s="20"/>
      <c r="J723" s="20"/>
      <c r="K723" s="18" t="str">
        <f aca="false">IF(COUNT($F723:$J723)=0,"",SUM($F723:$J723))</f>
        <v/>
      </c>
      <c r="L723" s="18" t="str">
        <f aca="false">IF(COUNT($F723:$J723)=0,"",MAX($F723:$J723))</f>
        <v/>
      </c>
      <c r="M723" s="18" t="str">
        <f aca="false">IFERROR(IF(OR($C723="",COUNT($F723:$J723)&lt;3),"",IF(N(INDEX(Lists!$C$2:$C$40,MATCH($C723,Lists!$A$2:$A$40,0)))=0,"",IF(MIN($F723:$J723)&gt;=INDEX(Lists!$C$2:$C$40,MATCH($C723,Lists!$A$2:$A$40,0)),"LEVEL UP",""))),"")</f>
        <v/>
      </c>
      <c r="N723" s="20"/>
      <c r="O723" s="19"/>
    </row>
    <row r="724" customFormat="false" ht="15" hidden="false" customHeight="false" outlineLevel="0" collapsed="false">
      <c r="A724" s="17"/>
      <c r="B724" s="18" t="str">
        <f aca="false">IF($A724="","",TEXT($A724,"ddd"))</f>
        <v/>
      </c>
      <c r="C724" s="19"/>
      <c r="D724" s="19"/>
      <c r="E724" s="18" t="str">
        <f aca="false">IF($C724="","",IFERROR(INDEX(Lists!$B$2:$B$40,MATCH($C724,Lists!$A$2:$A$40,0)),""))</f>
        <v/>
      </c>
      <c r="F724" s="20"/>
      <c r="G724" s="20"/>
      <c r="H724" s="20"/>
      <c r="I724" s="20"/>
      <c r="J724" s="20"/>
      <c r="K724" s="18" t="str">
        <f aca="false">IF(COUNT($F724:$J724)=0,"",SUM($F724:$J724))</f>
        <v/>
      </c>
      <c r="L724" s="18" t="str">
        <f aca="false">IF(COUNT($F724:$J724)=0,"",MAX($F724:$J724))</f>
        <v/>
      </c>
      <c r="M724" s="18" t="str">
        <f aca="false">IFERROR(IF(OR($C724="",COUNT($F724:$J724)&lt;3),"",IF(N(INDEX(Lists!$C$2:$C$40,MATCH($C724,Lists!$A$2:$A$40,0)))=0,"",IF(MIN($F724:$J724)&gt;=INDEX(Lists!$C$2:$C$40,MATCH($C724,Lists!$A$2:$A$40,0)),"LEVEL UP",""))),"")</f>
        <v/>
      </c>
      <c r="N724" s="20"/>
      <c r="O724" s="19"/>
    </row>
    <row r="725" customFormat="false" ht="15" hidden="false" customHeight="false" outlineLevel="0" collapsed="false">
      <c r="A725" s="17"/>
      <c r="B725" s="18" t="str">
        <f aca="false">IF($A725="","",TEXT($A725,"ddd"))</f>
        <v/>
      </c>
      <c r="C725" s="19"/>
      <c r="D725" s="19"/>
      <c r="E725" s="18" t="str">
        <f aca="false">IF($C725="","",IFERROR(INDEX(Lists!$B$2:$B$40,MATCH($C725,Lists!$A$2:$A$40,0)),""))</f>
        <v/>
      </c>
      <c r="F725" s="20"/>
      <c r="G725" s="20"/>
      <c r="H725" s="20"/>
      <c r="I725" s="20"/>
      <c r="J725" s="20"/>
      <c r="K725" s="18" t="str">
        <f aca="false">IF(COUNT($F725:$J725)=0,"",SUM($F725:$J725))</f>
        <v/>
      </c>
      <c r="L725" s="18" t="str">
        <f aca="false">IF(COUNT($F725:$J725)=0,"",MAX($F725:$J725))</f>
        <v/>
      </c>
      <c r="M725" s="18" t="str">
        <f aca="false">IFERROR(IF(OR($C725="",COUNT($F725:$J725)&lt;3),"",IF(N(INDEX(Lists!$C$2:$C$40,MATCH($C725,Lists!$A$2:$A$40,0)))=0,"",IF(MIN($F725:$J725)&gt;=INDEX(Lists!$C$2:$C$40,MATCH($C725,Lists!$A$2:$A$40,0)),"LEVEL UP",""))),"")</f>
        <v/>
      </c>
      <c r="N725" s="20"/>
      <c r="O725" s="19"/>
    </row>
    <row r="726" customFormat="false" ht="15" hidden="false" customHeight="false" outlineLevel="0" collapsed="false">
      <c r="A726" s="17"/>
      <c r="B726" s="18" t="str">
        <f aca="false">IF($A726="","",TEXT($A726,"ddd"))</f>
        <v/>
      </c>
      <c r="C726" s="19"/>
      <c r="D726" s="19"/>
      <c r="E726" s="18" t="str">
        <f aca="false">IF($C726="","",IFERROR(INDEX(Lists!$B$2:$B$40,MATCH($C726,Lists!$A$2:$A$40,0)),""))</f>
        <v/>
      </c>
      <c r="F726" s="20"/>
      <c r="G726" s="20"/>
      <c r="H726" s="20"/>
      <c r="I726" s="20"/>
      <c r="J726" s="20"/>
      <c r="K726" s="18" t="str">
        <f aca="false">IF(COUNT($F726:$J726)=0,"",SUM($F726:$J726))</f>
        <v/>
      </c>
      <c r="L726" s="18" t="str">
        <f aca="false">IF(COUNT($F726:$J726)=0,"",MAX($F726:$J726))</f>
        <v/>
      </c>
      <c r="M726" s="18" t="str">
        <f aca="false">IFERROR(IF(OR($C726="",COUNT($F726:$J726)&lt;3),"",IF(N(INDEX(Lists!$C$2:$C$40,MATCH($C726,Lists!$A$2:$A$40,0)))=0,"",IF(MIN($F726:$J726)&gt;=INDEX(Lists!$C$2:$C$40,MATCH($C726,Lists!$A$2:$A$40,0)),"LEVEL UP",""))),"")</f>
        <v/>
      </c>
      <c r="N726" s="20"/>
      <c r="O726" s="19"/>
    </row>
    <row r="727" customFormat="false" ht="15" hidden="false" customHeight="false" outlineLevel="0" collapsed="false">
      <c r="A727" s="17"/>
      <c r="B727" s="18" t="str">
        <f aca="false">IF($A727="","",TEXT($A727,"ddd"))</f>
        <v/>
      </c>
      <c r="C727" s="19"/>
      <c r="D727" s="19"/>
      <c r="E727" s="18" t="str">
        <f aca="false">IF($C727="","",IFERROR(INDEX(Lists!$B$2:$B$40,MATCH($C727,Lists!$A$2:$A$40,0)),""))</f>
        <v/>
      </c>
      <c r="F727" s="20"/>
      <c r="G727" s="20"/>
      <c r="H727" s="20"/>
      <c r="I727" s="20"/>
      <c r="J727" s="20"/>
      <c r="K727" s="18" t="str">
        <f aca="false">IF(COUNT($F727:$J727)=0,"",SUM($F727:$J727))</f>
        <v/>
      </c>
      <c r="L727" s="18" t="str">
        <f aca="false">IF(COUNT($F727:$J727)=0,"",MAX($F727:$J727))</f>
        <v/>
      </c>
      <c r="M727" s="18" t="str">
        <f aca="false">IFERROR(IF(OR($C727="",COUNT($F727:$J727)&lt;3),"",IF(N(INDEX(Lists!$C$2:$C$40,MATCH($C727,Lists!$A$2:$A$40,0)))=0,"",IF(MIN($F727:$J727)&gt;=INDEX(Lists!$C$2:$C$40,MATCH($C727,Lists!$A$2:$A$40,0)),"LEVEL UP",""))),"")</f>
        <v/>
      </c>
      <c r="N727" s="20"/>
      <c r="O727" s="19"/>
    </row>
    <row r="728" customFormat="false" ht="15" hidden="false" customHeight="false" outlineLevel="0" collapsed="false">
      <c r="A728" s="17"/>
      <c r="B728" s="18" t="str">
        <f aca="false">IF($A728="","",TEXT($A728,"ddd"))</f>
        <v/>
      </c>
      <c r="C728" s="19"/>
      <c r="D728" s="19"/>
      <c r="E728" s="18" t="str">
        <f aca="false">IF($C728="","",IFERROR(INDEX(Lists!$B$2:$B$40,MATCH($C728,Lists!$A$2:$A$40,0)),""))</f>
        <v/>
      </c>
      <c r="F728" s="20"/>
      <c r="G728" s="20"/>
      <c r="H728" s="20"/>
      <c r="I728" s="20"/>
      <c r="J728" s="20"/>
      <c r="K728" s="18" t="str">
        <f aca="false">IF(COUNT($F728:$J728)=0,"",SUM($F728:$J728))</f>
        <v/>
      </c>
      <c r="L728" s="18" t="str">
        <f aca="false">IF(COUNT($F728:$J728)=0,"",MAX($F728:$J728))</f>
        <v/>
      </c>
      <c r="M728" s="18" t="str">
        <f aca="false">IFERROR(IF(OR($C728="",COUNT($F728:$J728)&lt;3),"",IF(N(INDEX(Lists!$C$2:$C$40,MATCH($C728,Lists!$A$2:$A$40,0)))=0,"",IF(MIN($F728:$J728)&gt;=INDEX(Lists!$C$2:$C$40,MATCH($C728,Lists!$A$2:$A$40,0)),"LEVEL UP",""))),"")</f>
        <v/>
      </c>
      <c r="N728" s="20"/>
      <c r="O728" s="19"/>
    </row>
    <row r="729" customFormat="false" ht="15" hidden="false" customHeight="false" outlineLevel="0" collapsed="false">
      <c r="A729" s="17"/>
      <c r="B729" s="18" t="str">
        <f aca="false">IF($A729="","",TEXT($A729,"ddd"))</f>
        <v/>
      </c>
      <c r="C729" s="19"/>
      <c r="D729" s="19"/>
      <c r="E729" s="18" t="str">
        <f aca="false">IF($C729="","",IFERROR(INDEX(Lists!$B$2:$B$40,MATCH($C729,Lists!$A$2:$A$40,0)),""))</f>
        <v/>
      </c>
      <c r="F729" s="20"/>
      <c r="G729" s="20"/>
      <c r="H729" s="20"/>
      <c r="I729" s="20"/>
      <c r="J729" s="20"/>
      <c r="K729" s="18" t="str">
        <f aca="false">IF(COUNT($F729:$J729)=0,"",SUM($F729:$J729))</f>
        <v/>
      </c>
      <c r="L729" s="18" t="str">
        <f aca="false">IF(COUNT($F729:$J729)=0,"",MAX($F729:$J729))</f>
        <v/>
      </c>
      <c r="M729" s="18" t="str">
        <f aca="false">IFERROR(IF(OR($C729="",COUNT($F729:$J729)&lt;3),"",IF(N(INDEX(Lists!$C$2:$C$40,MATCH($C729,Lists!$A$2:$A$40,0)))=0,"",IF(MIN($F729:$J729)&gt;=INDEX(Lists!$C$2:$C$40,MATCH($C729,Lists!$A$2:$A$40,0)),"LEVEL UP",""))),"")</f>
        <v/>
      </c>
      <c r="N729" s="20"/>
      <c r="O729" s="19"/>
    </row>
    <row r="730" customFormat="false" ht="15" hidden="false" customHeight="false" outlineLevel="0" collapsed="false">
      <c r="A730" s="17"/>
      <c r="B730" s="18" t="str">
        <f aca="false">IF($A730="","",TEXT($A730,"ddd"))</f>
        <v/>
      </c>
      <c r="C730" s="19"/>
      <c r="D730" s="19"/>
      <c r="E730" s="18" t="str">
        <f aca="false">IF($C730="","",IFERROR(INDEX(Lists!$B$2:$B$40,MATCH($C730,Lists!$A$2:$A$40,0)),""))</f>
        <v/>
      </c>
      <c r="F730" s="20"/>
      <c r="G730" s="20"/>
      <c r="H730" s="20"/>
      <c r="I730" s="20"/>
      <c r="J730" s="20"/>
      <c r="K730" s="18" t="str">
        <f aca="false">IF(COUNT($F730:$J730)=0,"",SUM($F730:$J730))</f>
        <v/>
      </c>
      <c r="L730" s="18" t="str">
        <f aca="false">IF(COUNT($F730:$J730)=0,"",MAX($F730:$J730))</f>
        <v/>
      </c>
      <c r="M730" s="18" t="str">
        <f aca="false">IFERROR(IF(OR($C730="",COUNT($F730:$J730)&lt;3),"",IF(N(INDEX(Lists!$C$2:$C$40,MATCH($C730,Lists!$A$2:$A$40,0)))=0,"",IF(MIN($F730:$J730)&gt;=INDEX(Lists!$C$2:$C$40,MATCH($C730,Lists!$A$2:$A$40,0)),"LEVEL UP",""))),"")</f>
        <v/>
      </c>
      <c r="N730" s="20"/>
      <c r="O730" s="19"/>
    </row>
    <row r="731" customFormat="false" ht="15" hidden="false" customHeight="false" outlineLevel="0" collapsed="false">
      <c r="A731" s="17"/>
      <c r="B731" s="18" t="str">
        <f aca="false">IF($A731="","",TEXT($A731,"ddd"))</f>
        <v/>
      </c>
      <c r="C731" s="19"/>
      <c r="D731" s="19"/>
      <c r="E731" s="18" t="str">
        <f aca="false">IF($C731="","",IFERROR(INDEX(Lists!$B$2:$B$40,MATCH($C731,Lists!$A$2:$A$40,0)),""))</f>
        <v/>
      </c>
      <c r="F731" s="20"/>
      <c r="G731" s="20"/>
      <c r="H731" s="20"/>
      <c r="I731" s="20"/>
      <c r="J731" s="20"/>
      <c r="K731" s="18" t="str">
        <f aca="false">IF(COUNT($F731:$J731)=0,"",SUM($F731:$J731))</f>
        <v/>
      </c>
      <c r="L731" s="18" t="str">
        <f aca="false">IF(COUNT($F731:$J731)=0,"",MAX($F731:$J731))</f>
        <v/>
      </c>
      <c r="M731" s="18" t="str">
        <f aca="false">IFERROR(IF(OR($C731="",COUNT($F731:$J731)&lt;3),"",IF(N(INDEX(Lists!$C$2:$C$40,MATCH($C731,Lists!$A$2:$A$40,0)))=0,"",IF(MIN($F731:$J731)&gt;=INDEX(Lists!$C$2:$C$40,MATCH($C731,Lists!$A$2:$A$40,0)),"LEVEL UP",""))),"")</f>
        <v/>
      </c>
      <c r="N731" s="20"/>
      <c r="O731" s="19"/>
    </row>
    <row r="732" customFormat="false" ht="15" hidden="false" customHeight="false" outlineLevel="0" collapsed="false">
      <c r="A732" s="17"/>
      <c r="B732" s="18" t="str">
        <f aca="false">IF($A732="","",TEXT($A732,"ddd"))</f>
        <v/>
      </c>
      <c r="C732" s="19"/>
      <c r="D732" s="19"/>
      <c r="E732" s="18" t="str">
        <f aca="false">IF($C732="","",IFERROR(INDEX(Lists!$B$2:$B$40,MATCH($C732,Lists!$A$2:$A$40,0)),""))</f>
        <v/>
      </c>
      <c r="F732" s="20"/>
      <c r="G732" s="20"/>
      <c r="H732" s="20"/>
      <c r="I732" s="20"/>
      <c r="J732" s="20"/>
      <c r="K732" s="18" t="str">
        <f aca="false">IF(COUNT($F732:$J732)=0,"",SUM($F732:$J732))</f>
        <v/>
      </c>
      <c r="L732" s="18" t="str">
        <f aca="false">IF(COUNT($F732:$J732)=0,"",MAX($F732:$J732))</f>
        <v/>
      </c>
      <c r="M732" s="18" t="str">
        <f aca="false">IFERROR(IF(OR($C732="",COUNT($F732:$J732)&lt;3),"",IF(N(INDEX(Lists!$C$2:$C$40,MATCH($C732,Lists!$A$2:$A$40,0)))=0,"",IF(MIN($F732:$J732)&gt;=INDEX(Lists!$C$2:$C$40,MATCH($C732,Lists!$A$2:$A$40,0)),"LEVEL UP",""))),"")</f>
        <v/>
      </c>
      <c r="N732" s="20"/>
      <c r="O732" s="19"/>
    </row>
    <row r="733" customFormat="false" ht="15" hidden="false" customHeight="false" outlineLevel="0" collapsed="false">
      <c r="A733" s="17"/>
      <c r="B733" s="18" t="str">
        <f aca="false">IF($A733="","",TEXT($A733,"ddd"))</f>
        <v/>
      </c>
      <c r="C733" s="19"/>
      <c r="D733" s="19"/>
      <c r="E733" s="18" t="str">
        <f aca="false">IF($C733="","",IFERROR(INDEX(Lists!$B$2:$B$40,MATCH($C733,Lists!$A$2:$A$40,0)),""))</f>
        <v/>
      </c>
      <c r="F733" s="20"/>
      <c r="G733" s="20"/>
      <c r="H733" s="20"/>
      <c r="I733" s="20"/>
      <c r="J733" s="20"/>
      <c r="K733" s="18" t="str">
        <f aca="false">IF(COUNT($F733:$J733)=0,"",SUM($F733:$J733))</f>
        <v/>
      </c>
      <c r="L733" s="18" t="str">
        <f aca="false">IF(COUNT($F733:$J733)=0,"",MAX($F733:$J733))</f>
        <v/>
      </c>
      <c r="M733" s="18" t="str">
        <f aca="false">IFERROR(IF(OR($C733="",COUNT($F733:$J733)&lt;3),"",IF(N(INDEX(Lists!$C$2:$C$40,MATCH($C733,Lists!$A$2:$A$40,0)))=0,"",IF(MIN($F733:$J733)&gt;=INDEX(Lists!$C$2:$C$40,MATCH($C733,Lists!$A$2:$A$40,0)),"LEVEL UP",""))),"")</f>
        <v/>
      </c>
      <c r="N733" s="20"/>
      <c r="O733" s="19"/>
    </row>
    <row r="734" customFormat="false" ht="15" hidden="false" customHeight="false" outlineLevel="0" collapsed="false">
      <c r="A734" s="17"/>
      <c r="B734" s="18" t="str">
        <f aca="false">IF($A734="","",TEXT($A734,"ddd"))</f>
        <v/>
      </c>
      <c r="C734" s="19"/>
      <c r="D734" s="19"/>
      <c r="E734" s="18" t="str">
        <f aca="false">IF($C734="","",IFERROR(INDEX(Lists!$B$2:$B$40,MATCH($C734,Lists!$A$2:$A$40,0)),""))</f>
        <v/>
      </c>
      <c r="F734" s="20"/>
      <c r="G734" s="20"/>
      <c r="H734" s="20"/>
      <c r="I734" s="20"/>
      <c r="J734" s="20"/>
      <c r="K734" s="18" t="str">
        <f aca="false">IF(COUNT($F734:$J734)=0,"",SUM($F734:$J734))</f>
        <v/>
      </c>
      <c r="L734" s="18" t="str">
        <f aca="false">IF(COUNT($F734:$J734)=0,"",MAX($F734:$J734))</f>
        <v/>
      </c>
      <c r="M734" s="18" t="str">
        <f aca="false">IFERROR(IF(OR($C734="",COUNT($F734:$J734)&lt;3),"",IF(N(INDEX(Lists!$C$2:$C$40,MATCH($C734,Lists!$A$2:$A$40,0)))=0,"",IF(MIN($F734:$J734)&gt;=INDEX(Lists!$C$2:$C$40,MATCH($C734,Lists!$A$2:$A$40,0)),"LEVEL UP",""))),"")</f>
        <v/>
      </c>
      <c r="N734" s="20"/>
      <c r="O734" s="19"/>
    </row>
    <row r="735" customFormat="false" ht="15" hidden="false" customHeight="false" outlineLevel="0" collapsed="false">
      <c r="A735" s="17"/>
      <c r="B735" s="18" t="str">
        <f aca="false">IF($A735="","",TEXT($A735,"ddd"))</f>
        <v/>
      </c>
      <c r="C735" s="19"/>
      <c r="D735" s="19"/>
      <c r="E735" s="18" t="str">
        <f aca="false">IF($C735="","",IFERROR(INDEX(Lists!$B$2:$B$40,MATCH($C735,Lists!$A$2:$A$40,0)),""))</f>
        <v/>
      </c>
      <c r="F735" s="20"/>
      <c r="G735" s="20"/>
      <c r="H735" s="20"/>
      <c r="I735" s="20"/>
      <c r="J735" s="20"/>
      <c r="K735" s="18" t="str">
        <f aca="false">IF(COUNT($F735:$J735)=0,"",SUM($F735:$J735))</f>
        <v/>
      </c>
      <c r="L735" s="18" t="str">
        <f aca="false">IF(COUNT($F735:$J735)=0,"",MAX($F735:$J735))</f>
        <v/>
      </c>
      <c r="M735" s="18" t="str">
        <f aca="false">IFERROR(IF(OR($C735="",COUNT($F735:$J735)&lt;3),"",IF(N(INDEX(Lists!$C$2:$C$40,MATCH($C735,Lists!$A$2:$A$40,0)))=0,"",IF(MIN($F735:$J735)&gt;=INDEX(Lists!$C$2:$C$40,MATCH($C735,Lists!$A$2:$A$40,0)),"LEVEL UP",""))),"")</f>
        <v/>
      </c>
      <c r="N735" s="20"/>
      <c r="O735" s="19"/>
    </row>
    <row r="736" customFormat="false" ht="15" hidden="false" customHeight="false" outlineLevel="0" collapsed="false">
      <c r="A736" s="17"/>
      <c r="B736" s="18" t="str">
        <f aca="false">IF($A736="","",TEXT($A736,"ddd"))</f>
        <v/>
      </c>
      <c r="C736" s="19"/>
      <c r="D736" s="19"/>
      <c r="E736" s="18" t="str">
        <f aca="false">IF($C736="","",IFERROR(INDEX(Lists!$B$2:$B$40,MATCH($C736,Lists!$A$2:$A$40,0)),""))</f>
        <v/>
      </c>
      <c r="F736" s="20"/>
      <c r="G736" s="20"/>
      <c r="H736" s="20"/>
      <c r="I736" s="20"/>
      <c r="J736" s="20"/>
      <c r="K736" s="18" t="str">
        <f aca="false">IF(COUNT($F736:$J736)=0,"",SUM($F736:$J736))</f>
        <v/>
      </c>
      <c r="L736" s="18" t="str">
        <f aca="false">IF(COUNT($F736:$J736)=0,"",MAX($F736:$J736))</f>
        <v/>
      </c>
      <c r="M736" s="18" t="str">
        <f aca="false">IFERROR(IF(OR($C736="",COUNT($F736:$J736)&lt;3),"",IF(N(INDEX(Lists!$C$2:$C$40,MATCH($C736,Lists!$A$2:$A$40,0)))=0,"",IF(MIN($F736:$J736)&gt;=INDEX(Lists!$C$2:$C$40,MATCH($C736,Lists!$A$2:$A$40,0)),"LEVEL UP",""))),"")</f>
        <v/>
      </c>
      <c r="N736" s="20"/>
      <c r="O736" s="19"/>
    </row>
    <row r="737" customFormat="false" ht="15" hidden="false" customHeight="false" outlineLevel="0" collapsed="false">
      <c r="A737" s="17"/>
      <c r="B737" s="18" t="str">
        <f aca="false">IF($A737="","",TEXT($A737,"ddd"))</f>
        <v/>
      </c>
      <c r="C737" s="19"/>
      <c r="D737" s="19"/>
      <c r="E737" s="18" t="str">
        <f aca="false">IF($C737="","",IFERROR(INDEX(Lists!$B$2:$B$40,MATCH($C737,Lists!$A$2:$A$40,0)),""))</f>
        <v/>
      </c>
      <c r="F737" s="20"/>
      <c r="G737" s="20"/>
      <c r="H737" s="20"/>
      <c r="I737" s="20"/>
      <c r="J737" s="20"/>
      <c r="K737" s="18" t="str">
        <f aca="false">IF(COUNT($F737:$J737)=0,"",SUM($F737:$J737))</f>
        <v/>
      </c>
      <c r="L737" s="18" t="str">
        <f aca="false">IF(COUNT($F737:$J737)=0,"",MAX($F737:$J737))</f>
        <v/>
      </c>
      <c r="M737" s="18" t="str">
        <f aca="false">IFERROR(IF(OR($C737="",COUNT($F737:$J737)&lt;3),"",IF(N(INDEX(Lists!$C$2:$C$40,MATCH($C737,Lists!$A$2:$A$40,0)))=0,"",IF(MIN($F737:$J737)&gt;=INDEX(Lists!$C$2:$C$40,MATCH($C737,Lists!$A$2:$A$40,0)),"LEVEL UP",""))),"")</f>
        <v/>
      </c>
      <c r="N737" s="20"/>
      <c r="O737" s="19"/>
    </row>
    <row r="738" customFormat="false" ht="15" hidden="false" customHeight="false" outlineLevel="0" collapsed="false">
      <c r="A738" s="17"/>
      <c r="B738" s="18" t="str">
        <f aca="false">IF($A738="","",TEXT($A738,"ddd"))</f>
        <v/>
      </c>
      <c r="C738" s="19"/>
      <c r="D738" s="19"/>
      <c r="E738" s="18" t="str">
        <f aca="false">IF($C738="","",IFERROR(INDEX(Lists!$B$2:$B$40,MATCH($C738,Lists!$A$2:$A$40,0)),""))</f>
        <v/>
      </c>
      <c r="F738" s="20"/>
      <c r="G738" s="20"/>
      <c r="H738" s="20"/>
      <c r="I738" s="20"/>
      <c r="J738" s="20"/>
      <c r="K738" s="18" t="str">
        <f aca="false">IF(COUNT($F738:$J738)=0,"",SUM($F738:$J738))</f>
        <v/>
      </c>
      <c r="L738" s="18" t="str">
        <f aca="false">IF(COUNT($F738:$J738)=0,"",MAX($F738:$J738))</f>
        <v/>
      </c>
      <c r="M738" s="18" t="str">
        <f aca="false">IFERROR(IF(OR($C738="",COUNT($F738:$J738)&lt;3),"",IF(N(INDEX(Lists!$C$2:$C$40,MATCH($C738,Lists!$A$2:$A$40,0)))=0,"",IF(MIN($F738:$J738)&gt;=INDEX(Lists!$C$2:$C$40,MATCH($C738,Lists!$A$2:$A$40,0)),"LEVEL UP",""))),"")</f>
        <v/>
      </c>
      <c r="N738" s="20"/>
      <c r="O738" s="19"/>
    </row>
    <row r="739" customFormat="false" ht="15" hidden="false" customHeight="false" outlineLevel="0" collapsed="false">
      <c r="A739" s="17"/>
      <c r="B739" s="18" t="str">
        <f aca="false">IF($A739="","",TEXT($A739,"ddd"))</f>
        <v/>
      </c>
      <c r="C739" s="19"/>
      <c r="D739" s="19"/>
      <c r="E739" s="18" t="str">
        <f aca="false">IF($C739="","",IFERROR(INDEX(Lists!$B$2:$B$40,MATCH($C739,Lists!$A$2:$A$40,0)),""))</f>
        <v/>
      </c>
      <c r="F739" s="20"/>
      <c r="G739" s="20"/>
      <c r="H739" s="20"/>
      <c r="I739" s="20"/>
      <c r="J739" s="20"/>
      <c r="K739" s="18" t="str">
        <f aca="false">IF(COUNT($F739:$J739)=0,"",SUM($F739:$J739))</f>
        <v/>
      </c>
      <c r="L739" s="18" t="str">
        <f aca="false">IF(COUNT($F739:$J739)=0,"",MAX($F739:$J739))</f>
        <v/>
      </c>
      <c r="M739" s="18" t="str">
        <f aca="false">IFERROR(IF(OR($C739="",COUNT($F739:$J739)&lt;3),"",IF(N(INDEX(Lists!$C$2:$C$40,MATCH($C739,Lists!$A$2:$A$40,0)))=0,"",IF(MIN($F739:$J739)&gt;=INDEX(Lists!$C$2:$C$40,MATCH($C739,Lists!$A$2:$A$40,0)),"LEVEL UP",""))),"")</f>
        <v/>
      </c>
      <c r="N739" s="20"/>
      <c r="O739" s="19"/>
    </row>
    <row r="740" customFormat="false" ht="15" hidden="false" customHeight="false" outlineLevel="0" collapsed="false">
      <c r="A740" s="17"/>
      <c r="B740" s="18" t="str">
        <f aca="false">IF($A740="","",TEXT($A740,"ddd"))</f>
        <v/>
      </c>
      <c r="C740" s="19"/>
      <c r="D740" s="19"/>
      <c r="E740" s="18" t="str">
        <f aca="false">IF($C740="","",IFERROR(INDEX(Lists!$B$2:$B$40,MATCH($C740,Lists!$A$2:$A$40,0)),""))</f>
        <v/>
      </c>
      <c r="F740" s="20"/>
      <c r="G740" s="20"/>
      <c r="H740" s="20"/>
      <c r="I740" s="20"/>
      <c r="J740" s="20"/>
      <c r="K740" s="18" t="str">
        <f aca="false">IF(COUNT($F740:$J740)=0,"",SUM($F740:$J740))</f>
        <v/>
      </c>
      <c r="L740" s="18" t="str">
        <f aca="false">IF(COUNT($F740:$J740)=0,"",MAX($F740:$J740))</f>
        <v/>
      </c>
      <c r="M740" s="18" t="str">
        <f aca="false">IFERROR(IF(OR($C740="",COUNT($F740:$J740)&lt;3),"",IF(N(INDEX(Lists!$C$2:$C$40,MATCH($C740,Lists!$A$2:$A$40,0)))=0,"",IF(MIN($F740:$J740)&gt;=INDEX(Lists!$C$2:$C$40,MATCH($C740,Lists!$A$2:$A$40,0)),"LEVEL UP",""))),"")</f>
        <v/>
      </c>
      <c r="N740" s="20"/>
      <c r="O740" s="19"/>
    </row>
    <row r="741" customFormat="false" ht="15" hidden="false" customHeight="false" outlineLevel="0" collapsed="false">
      <c r="A741" s="17"/>
      <c r="B741" s="18" t="str">
        <f aca="false">IF($A741="","",TEXT($A741,"ddd"))</f>
        <v/>
      </c>
      <c r="C741" s="19"/>
      <c r="D741" s="19"/>
      <c r="E741" s="18" t="str">
        <f aca="false">IF($C741="","",IFERROR(INDEX(Lists!$B$2:$B$40,MATCH($C741,Lists!$A$2:$A$40,0)),""))</f>
        <v/>
      </c>
      <c r="F741" s="20"/>
      <c r="G741" s="20"/>
      <c r="H741" s="20"/>
      <c r="I741" s="20"/>
      <c r="J741" s="20"/>
      <c r="K741" s="18" t="str">
        <f aca="false">IF(COUNT($F741:$J741)=0,"",SUM($F741:$J741))</f>
        <v/>
      </c>
      <c r="L741" s="18" t="str">
        <f aca="false">IF(COUNT($F741:$J741)=0,"",MAX($F741:$J741))</f>
        <v/>
      </c>
      <c r="M741" s="18" t="str">
        <f aca="false">IFERROR(IF(OR($C741="",COUNT($F741:$J741)&lt;3),"",IF(N(INDEX(Lists!$C$2:$C$40,MATCH($C741,Lists!$A$2:$A$40,0)))=0,"",IF(MIN($F741:$J741)&gt;=INDEX(Lists!$C$2:$C$40,MATCH($C741,Lists!$A$2:$A$40,0)),"LEVEL UP",""))),"")</f>
        <v/>
      </c>
      <c r="N741" s="20"/>
      <c r="O741" s="19"/>
    </row>
    <row r="742" customFormat="false" ht="15" hidden="false" customHeight="false" outlineLevel="0" collapsed="false">
      <c r="A742" s="17"/>
      <c r="B742" s="18" t="str">
        <f aca="false">IF($A742="","",TEXT($A742,"ddd"))</f>
        <v/>
      </c>
      <c r="C742" s="19"/>
      <c r="D742" s="19"/>
      <c r="E742" s="18" t="str">
        <f aca="false">IF($C742="","",IFERROR(INDEX(Lists!$B$2:$B$40,MATCH($C742,Lists!$A$2:$A$40,0)),""))</f>
        <v/>
      </c>
      <c r="F742" s="20"/>
      <c r="G742" s="20"/>
      <c r="H742" s="20"/>
      <c r="I742" s="20"/>
      <c r="J742" s="20"/>
      <c r="K742" s="18" t="str">
        <f aca="false">IF(COUNT($F742:$J742)=0,"",SUM($F742:$J742))</f>
        <v/>
      </c>
      <c r="L742" s="18" t="str">
        <f aca="false">IF(COUNT($F742:$J742)=0,"",MAX($F742:$J742))</f>
        <v/>
      </c>
      <c r="M742" s="18" t="str">
        <f aca="false">IFERROR(IF(OR($C742="",COUNT($F742:$J742)&lt;3),"",IF(N(INDEX(Lists!$C$2:$C$40,MATCH($C742,Lists!$A$2:$A$40,0)))=0,"",IF(MIN($F742:$J742)&gt;=INDEX(Lists!$C$2:$C$40,MATCH($C742,Lists!$A$2:$A$40,0)),"LEVEL UP",""))),"")</f>
        <v/>
      </c>
      <c r="N742" s="20"/>
      <c r="O742" s="19"/>
    </row>
    <row r="743" customFormat="false" ht="15" hidden="false" customHeight="false" outlineLevel="0" collapsed="false">
      <c r="A743" s="17"/>
      <c r="B743" s="18" t="str">
        <f aca="false">IF($A743="","",TEXT($A743,"ddd"))</f>
        <v/>
      </c>
      <c r="C743" s="19"/>
      <c r="D743" s="19"/>
      <c r="E743" s="18" t="str">
        <f aca="false">IF($C743="","",IFERROR(INDEX(Lists!$B$2:$B$40,MATCH($C743,Lists!$A$2:$A$40,0)),""))</f>
        <v/>
      </c>
      <c r="F743" s="20"/>
      <c r="G743" s="20"/>
      <c r="H743" s="20"/>
      <c r="I743" s="20"/>
      <c r="J743" s="20"/>
      <c r="K743" s="18" t="str">
        <f aca="false">IF(COUNT($F743:$J743)=0,"",SUM($F743:$J743))</f>
        <v/>
      </c>
      <c r="L743" s="18" t="str">
        <f aca="false">IF(COUNT($F743:$J743)=0,"",MAX($F743:$J743))</f>
        <v/>
      </c>
      <c r="M743" s="18" t="str">
        <f aca="false">IFERROR(IF(OR($C743="",COUNT($F743:$J743)&lt;3),"",IF(N(INDEX(Lists!$C$2:$C$40,MATCH($C743,Lists!$A$2:$A$40,0)))=0,"",IF(MIN($F743:$J743)&gt;=INDEX(Lists!$C$2:$C$40,MATCH($C743,Lists!$A$2:$A$40,0)),"LEVEL UP",""))),"")</f>
        <v/>
      </c>
      <c r="N743" s="20"/>
      <c r="O743" s="19"/>
    </row>
    <row r="744" customFormat="false" ht="15" hidden="false" customHeight="false" outlineLevel="0" collapsed="false">
      <c r="A744" s="17"/>
      <c r="B744" s="18" t="str">
        <f aca="false">IF($A744="","",TEXT($A744,"ddd"))</f>
        <v/>
      </c>
      <c r="C744" s="19"/>
      <c r="D744" s="19"/>
      <c r="E744" s="18" t="str">
        <f aca="false">IF($C744="","",IFERROR(INDEX(Lists!$B$2:$B$40,MATCH($C744,Lists!$A$2:$A$40,0)),""))</f>
        <v/>
      </c>
      <c r="F744" s="20"/>
      <c r="G744" s="20"/>
      <c r="H744" s="20"/>
      <c r="I744" s="20"/>
      <c r="J744" s="20"/>
      <c r="K744" s="18" t="str">
        <f aca="false">IF(COUNT($F744:$J744)=0,"",SUM($F744:$J744))</f>
        <v/>
      </c>
      <c r="L744" s="18" t="str">
        <f aca="false">IF(COUNT($F744:$J744)=0,"",MAX($F744:$J744))</f>
        <v/>
      </c>
      <c r="M744" s="18" t="str">
        <f aca="false">IFERROR(IF(OR($C744="",COUNT($F744:$J744)&lt;3),"",IF(N(INDEX(Lists!$C$2:$C$40,MATCH($C744,Lists!$A$2:$A$40,0)))=0,"",IF(MIN($F744:$J744)&gt;=INDEX(Lists!$C$2:$C$40,MATCH($C744,Lists!$A$2:$A$40,0)),"LEVEL UP",""))),"")</f>
        <v/>
      </c>
      <c r="N744" s="20"/>
      <c r="O744" s="19"/>
    </row>
    <row r="745" customFormat="false" ht="15" hidden="false" customHeight="false" outlineLevel="0" collapsed="false">
      <c r="A745" s="17"/>
      <c r="B745" s="18" t="str">
        <f aca="false">IF($A745="","",TEXT($A745,"ddd"))</f>
        <v/>
      </c>
      <c r="C745" s="19"/>
      <c r="D745" s="19"/>
      <c r="E745" s="18" t="str">
        <f aca="false">IF($C745="","",IFERROR(INDEX(Lists!$B$2:$B$40,MATCH($C745,Lists!$A$2:$A$40,0)),""))</f>
        <v/>
      </c>
      <c r="F745" s="20"/>
      <c r="G745" s="20"/>
      <c r="H745" s="20"/>
      <c r="I745" s="20"/>
      <c r="J745" s="20"/>
      <c r="K745" s="18" t="str">
        <f aca="false">IF(COUNT($F745:$J745)=0,"",SUM($F745:$J745))</f>
        <v/>
      </c>
      <c r="L745" s="18" t="str">
        <f aca="false">IF(COUNT($F745:$J745)=0,"",MAX($F745:$J745))</f>
        <v/>
      </c>
      <c r="M745" s="18" t="str">
        <f aca="false">IFERROR(IF(OR($C745="",COUNT($F745:$J745)&lt;3),"",IF(N(INDEX(Lists!$C$2:$C$40,MATCH($C745,Lists!$A$2:$A$40,0)))=0,"",IF(MIN($F745:$J745)&gt;=INDEX(Lists!$C$2:$C$40,MATCH($C745,Lists!$A$2:$A$40,0)),"LEVEL UP",""))),"")</f>
        <v/>
      </c>
      <c r="N745" s="20"/>
      <c r="O745" s="19"/>
    </row>
    <row r="746" customFormat="false" ht="15" hidden="false" customHeight="false" outlineLevel="0" collapsed="false">
      <c r="A746" s="17"/>
      <c r="B746" s="18" t="str">
        <f aca="false">IF($A746="","",TEXT($A746,"ddd"))</f>
        <v/>
      </c>
      <c r="C746" s="19"/>
      <c r="D746" s="19"/>
      <c r="E746" s="18" t="str">
        <f aca="false">IF($C746="","",IFERROR(INDEX(Lists!$B$2:$B$40,MATCH($C746,Lists!$A$2:$A$40,0)),""))</f>
        <v/>
      </c>
      <c r="F746" s="20"/>
      <c r="G746" s="20"/>
      <c r="H746" s="20"/>
      <c r="I746" s="20"/>
      <c r="J746" s="20"/>
      <c r="K746" s="18" t="str">
        <f aca="false">IF(COUNT($F746:$J746)=0,"",SUM($F746:$J746))</f>
        <v/>
      </c>
      <c r="L746" s="18" t="str">
        <f aca="false">IF(COUNT($F746:$J746)=0,"",MAX($F746:$J746))</f>
        <v/>
      </c>
      <c r="M746" s="18" t="str">
        <f aca="false">IFERROR(IF(OR($C746="",COUNT($F746:$J746)&lt;3),"",IF(N(INDEX(Lists!$C$2:$C$40,MATCH($C746,Lists!$A$2:$A$40,0)))=0,"",IF(MIN($F746:$J746)&gt;=INDEX(Lists!$C$2:$C$40,MATCH($C746,Lists!$A$2:$A$40,0)),"LEVEL UP",""))),"")</f>
        <v/>
      </c>
      <c r="N746" s="20"/>
      <c r="O746" s="19"/>
    </row>
    <row r="747" customFormat="false" ht="15" hidden="false" customHeight="false" outlineLevel="0" collapsed="false">
      <c r="A747" s="17"/>
      <c r="B747" s="18" t="str">
        <f aca="false">IF($A747="","",TEXT($A747,"ddd"))</f>
        <v/>
      </c>
      <c r="C747" s="19"/>
      <c r="D747" s="19"/>
      <c r="E747" s="18" t="str">
        <f aca="false">IF($C747="","",IFERROR(INDEX(Lists!$B$2:$B$40,MATCH($C747,Lists!$A$2:$A$40,0)),""))</f>
        <v/>
      </c>
      <c r="F747" s="20"/>
      <c r="G747" s="20"/>
      <c r="H747" s="20"/>
      <c r="I747" s="20"/>
      <c r="J747" s="20"/>
      <c r="K747" s="18" t="str">
        <f aca="false">IF(COUNT($F747:$J747)=0,"",SUM($F747:$J747))</f>
        <v/>
      </c>
      <c r="L747" s="18" t="str">
        <f aca="false">IF(COUNT($F747:$J747)=0,"",MAX($F747:$J747))</f>
        <v/>
      </c>
      <c r="M747" s="18" t="str">
        <f aca="false">IFERROR(IF(OR($C747="",COUNT($F747:$J747)&lt;3),"",IF(N(INDEX(Lists!$C$2:$C$40,MATCH($C747,Lists!$A$2:$A$40,0)))=0,"",IF(MIN($F747:$J747)&gt;=INDEX(Lists!$C$2:$C$40,MATCH($C747,Lists!$A$2:$A$40,0)),"LEVEL UP",""))),"")</f>
        <v/>
      </c>
      <c r="N747" s="20"/>
      <c r="O747" s="19"/>
    </row>
    <row r="748" customFormat="false" ht="15" hidden="false" customHeight="false" outlineLevel="0" collapsed="false">
      <c r="A748" s="17"/>
      <c r="B748" s="18" t="str">
        <f aca="false">IF($A748="","",TEXT($A748,"ddd"))</f>
        <v/>
      </c>
      <c r="C748" s="19"/>
      <c r="D748" s="19"/>
      <c r="E748" s="18" t="str">
        <f aca="false">IF($C748="","",IFERROR(INDEX(Lists!$B$2:$B$40,MATCH($C748,Lists!$A$2:$A$40,0)),""))</f>
        <v/>
      </c>
      <c r="F748" s="20"/>
      <c r="G748" s="20"/>
      <c r="H748" s="20"/>
      <c r="I748" s="20"/>
      <c r="J748" s="20"/>
      <c r="K748" s="18" t="str">
        <f aca="false">IF(COUNT($F748:$J748)=0,"",SUM($F748:$J748))</f>
        <v/>
      </c>
      <c r="L748" s="18" t="str">
        <f aca="false">IF(COUNT($F748:$J748)=0,"",MAX($F748:$J748))</f>
        <v/>
      </c>
      <c r="M748" s="18" t="str">
        <f aca="false">IFERROR(IF(OR($C748="",COUNT($F748:$J748)&lt;3),"",IF(N(INDEX(Lists!$C$2:$C$40,MATCH($C748,Lists!$A$2:$A$40,0)))=0,"",IF(MIN($F748:$J748)&gt;=INDEX(Lists!$C$2:$C$40,MATCH($C748,Lists!$A$2:$A$40,0)),"LEVEL UP",""))),"")</f>
        <v/>
      </c>
      <c r="N748" s="20"/>
      <c r="O748" s="19"/>
    </row>
    <row r="749" customFormat="false" ht="15" hidden="false" customHeight="false" outlineLevel="0" collapsed="false">
      <c r="A749" s="17"/>
      <c r="B749" s="18" t="str">
        <f aca="false">IF($A749="","",TEXT($A749,"ddd"))</f>
        <v/>
      </c>
      <c r="C749" s="19"/>
      <c r="D749" s="19"/>
      <c r="E749" s="18" t="str">
        <f aca="false">IF($C749="","",IFERROR(INDEX(Lists!$B$2:$B$40,MATCH($C749,Lists!$A$2:$A$40,0)),""))</f>
        <v/>
      </c>
      <c r="F749" s="20"/>
      <c r="G749" s="20"/>
      <c r="H749" s="20"/>
      <c r="I749" s="20"/>
      <c r="J749" s="20"/>
      <c r="K749" s="18" t="str">
        <f aca="false">IF(COUNT($F749:$J749)=0,"",SUM($F749:$J749))</f>
        <v/>
      </c>
      <c r="L749" s="18" t="str">
        <f aca="false">IF(COUNT($F749:$J749)=0,"",MAX($F749:$J749))</f>
        <v/>
      </c>
      <c r="M749" s="18" t="str">
        <f aca="false">IFERROR(IF(OR($C749="",COUNT($F749:$J749)&lt;3),"",IF(N(INDEX(Lists!$C$2:$C$40,MATCH($C749,Lists!$A$2:$A$40,0)))=0,"",IF(MIN($F749:$J749)&gt;=INDEX(Lists!$C$2:$C$40,MATCH($C749,Lists!$A$2:$A$40,0)),"LEVEL UP",""))),"")</f>
        <v/>
      </c>
      <c r="N749" s="20"/>
      <c r="O749" s="19"/>
    </row>
    <row r="750" customFormat="false" ht="15" hidden="false" customHeight="false" outlineLevel="0" collapsed="false">
      <c r="A750" s="17"/>
      <c r="B750" s="18" t="str">
        <f aca="false">IF($A750="","",TEXT($A750,"ddd"))</f>
        <v/>
      </c>
      <c r="C750" s="19"/>
      <c r="D750" s="19"/>
      <c r="E750" s="18" t="str">
        <f aca="false">IF($C750="","",IFERROR(INDEX(Lists!$B$2:$B$40,MATCH($C750,Lists!$A$2:$A$40,0)),""))</f>
        <v/>
      </c>
      <c r="F750" s="20"/>
      <c r="G750" s="20"/>
      <c r="H750" s="20"/>
      <c r="I750" s="20"/>
      <c r="J750" s="20"/>
      <c r="K750" s="18" t="str">
        <f aca="false">IF(COUNT($F750:$J750)=0,"",SUM($F750:$J750))</f>
        <v/>
      </c>
      <c r="L750" s="18" t="str">
        <f aca="false">IF(COUNT($F750:$J750)=0,"",MAX($F750:$J750))</f>
        <v/>
      </c>
      <c r="M750" s="18" t="str">
        <f aca="false">IFERROR(IF(OR($C750="",COUNT($F750:$J750)&lt;3),"",IF(N(INDEX(Lists!$C$2:$C$40,MATCH($C750,Lists!$A$2:$A$40,0)))=0,"",IF(MIN($F750:$J750)&gt;=INDEX(Lists!$C$2:$C$40,MATCH($C750,Lists!$A$2:$A$40,0)),"LEVEL UP",""))),"")</f>
        <v/>
      </c>
      <c r="N750" s="20"/>
      <c r="O750" s="19"/>
    </row>
    <row r="751" customFormat="false" ht="15" hidden="false" customHeight="false" outlineLevel="0" collapsed="false">
      <c r="A751" s="17"/>
      <c r="B751" s="18" t="str">
        <f aca="false">IF($A751="","",TEXT($A751,"ddd"))</f>
        <v/>
      </c>
      <c r="C751" s="19"/>
      <c r="D751" s="19"/>
      <c r="E751" s="18" t="str">
        <f aca="false">IF($C751="","",IFERROR(INDEX(Lists!$B$2:$B$40,MATCH($C751,Lists!$A$2:$A$40,0)),""))</f>
        <v/>
      </c>
      <c r="F751" s="20"/>
      <c r="G751" s="20"/>
      <c r="H751" s="20"/>
      <c r="I751" s="20"/>
      <c r="J751" s="20"/>
      <c r="K751" s="18" t="str">
        <f aca="false">IF(COUNT($F751:$J751)=0,"",SUM($F751:$J751))</f>
        <v/>
      </c>
      <c r="L751" s="18" t="str">
        <f aca="false">IF(COUNT($F751:$J751)=0,"",MAX($F751:$J751))</f>
        <v/>
      </c>
      <c r="M751" s="18" t="str">
        <f aca="false">IFERROR(IF(OR($C751="",COUNT($F751:$J751)&lt;3),"",IF(N(INDEX(Lists!$C$2:$C$40,MATCH($C751,Lists!$A$2:$A$40,0)))=0,"",IF(MIN($F751:$J751)&gt;=INDEX(Lists!$C$2:$C$40,MATCH($C751,Lists!$A$2:$A$40,0)),"LEVEL UP",""))),"")</f>
        <v/>
      </c>
      <c r="N751" s="20"/>
      <c r="O751" s="19"/>
    </row>
    <row r="752" customFormat="false" ht="15" hidden="false" customHeight="false" outlineLevel="0" collapsed="false">
      <c r="A752" s="17"/>
      <c r="B752" s="18" t="str">
        <f aca="false">IF($A752="","",TEXT($A752,"ddd"))</f>
        <v/>
      </c>
      <c r="C752" s="19"/>
      <c r="D752" s="19"/>
      <c r="E752" s="18" t="str">
        <f aca="false">IF($C752="","",IFERROR(INDEX(Lists!$B$2:$B$40,MATCH($C752,Lists!$A$2:$A$40,0)),""))</f>
        <v/>
      </c>
      <c r="F752" s="20"/>
      <c r="G752" s="20"/>
      <c r="H752" s="20"/>
      <c r="I752" s="20"/>
      <c r="J752" s="20"/>
      <c r="K752" s="18" t="str">
        <f aca="false">IF(COUNT($F752:$J752)=0,"",SUM($F752:$J752))</f>
        <v/>
      </c>
      <c r="L752" s="18" t="str">
        <f aca="false">IF(COUNT($F752:$J752)=0,"",MAX($F752:$J752))</f>
        <v/>
      </c>
      <c r="M752" s="18" t="str">
        <f aca="false">IFERROR(IF(OR($C752="",COUNT($F752:$J752)&lt;3),"",IF(N(INDEX(Lists!$C$2:$C$40,MATCH($C752,Lists!$A$2:$A$40,0)))=0,"",IF(MIN($F752:$J752)&gt;=INDEX(Lists!$C$2:$C$40,MATCH($C752,Lists!$A$2:$A$40,0)),"LEVEL UP",""))),"")</f>
        <v/>
      </c>
      <c r="N752" s="20"/>
      <c r="O752" s="19"/>
    </row>
    <row r="753" customFormat="false" ht="15" hidden="false" customHeight="false" outlineLevel="0" collapsed="false">
      <c r="A753" s="17"/>
      <c r="B753" s="18" t="str">
        <f aca="false">IF($A753="","",TEXT($A753,"ddd"))</f>
        <v/>
      </c>
      <c r="C753" s="19"/>
      <c r="D753" s="19"/>
      <c r="E753" s="18" t="str">
        <f aca="false">IF($C753="","",IFERROR(INDEX(Lists!$B$2:$B$40,MATCH($C753,Lists!$A$2:$A$40,0)),""))</f>
        <v/>
      </c>
      <c r="F753" s="20"/>
      <c r="G753" s="20"/>
      <c r="H753" s="20"/>
      <c r="I753" s="20"/>
      <c r="J753" s="20"/>
      <c r="K753" s="18" t="str">
        <f aca="false">IF(COUNT($F753:$J753)=0,"",SUM($F753:$J753))</f>
        <v/>
      </c>
      <c r="L753" s="18" t="str">
        <f aca="false">IF(COUNT($F753:$J753)=0,"",MAX($F753:$J753))</f>
        <v/>
      </c>
      <c r="M753" s="18" t="str">
        <f aca="false">IFERROR(IF(OR($C753="",COUNT($F753:$J753)&lt;3),"",IF(N(INDEX(Lists!$C$2:$C$40,MATCH($C753,Lists!$A$2:$A$40,0)))=0,"",IF(MIN($F753:$J753)&gt;=INDEX(Lists!$C$2:$C$40,MATCH($C753,Lists!$A$2:$A$40,0)),"LEVEL UP",""))),"")</f>
        <v/>
      </c>
      <c r="N753" s="20"/>
      <c r="O753" s="19"/>
    </row>
    <row r="754" customFormat="false" ht="15" hidden="false" customHeight="false" outlineLevel="0" collapsed="false">
      <c r="A754" s="17"/>
      <c r="B754" s="18" t="str">
        <f aca="false">IF($A754="","",TEXT($A754,"ddd"))</f>
        <v/>
      </c>
      <c r="C754" s="19"/>
      <c r="D754" s="19"/>
      <c r="E754" s="18" t="str">
        <f aca="false">IF($C754="","",IFERROR(INDEX(Lists!$B$2:$B$40,MATCH($C754,Lists!$A$2:$A$40,0)),""))</f>
        <v/>
      </c>
      <c r="F754" s="20"/>
      <c r="G754" s="20"/>
      <c r="H754" s="20"/>
      <c r="I754" s="20"/>
      <c r="J754" s="20"/>
      <c r="K754" s="18" t="str">
        <f aca="false">IF(COUNT($F754:$J754)=0,"",SUM($F754:$J754))</f>
        <v/>
      </c>
      <c r="L754" s="18" t="str">
        <f aca="false">IF(COUNT($F754:$J754)=0,"",MAX($F754:$J754))</f>
        <v/>
      </c>
      <c r="M754" s="18" t="str">
        <f aca="false">IFERROR(IF(OR($C754="",COUNT($F754:$J754)&lt;3),"",IF(N(INDEX(Lists!$C$2:$C$40,MATCH($C754,Lists!$A$2:$A$40,0)))=0,"",IF(MIN($F754:$J754)&gt;=INDEX(Lists!$C$2:$C$40,MATCH($C754,Lists!$A$2:$A$40,0)),"LEVEL UP",""))),"")</f>
        <v/>
      </c>
      <c r="N754" s="20"/>
      <c r="O754" s="19"/>
    </row>
    <row r="755" customFormat="false" ht="15" hidden="false" customHeight="false" outlineLevel="0" collapsed="false">
      <c r="A755" s="17"/>
      <c r="B755" s="18" t="str">
        <f aca="false">IF($A755="","",TEXT($A755,"ddd"))</f>
        <v/>
      </c>
      <c r="C755" s="19"/>
      <c r="D755" s="19"/>
      <c r="E755" s="18" t="str">
        <f aca="false">IF($C755="","",IFERROR(INDEX(Lists!$B$2:$B$40,MATCH($C755,Lists!$A$2:$A$40,0)),""))</f>
        <v/>
      </c>
      <c r="F755" s="20"/>
      <c r="G755" s="20"/>
      <c r="H755" s="20"/>
      <c r="I755" s="20"/>
      <c r="J755" s="20"/>
      <c r="K755" s="18" t="str">
        <f aca="false">IF(COUNT($F755:$J755)=0,"",SUM($F755:$J755))</f>
        <v/>
      </c>
      <c r="L755" s="18" t="str">
        <f aca="false">IF(COUNT($F755:$J755)=0,"",MAX($F755:$J755))</f>
        <v/>
      </c>
      <c r="M755" s="18" t="str">
        <f aca="false">IFERROR(IF(OR($C755="",COUNT($F755:$J755)&lt;3),"",IF(N(INDEX(Lists!$C$2:$C$40,MATCH($C755,Lists!$A$2:$A$40,0)))=0,"",IF(MIN($F755:$J755)&gt;=INDEX(Lists!$C$2:$C$40,MATCH($C755,Lists!$A$2:$A$40,0)),"LEVEL UP",""))),"")</f>
        <v/>
      </c>
      <c r="N755" s="20"/>
      <c r="O755" s="19"/>
    </row>
    <row r="756" customFormat="false" ht="15" hidden="false" customHeight="false" outlineLevel="0" collapsed="false">
      <c r="A756" s="17"/>
      <c r="B756" s="18" t="str">
        <f aca="false">IF($A756="","",TEXT($A756,"ddd"))</f>
        <v/>
      </c>
      <c r="C756" s="19"/>
      <c r="D756" s="19"/>
      <c r="E756" s="18" t="str">
        <f aca="false">IF($C756="","",IFERROR(INDEX(Lists!$B$2:$B$40,MATCH($C756,Lists!$A$2:$A$40,0)),""))</f>
        <v/>
      </c>
      <c r="F756" s="20"/>
      <c r="G756" s="20"/>
      <c r="H756" s="20"/>
      <c r="I756" s="20"/>
      <c r="J756" s="20"/>
      <c r="K756" s="18" t="str">
        <f aca="false">IF(COUNT($F756:$J756)=0,"",SUM($F756:$J756))</f>
        <v/>
      </c>
      <c r="L756" s="18" t="str">
        <f aca="false">IF(COUNT($F756:$J756)=0,"",MAX($F756:$J756))</f>
        <v/>
      </c>
      <c r="M756" s="18" t="str">
        <f aca="false">IFERROR(IF(OR($C756="",COUNT($F756:$J756)&lt;3),"",IF(N(INDEX(Lists!$C$2:$C$40,MATCH($C756,Lists!$A$2:$A$40,0)))=0,"",IF(MIN($F756:$J756)&gt;=INDEX(Lists!$C$2:$C$40,MATCH($C756,Lists!$A$2:$A$40,0)),"LEVEL UP",""))),"")</f>
        <v/>
      </c>
      <c r="N756" s="20"/>
      <c r="O756" s="19"/>
    </row>
    <row r="757" customFormat="false" ht="15" hidden="false" customHeight="false" outlineLevel="0" collapsed="false">
      <c r="A757" s="17"/>
      <c r="B757" s="18" t="str">
        <f aca="false">IF($A757="","",TEXT($A757,"ddd"))</f>
        <v/>
      </c>
      <c r="C757" s="19"/>
      <c r="D757" s="19"/>
      <c r="E757" s="18" t="str">
        <f aca="false">IF($C757="","",IFERROR(INDEX(Lists!$B$2:$B$40,MATCH($C757,Lists!$A$2:$A$40,0)),""))</f>
        <v/>
      </c>
      <c r="F757" s="20"/>
      <c r="G757" s="20"/>
      <c r="H757" s="20"/>
      <c r="I757" s="20"/>
      <c r="J757" s="20"/>
      <c r="K757" s="18" t="str">
        <f aca="false">IF(COUNT($F757:$J757)=0,"",SUM($F757:$J757))</f>
        <v/>
      </c>
      <c r="L757" s="18" t="str">
        <f aca="false">IF(COUNT($F757:$J757)=0,"",MAX($F757:$J757))</f>
        <v/>
      </c>
      <c r="M757" s="18" t="str">
        <f aca="false">IFERROR(IF(OR($C757="",COUNT($F757:$J757)&lt;3),"",IF(N(INDEX(Lists!$C$2:$C$40,MATCH($C757,Lists!$A$2:$A$40,0)))=0,"",IF(MIN($F757:$J757)&gt;=INDEX(Lists!$C$2:$C$40,MATCH($C757,Lists!$A$2:$A$40,0)),"LEVEL UP",""))),"")</f>
        <v/>
      </c>
      <c r="N757" s="20"/>
      <c r="O757" s="19"/>
    </row>
    <row r="758" customFormat="false" ht="15" hidden="false" customHeight="false" outlineLevel="0" collapsed="false">
      <c r="A758" s="17"/>
      <c r="B758" s="18" t="str">
        <f aca="false">IF($A758="","",TEXT($A758,"ddd"))</f>
        <v/>
      </c>
      <c r="C758" s="19"/>
      <c r="D758" s="19"/>
      <c r="E758" s="18" t="str">
        <f aca="false">IF($C758="","",IFERROR(INDEX(Lists!$B$2:$B$40,MATCH($C758,Lists!$A$2:$A$40,0)),""))</f>
        <v/>
      </c>
      <c r="F758" s="20"/>
      <c r="G758" s="20"/>
      <c r="H758" s="20"/>
      <c r="I758" s="20"/>
      <c r="J758" s="20"/>
      <c r="K758" s="18" t="str">
        <f aca="false">IF(COUNT($F758:$J758)=0,"",SUM($F758:$J758))</f>
        <v/>
      </c>
      <c r="L758" s="18" t="str">
        <f aca="false">IF(COUNT($F758:$J758)=0,"",MAX($F758:$J758))</f>
        <v/>
      </c>
      <c r="M758" s="18" t="str">
        <f aca="false">IFERROR(IF(OR($C758="",COUNT($F758:$J758)&lt;3),"",IF(N(INDEX(Lists!$C$2:$C$40,MATCH($C758,Lists!$A$2:$A$40,0)))=0,"",IF(MIN($F758:$J758)&gt;=INDEX(Lists!$C$2:$C$40,MATCH($C758,Lists!$A$2:$A$40,0)),"LEVEL UP",""))),"")</f>
        <v/>
      </c>
      <c r="N758" s="20"/>
      <c r="O758" s="19"/>
    </row>
    <row r="759" customFormat="false" ht="15" hidden="false" customHeight="false" outlineLevel="0" collapsed="false">
      <c r="A759" s="17"/>
      <c r="B759" s="18" t="str">
        <f aca="false">IF($A759="","",TEXT($A759,"ddd"))</f>
        <v/>
      </c>
      <c r="C759" s="19"/>
      <c r="D759" s="19"/>
      <c r="E759" s="18" t="str">
        <f aca="false">IF($C759="","",IFERROR(INDEX(Lists!$B$2:$B$40,MATCH($C759,Lists!$A$2:$A$40,0)),""))</f>
        <v/>
      </c>
      <c r="F759" s="20"/>
      <c r="G759" s="20"/>
      <c r="H759" s="20"/>
      <c r="I759" s="20"/>
      <c r="J759" s="20"/>
      <c r="K759" s="18" t="str">
        <f aca="false">IF(COUNT($F759:$J759)=0,"",SUM($F759:$J759))</f>
        <v/>
      </c>
      <c r="L759" s="18" t="str">
        <f aca="false">IF(COUNT($F759:$J759)=0,"",MAX($F759:$J759))</f>
        <v/>
      </c>
      <c r="M759" s="18" t="str">
        <f aca="false">IFERROR(IF(OR($C759="",COUNT($F759:$J759)&lt;3),"",IF(N(INDEX(Lists!$C$2:$C$40,MATCH($C759,Lists!$A$2:$A$40,0)))=0,"",IF(MIN($F759:$J759)&gt;=INDEX(Lists!$C$2:$C$40,MATCH($C759,Lists!$A$2:$A$40,0)),"LEVEL UP",""))),"")</f>
        <v/>
      </c>
      <c r="N759" s="20"/>
      <c r="O759" s="19"/>
    </row>
    <row r="760" customFormat="false" ht="15" hidden="false" customHeight="false" outlineLevel="0" collapsed="false">
      <c r="A760" s="17"/>
      <c r="B760" s="18" t="str">
        <f aca="false">IF($A760="","",TEXT($A760,"ddd"))</f>
        <v/>
      </c>
      <c r="C760" s="19"/>
      <c r="D760" s="19"/>
      <c r="E760" s="18" t="str">
        <f aca="false">IF($C760="","",IFERROR(INDEX(Lists!$B$2:$B$40,MATCH($C760,Lists!$A$2:$A$40,0)),""))</f>
        <v/>
      </c>
      <c r="F760" s="20"/>
      <c r="G760" s="20"/>
      <c r="H760" s="20"/>
      <c r="I760" s="20"/>
      <c r="J760" s="20"/>
      <c r="K760" s="18" t="str">
        <f aca="false">IF(COUNT($F760:$J760)=0,"",SUM($F760:$J760))</f>
        <v/>
      </c>
      <c r="L760" s="18" t="str">
        <f aca="false">IF(COUNT($F760:$J760)=0,"",MAX($F760:$J760))</f>
        <v/>
      </c>
      <c r="M760" s="18" t="str">
        <f aca="false">IFERROR(IF(OR($C760="",COUNT($F760:$J760)&lt;3),"",IF(N(INDEX(Lists!$C$2:$C$40,MATCH($C760,Lists!$A$2:$A$40,0)))=0,"",IF(MIN($F760:$J760)&gt;=INDEX(Lists!$C$2:$C$40,MATCH($C760,Lists!$A$2:$A$40,0)),"LEVEL UP",""))),"")</f>
        <v/>
      </c>
      <c r="N760" s="20"/>
      <c r="O760" s="19"/>
    </row>
    <row r="761" customFormat="false" ht="15" hidden="false" customHeight="false" outlineLevel="0" collapsed="false">
      <c r="A761" s="17"/>
      <c r="B761" s="18" t="str">
        <f aca="false">IF($A761="","",TEXT($A761,"ddd"))</f>
        <v/>
      </c>
      <c r="C761" s="19"/>
      <c r="D761" s="19"/>
      <c r="E761" s="18" t="str">
        <f aca="false">IF($C761="","",IFERROR(INDEX(Lists!$B$2:$B$40,MATCH($C761,Lists!$A$2:$A$40,0)),""))</f>
        <v/>
      </c>
      <c r="F761" s="20"/>
      <c r="G761" s="20"/>
      <c r="H761" s="20"/>
      <c r="I761" s="20"/>
      <c r="J761" s="20"/>
      <c r="K761" s="18" t="str">
        <f aca="false">IF(COUNT($F761:$J761)=0,"",SUM($F761:$J761))</f>
        <v/>
      </c>
      <c r="L761" s="18" t="str">
        <f aca="false">IF(COUNT($F761:$J761)=0,"",MAX($F761:$J761))</f>
        <v/>
      </c>
      <c r="M761" s="18" t="str">
        <f aca="false">IFERROR(IF(OR($C761="",COUNT($F761:$J761)&lt;3),"",IF(N(INDEX(Lists!$C$2:$C$40,MATCH($C761,Lists!$A$2:$A$40,0)))=0,"",IF(MIN($F761:$J761)&gt;=INDEX(Lists!$C$2:$C$40,MATCH($C761,Lists!$A$2:$A$40,0)),"LEVEL UP",""))),"")</f>
        <v/>
      </c>
      <c r="N761" s="20"/>
      <c r="O761" s="19"/>
    </row>
    <row r="762" customFormat="false" ht="15" hidden="false" customHeight="false" outlineLevel="0" collapsed="false">
      <c r="A762" s="17"/>
      <c r="B762" s="18" t="str">
        <f aca="false">IF($A762="","",TEXT($A762,"ddd"))</f>
        <v/>
      </c>
      <c r="C762" s="19"/>
      <c r="D762" s="19"/>
      <c r="E762" s="18" t="str">
        <f aca="false">IF($C762="","",IFERROR(INDEX(Lists!$B$2:$B$40,MATCH($C762,Lists!$A$2:$A$40,0)),""))</f>
        <v/>
      </c>
      <c r="F762" s="20"/>
      <c r="G762" s="20"/>
      <c r="H762" s="20"/>
      <c r="I762" s="20"/>
      <c r="J762" s="20"/>
      <c r="K762" s="18" t="str">
        <f aca="false">IF(COUNT($F762:$J762)=0,"",SUM($F762:$J762))</f>
        <v/>
      </c>
      <c r="L762" s="18" t="str">
        <f aca="false">IF(COUNT($F762:$J762)=0,"",MAX($F762:$J762))</f>
        <v/>
      </c>
      <c r="M762" s="18" t="str">
        <f aca="false">IFERROR(IF(OR($C762="",COUNT($F762:$J762)&lt;3),"",IF(N(INDEX(Lists!$C$2:$C$40,MATCH($C762,Lists!$A$2:$A$40,0)))=0,"",IF(MIN($F762:$J762)&gt;=INDEX(Lists!$C$2:$C$40,MATCH($C762,Lists!$A$2:$A$40,0)),"LEVEL UP",""))),"")</f>
        <v/>
      </c>
      <c r="N762" s="20"/>
      <c r="O762" s="19"/>
    </row>
    <row r="763" customFormat="false" ht="15" hidden="false" customHeight="false" outlineLevel="0" collapsed="false">
      <c r="A763" s="17"/>
      <c r="B763" s="18" t="str">
        <f aca="false">IF($A763="","",TEXT($A763,"ddd"))</f>
        <v/>
      </c>
      <c r="C763" s="19"/>
      <c r="D763" s="19"/>
      <c r="E763" s="18" t="str">
        <f aca="false">IF($C763="","",IFERROR(INDEX(Lists!$B$2:$B$40,MATCH($C763,Lists!$A$2:$A$40,0)),""))</f>
        <v/>
      </c>
      <c r="F763" s="20"/>
      <c r="G763" s="20"/>
      <c r="H763" s="20"/>
      <c r="I763" s="20"/>
      <c r="J763" s="20"/>
      <c r="K763" s="18" t="str">
        <f aca="false">IF(COUNT($F763:$J763)=0,"",SUM($F763:$J763))</f>
        <v/>
      </c>
      <c r="L763" s="18" t="str">
        <f aca="false">IF(COUNT($F763:$J763)=0,"",MAX($F763:$J763))</f>
        <v/>
      </c>
      <c r="M763" s="18" t="str">
        <f aca="false">IFERROR(IF(OR($C763="",COUNT($F763:$J763)&lt;3),"",IF(N(INDEX(Lists!$C$2:$C$40,MATCH($C763,Lists!$A$2:$A$40,0)))=0,"",IF(MIN($F763:$J763)&gt;=INDEX(Lists!$C$2:$C$40,MATCH($C763,Lists!$A$2:$A$40,0)),"LEVEL UP",""))),"")</f>
        <v/>
      </c>
      <c r="N763" s="20"/>
      <c r="O763" s="19"/>
    </row>
    <row r="764" customFormat="false" ht="15" hidden="false" customHeight="false" outlineLevel="0" collapsed="false">
      <c r="A764" s="17"/>
      <c r="B764" s="18" t="str">
        <f aca="false">IF($A764="","",TEXT($A764,"ddd"))</f>
        <v/>
      </c>
      <c r="C764" s="19"/>
      <c r="D764" s="19"/>
      <c r="E764" s="18" t="str">
        <f aca="false">IF($C764="","",IFERROR(INDEX(Lists!$B$2:$B$40,MATCH($C764,Lists!$A$2:$A$40,0)),""))</f>
        <v/>
      </c>
      <c r="F764" s="20"/>
      <c r="G764" s="20"/>
      <c r="H764" s="20"/>
      <c r="I764" s="20"/>
      <c r="J764" s="20"/>
      <c r="K764" s="18" t="str">
        <f aca="false">IF(COUNT($F764:$J764)=0,"",SUM($F764:$J764))</f>
        <v/>
      </c>
      <c r="L764" s="18" t="str">
        <f aca="false">IF(COUNT($F764:$J764)=0,"",MAX($F764:$J764))</f>
        <v/>
      </c>
      <c r="M764" s="18" t="str">
        <f aca="false">IFERROR(IF(OR($C764="",COUNT($F764:$J764)&lt;3),"",IF(N(INDEX(Lists!$C$2:$C$40,MATCH($C764,Lists!$A$2:$A$40,0)))=0,"",IF(MIN($F764:$J764)&gt;=INDEX(Lists!$C$2:$C$40,MATCH($C764,Lists!$A$2:$A$40,0)),"LEVEL UP",""))),"")</f>
        <v/>
      </c>
      <c r="N764" s="20"/>
      <c r="O764" s="19"/>
    </row>
    <row r="765" customFormat="false" ht="15" hidden="false" customHeight="false" outlineLevel="0" collapsed="false">
      <c r="A765" s="17"/>
      <c r="B765" s="18" t="str">
        <f aca="false">IF($A765="","",TEXT($A765,"ddd"))</f>
        <v/>
      </c>
      <c r="C765" s="19"/>
      <c r="D765" s="19"/>
      <c r="E765" s="18" t="str">
        <f aca="false">IF($C765="","",IFERROR(INDEX(Lists!$B$2:$B$40,MATCH($C765,Lists!$A$2:$A$40,0)),""))</f>
        <v/>
      </c>
      <c r="F765" s="20"/>
      <c r="G765" s="20"/>
      <c r="H765" s="20"/>
      <c r="I765" s="20"/>
      <c r="J765" s="20"/>
      <c r="K765" s="18" t="str">
        <f aca="false">IF(COUNT($F765:$J765)=0,"",SUM($F765:$J765))</f>
        <v/>
      </c>
      <c r="L765" s="18" t="str">
        <f aca="false">IF(COUNT($F765:$J765)=0,"",MAX($F765:$J765))</f>
        <v/>
      </c>
      <c r="M765" s="18" t="str">
        <f aca="false">IFERROR(IF(OR($C765="",COUNT($F765:$J765)&lt;3),"",IF(N(INDEX(Lists!$C$2:$C$40,MATCH($C765,Lists!$A$2:$A$40,0)))=0,"",IF(MIN($F765:$J765)&gt;=INDEX(Lists!$C$2:$C$40,MATCH($C765,Lists!$A$2:$A$40,0)),"LEVEL UP",""))),"")</f>
        <v/>
      </c>
      <c r="N765" s="20"/>
      <c r="O765" s="19"/>
    </row>
    <row r="766" customFormat="false" ht="15" hidden="false" customHeight="false" outlineLevel="0" collapsed="false">
      <c r="A766" s="17"/>
      <c r="B766" s="18" t="str">
        <f aca="false">IF($A766="","",TEXT($A766,"ddd"))</f>
        <v/>
      </c>
      <c r="C766" s="19"/>
      <c r="D766" s="19"/>
      <c r="E766" s="18" t="str">
        <f aca="false">IF($C766="","",IFERROR(INDEX(Lists!$B$2:$B$40,MATCH($C766,Lists!$A$2:$A$40,0)),""))</f>
        <v/>
      </c>
      <c r="F766" s="20"/>
      <c r="G766" s="20"/>
      <c r="H766" s="20"/>
      <c r="I766" s="20"/>
      <c r="J766" s="20"/>
      <c r="K766" s="18" t="str">
        <f aca="false">IF(COUNT($F766:$J766)=0,"",SUM($F766:$J766))</f>
        <v/>
      </c>
      <c r="L766" s="18" t="str">
        <f aca="false">IF(COUNT($F766:$J766)=0,"",MAX($F766:$J766))</f>
        <v/>
      </c>
      <c r="M766" s="18" t="str">
        <f aca="false">IFERROR(IF(OR($C766="",COUNT($F766:$J766)&lt;3),"",IF(N(INDEX(Lists!$C$2:$C$40,MATCH($C766,Lists!$A$2:$A$40,0)))=0,"",IF(MIN($F766:$J766)&gt;=INDEX(Lists!$C$2:$C$40,MATCH($C766,Lists!$A$2:$A$40,0)),"LEVEL UP",""))),"")</f>
        <v/>
      </c>
      <c r="N766" s="20"/>
      <c r="O766" s="19"/>
    </row>
    <row r="767" customFormat="false" ht="15" hidden="false" customHeight="false" outlineLevel="0" collapsed="false">
      <c r="A767" s="17"/>
      <c r="B767" s="18" t="str">
        <f aca="false">IF($A767="","",TEXT($A767,"ddd"))</f>
        <v/>
      </c>
      <c r="C767" s="19"/>
      <c r="D767" s="19"/>
      <c r="E767" s="18" t="str">
        <f aca="false">IF($C767="","",IFERROR(INDEX(Lists!$B$2:$B$40,MATCH($C767,Lists!$A$2:$A$40,0)),""))</f>
        <v/>
      </c>
      <c r="F767" s="20"/>
      <c r="G767" s="20"/>
      <c r="H767" s="20"/>
      <c r="I767" s="20"/>
      <c r="J767" s="20"/>
      <c r="K767" s="18" t="str">
        <f aca="false">IF(COUNT($F767:$J767)=0,"",SUM($F767:$J767))</f>
        <v/>
      </c>
      <c r="L767" s="18" t="str">
        <f aca="false">IF(COUNT($F767:$J767)=0,"",MAX($F767:$J767))</f>
        <v/>
      </c>
      <c r="M767" s="18" t="str">
        <f aca="false">IFERROR(IF(OR($C767="",COUNT($F767:$J767)&lt;3),"",IF(N(INDEX(Lists!$C$2:$C$40,MATCH($C767,Lists!$A$2:$A$40,0)))=0,"",IF(MIN($F767:$J767)&gt;=INDEX(Lists!$C$2:$C$40,MATCH($C767,Lists!$A$2:$A$40,0)),"LEVEL UP",""))),"")</f>
        <v/>
      </c>
      <c r="N767" s="20"/>
      <c r="O767" s="19"/>
    </row>
    <row r="768" customFormat="false" ht="15" hidden="false" customHeight="false" outlineLevel="0" collapsed="false">
      <c r="A768" s="17"/>
      <c r="B768" s="18" t="str">
        <f aca="false">IF($A768="","",TEXT($A768,"ddd"))</f>
        <v/>
      </c>
      <c r="C768" s="19"/>
      <c r="D768" s="19"/>
      <c r="E768" s="18" t="str">
        <f aca="false">IF($C768="","",IFERROR(INDEX(Lists!$B$2:$B$40,MATCH($C768,Lists!$A$2:$A$40,0)),""))</f>
        <v/>
      </c>
      <c r="F768" s="20"/>
      <c r="G768" s="20"/>
      <c r="H768" s="20"/>
      <c r="I768" s="20"/>
      <c r="J768" s="20"/>
      <c r="K768" s="18" t="str">
        <f aca="false">IF(COUNT($F768:$J768)=0,"",SUM($F768:$J768))</f>
        <v/>
      </c>
      <c r="L768" s="18" t="str">
        <f aca="false">IF(COUNT($F768:$J768)=0,"",MAX($F768:$J768))</f>
        <v/>
      </c>
      <c r="M768" s="18" t="str">
        <f aca="false">IFERROR(IF(OR($C768="",COUNT($F768:$J768)&lt;3),"",IF(N(INDEX(Lists!$C$2:$C$40,MATCH($C768,Lists!$A$2:$A$40,0)))=0,"",IF(MIN($F768:$J768)&gt;=INDEX(Lists!$C$2:$C$40,MATCH($C768,Lists!$A$2:$A$40,0)),"LEVEL UP",""))),"")</f>
        <v/>
      </c>
      <c r="N768" s="20"/>
      <c r="O768" s="19"/>
    </row>
    <row r="769" customFormat="false" ht="15" hidden="false" customHeight="false" outlineLevel="0" collapsed="false">
      <c r="A769" s="17"/>
      <c r="B769" s="18" t="str">
        <f aca="false">IF($A769="","",TEXT($A769,"ddd"))</f>
        <v/>
      </c>
      <c r="C769" s="19"/>
      <c r="D769" s="19"/>
      <c r="E769" s="18" t="str">
        <f aca="false">IF($C769="","",IFERROR(INDEX(Lists!$B$2:$B$40,MATCH($C769,Lists!$A$2:$A$40,0)),""))</f>
        <v/>
      </c>
      <c r="F769" s="20"/>
      <c r="G769" s="20"/>
      <c r="H769" s="20"/>
      <c r="I769" s="20"/>
      <c r="J769" s="20"/>
      <c r="K769" s="18" t="str">
        <f aca="false">IF(COUNT($F769:$J769)=0,"",SUM($F769:$J769))</f>
        <v/>
      </c>
      <c r="L769" s="18" t="str">
        <f aca="false">IF(COUNT($F769:$J769)=0,"",MAX($F769:$J769))</f>
        <v/>
      </c>
      <c r="M769" s="18" t="str">
        <f aca="false">IFERROR(IF(OR($C769="",COUNT($F769:$J769)&lt;3),"",IF(N(INDEX(Lists!$C$2:$C$40,MATCH($C769,Lists!$A$2:$A$40,0)))=0,"",IF(MIN($F769:$J769)&gt;=INDEX(Lists!$C$2:$C$40,MATCH($C769,Lists!$A$2:$A$40,0)),"LEVEL UP",""))),"")</f>
        <v/>
      </c>
      <c r="N769" s="20"/>
      <c r="O769" s="19"/>
    </row>
    <row r="770" customFormat="false" ht="15" hidden="false" customHeight="false" outlineLevel="0" collapsed="false">
      <c r="A770" s="17"/>
      <c r="B770" s="18" t="str">
        <f aca="false">IF($A770="","",TEXT($A770,"ddd"))</f>
        <v/>
      </c>
      <c r="C770" s="19"/>
      <c r="D770" s="19"/>
      <c r="E770" s="18" t="str">
        <f aca="false">IF($C770="","",IFERROR(INDEX(Lists!$B$2:$B$40,MATCH($C770,Lists!$A$2:$A$40,0)),""))</f>
        <v/>
      </c>
      <c r="F770" s="20"/>
      <c r="G770" s="20"/>
      <c r="H770" s="20"/>
      <c r="I770" s="20"/>
      <c r="J770" s="20"/>
      <c r="K770" s="18" t="str">
        <f aca="false">IF(COUNT($F770:$J770)=0,"",SUM($F770:$J770))</f>
        <v/>
      </c>
      <c r="L770" s="18" t="str">
        <f aca="false">IF(COUNT($F770:$J770)=0,"",MAX($F770:$J770))</f>
        <v/>
      </c>
      <c r="M770" s="18" t="str">
        <f aca="false">IFERROR(IF(OR($C770="",COUNT($F770:$J770)&lt;3),"",IF(N(INDEX(Lists!$C$2:$C$40,MATCH($C770,Lists!$A$2:$A$40,0)))=0,"",IF(MIN($F770:$J770)&gt;=INDEX(Lists!$C$2:$C$40,MATCH($C770,Lists!$A$2:$A$40,0)),"LEVEL UP",""))),"")</f>
        <v/>
      </c>
      <c r="N770" s="20"/>
      <c r="O770" s="19"/>
    </row>
    <row r="771" customFormat="false" ht="15" hidden="false" customHeight="false" outlineLevel="0" collapsed="false">
      <c r="A771" s="17"/>
      <c r="B771" s="18" t="str">
        <f aca="false">IF($A771="","",TEXT($A771,"ddd"))</f>
        <v/>
      </c>
      <c r="C771" s="19"/>
      <c r="D771" s="19"/>
      <c r="E771" s="18" t="str">
        <f aca="false">IF($C771="","",IFERROR(INDEX(Lists!$B$2:$B$40,MATCH($C771,Lists!$A$2:$A$40,0)),""))</f>
        <v/>
      </c>
      <c r="F771" s="20"/>
      <c r="G771" s="20"/>
      <c r="H771" s="20"/>
      <c r="I771" s="20"/>
      <c r="J771" s="20"/>
      <c r="K771" s="18" t="str">
        <f aca="false">IF(COUNT($F771:$J771)=0,"",SUM($F771:$J771))</f>
        <v/>
      </c>
      <c r="L771" s="18" t="str">
        <f aca="false">IF(COUNT($F771:$J771)=0,"",MAX($F771:$J771))</f>
        <v/>
      </c>
      <c r="M771" s="18" t="str">
        <f aca="false">IFERROR(IF(OR($C771="",COUNT($F771:$J771)&lt;3),"",IF(N(INDEX(Lists!$C$2:$C$40,MATCH($C771,Lists!$A$2:$A$40,0)))=0,"",IF(MIN($F771:$J771)&gt;=INDEX(Lists!$C$2:$C$40,MATCH($C771,Lists!$A$2:$A$40,0)),"LEVEL UP",""))),"")</f>
        <v/>
      </c>
      <c r="N771" s="20"/>
      <c r="O771" s="19"/>
    </row>
    <row r="772" customFormat="false" ht="15" hidden="false" customHeight="false" outlineLevel="0" collapsed="false">
      <c r="A772" s="17"/>
      <c r="B772" s="18" t="str">
        <f aca="false">IF($A772="","",TEXT($A772,"ddd"))</f>
        <v/>
      </c>
      <c r="C772" s="19"/>
      <c r="D772" s="19"/>
      <c r="E772" s="18" t="str">
        <f aca="false">IF($C772="","",IFERROR(INDEX(Lists!$B$2:$B$40,MATCH($C772,Lists!$A$2:$A$40,0)),""))</f>
        <v/>
      </c>
      <c r="F772" s="20"/>
      <c r="G772" s="20"/>
      <c r="H772" s="20"/>
      <c r="I772" s="20"/>
      <c r="J772" s="20"/>
      <c r="K772" s="18" t="str">
        <f aca="false">IF(COUNT($F772:$J772)=0,"",SUM($F772:$J772))</f>
        <v/>
      </c>
      <c r="L772" s="18" t="str">
        <f aca="false">IF(COUNT($F772:$J772)=0,"",MAX($F772:$J772))</f>
        <v/>
      </c>
      <c r="M772" s="18" t="str">
        <f aca="false">IFERROR(IF(OR($C772="",COUNT($F772:$J772)&lt;3),"",IF(N(INDEX(Lists!$C$2:$C$40,MATCH($C772,Lists!$A$2:$A$40,0)))=0,"",IF(MIN($F772:$J772)&gt;=INDEX(Lists!$C$2:$C$40,MATCH($C772,Lists!$A$2:$A$40,0)),"LEVEL UP",""))),"")</f>
        <v/>
      </c>
      <c r="N772" s="20"/>
      <c r="O772" s="19"/>
    </row>
    <row r="773" customFormat="false" ht="15" hidden="false" customHeight="false" outlineLevel="0" collapsed="false">
      <c r="A773" s="17"/>
      <c r="B773" s="18" t="str">
        <f aca="false">IF($A773="","",TEXT($A773,"ddd"))</f>
        <v/>
      </c>
      <c r="C773" s="19"/>
      <c r="D773" s="19"/>
      <c r="E773" s="18" t="str">
        <f aca="false">IF($C773="","",IFERROR(INDEX(Lists!$B$2:$B$40,MATCH($C773,Lists!$A$2:$A$40,0)),""))</f>
        <v/>
      </c>
      <c r="F773" s="20"/>
      <c r="G773" s="20"/>
      <c r="H773" s="20"/>
      <c r="I773" s="20"/>
      <c r="J773" s="20"/>
      <c r="K773" s="18" t="str">
        <f aca="false">IF(COUNT($F773:$J773)=0,"",SUM($F773:$J773))</f>
        <v/>
      </c>
      <c r="L773" s="18" t="str">
        <f aca="false">IF(COUNT($F773:$J773)=0,"",MAX($F773:$J773))</f>
        <v/>
      </c>
      <c r="M773" s="18" t="str">
        <f aca="false">IFERROR(IF(OR($C773="",COUNT($F773:$J773)&lt;3),"",IF(N(INDEX(Lists!$C$2:$C$40,MATCH($C773,Lists!$A$2:$A$40,0)))=0,"",IF(MIN($F773:$J773)&gt;=INDEX(Lists!$C$2:$C$40,MATCH($C773,Lists!$A$2:$A$40,0)),"LEVEL UP",""))),"")</f>
        <v/>
      </c>
      <c r="N773" s="20"/>
      <c r="O773" s="19"/>
    </row>
    <row r="774" customFormat="false" ht="15" hidden="false" customHeight="false" outlineLevel="0" collapsed="false">
      <c r="A774" s="17"/>
      <c r="B774" s="18" t="str">
        <f aca="false">IF($A774="","",TEXT($A774,"ddd"))</f>
        <v/>
      </c>
      <c r="C774" s="19"/>
      <c r="D774" s="19"/>
      <c r="E774" s="18" t="str">
        <f aca="false">IF($C774="","",IFERROR(INDEX(Lists!$B$2:$B$40,MATCH($C774,Lists!$A$2:$A$40,0)),""))</f>
        <v/>
      </c>
      <c r="F774" s="20"/>
      <c r="G774" s="20"/>
      <c r="H774" s="20"/>
      <c r="I774" s="20"/>
      <c r="J774" s="20"/>
      <c r="K774" s="18" t="str">
        <f aca="false">IF(COUNT($F774:$J774)=0,"",SUM($F774:$J774))</f>
        <v/>
      </c>
      <c r="L774" s="18" t="str">
        <f aca="false">IF(COUNT($F774:$J774)=0,"",MAX($F774:$J774))</f>
        <v/>
      </c>
      <c r="M774" s="18" t="str">
        <f aca="false">IFERROR(IF(OR($C774="",COUNT($F774:$J774)&lt;3),"",IF(N(INDEX(Lists!$C$2:$C$40,MATCH($C774,Lists!$A$2:$A$40,0)))=0,"",IF(MIN($F774:$J774)&gt;=INDEX(Lists!$C$2:$C$40,MATCH($C774,Lists!$A$2:$A$40,0)),"LEVEL UP",""))),"")</f>
        <v/>
      </c>
      <c r="N774" s="20"/>
      <c r="O774" s="19"/>
    </row>
    <row r="775" customFormat="false" ht="15" hidden="false" customHeight="false" outlineLevel="0" collapsed="false">
      <c r="A775" s="17"/>
      <c r="B775" s="18" t="str">
        <f aca="false">IF($A775="","",TEXT($A775,"ddd"))</f>
        <v/>
      </c>
      <c r="C775" s="19"/>
      <c r="D775" s="19"/>
      <c r="E775" s="18" t="str">
        <f aca="false">IF($C775="","",IFERROR(INDEX(Lists!$B$2:$B$40,MATCH($C775,Lists!$A$2:$A$40,0)),""))</f>
        <v/>
      </c>
      <c r="F775" s="20"/>
      <c r="G775" s="20"/>
      <c r="H775" s="20"/>
      <c r="I775" s="20"/>
      <c r="J775" s="20"/>
      <c r="K775" s="18" t="str">
        <f aca="false">IF(COUNT($F775:$J775)=0,"",SUM($F775:$J775))</f>
        <v/>
      </c>
      <c r="L775" s="18" t="str">
        <f aca="false">IF(COUNT($F775:$J775)=0,"",MAX($F775:$J775))</f>
        <v/>
      </c>
      <c r="M775" s="18" t="str">
        <f aca="false">IFERROR(IF(OR($C775="",COUNT($F775:$J775)&lt;3),"",IF(N(INDEX(Lists!$C$2:$C$40,MATCH($C775,Lists!$A$2:$A$40,0)))=0,"",IF(MIN($F775:$J775)&gt;=INDEX(Lists!$C$2:$C$40,MATCH($C775,Lists!$A$2:$A$40,0)),"LEVEL UP",""))),"")</f>
        <v/>
      </c>
      <c r="N775" s="20"/>
      <c r="O775" s="19"/>
    </row>
    <row r="776" customFormat="false" ht="15" hidden="false" customHeight="false" outlineLevel="0" collapsed="false">
      <c r="A776" s="17"/>
      <c r="B776" s="18" t="str">
        <f aca="false">IF($A776="","",TEXT($A776,"ddd"))</f>
        <v/>
      </c>
      <c r="C776" s="19"/>
      <c r="D776" s="19"/>
      <c r="E776" s="18" t="str">
        <f aca="false">IF($C776="","",IFERROR(INDEX(Lists!$B$2:$B$40,MATCH($C776,Lists!$A$2:$A$40,0)),""))</f>
        <v/>
      </c>
      <c r="F776" s="20"/>
      <c r="G776" s="20"/>
      <c r="H776" s="20"/>
      <c r="I776" s="20"/>
      <c r="J776" s="20"/>
      <c r="K776" s="18" t="str">
        <f aca="false">IF(COUNT($F776:$J776)=0,"",SUM($F776:$J776))</f>
        <v/>
      </c>
      <c r="L776" s="18" t="str">
        <f aca="false">IF(COUNT($F776:$J776)=0,"",MAX($F776:$J776))</f>
        <v/>
      </c>
      <c r="M776" s="18" t="str">
        <f aca="false">IFERROR(IF(OR($C776="",COUNT($F776:$J776)&lt;3),"",IF(N(INDEX(Lists!$C$2:$C$40,MATCH($C776,Lists!$A$2:$A$40,0)))=0,"",IF(MIN($F776:$J776)&gt;=INDEX(Lists!$C$2:$C$40,MATCH($C776,Lists!$A$2:$A$40,0)),"LEVEL UP",""))),"")</f>
        <v/>
      </c>
      <c r="N776" s="20"/>
      <c r="O776" s="19"/>
    </row>
    <row r="777" customFormat="false" ht="15" hidden="false" customHeight="false" outlineLevel="0" collapsed="false">
      <c r="A777" s="17"/>
      <c r="B777" s="18" t="str">
        <f aca="false">IF($A777="","",TEXT($A777,"ddd"))</f>
        <v/>
      </c>
      <c r="C777" s="19"/>
      <c r="D777" s="19"/>
      <c r="E777" s="18" t="str">
        <f aca="false">IF($C777="","",IFERROR(INDEX(Lists!$B$2:$B$40,MATCH($C777,Lists!$A$2:$A$40,0)),""))</f>
        <v/>
      </c>
      <c r="F777" s="20"/>
      <c r="G777" s="20"/>
      <c r="H777" s="20"/>
      <c r="I777" s="20"/>
      <c r="J777" s="20"/>
      <c r="K777" s="18" t="str">
        <f aca="false">IF(COUNT($F777:$J777)=0,"",SUM($F777:$J777))</f>
        <v/>
      </c>
      <c r="L777" s="18" t="str">
        <f aca="false">IF(COUNT($F777:$J777)=0,"",MAX($F777:$J777))</f>
        <v/>
      </c>
      <c r="M777" s="18" t="str">
        <f aca="false">IFERROR(IF(OR($C777="",COUNT($F777:$J777)&lt;3),"",IF(N(INDEX(Lists!$C$2:$C$40,MATCH($C777,Lists!$A$2:$A$40,0)))=0,"",IF(MIN($F777:$J777)&gt;=INDEX(Lists!$C$2:$C$40,MATCH($C777,Lists!$A$2:$A$40,0)),"LEVEL UP",""))),"")</f>
        <v/>
      </c>
      <c r="N777" s="20"/>
      <c r="O777" s="19"/>
    </row>
    <row r="778" customFormat="false" ht="15" hidden="false" customHeight="false" outlineLevel="0" collapsed="false">
      <c r="A778" s="17"/>
      <c r="B778" s="18" t="str">
        <f aca="false">IF($A778="","",TEXT($A778,"ddd"))</f>
        <v/>
      </c>
      <c r="C778" s="19"/>
      <c r="D778" s="19"/>
      <c r="E778" s="18" t="str">
        <f aca="false">IF($C778="","",IFERROR(INDEX(Lists!$B$2:$B$40,MATCH($C778,Lists!$A$2:$A$40,0)),""))</f>
        <v/>
      </c>
      <c r="F778" s="20"/>
      <c r="G778" s="20"/>
      <c r="H778" s="20"/>
      <c r="I778" s="20"/>
      <c r="J778" s="20"/>
      <c r="K778" s="18" t="str">
        <f aca="false">IF(COUNT($F778:$J778)=0,"",SUM($F778:$J778))</f>
        <v/>
      </c>
      <c r="L778" s="18" t="str">
        <f aca="false">IF(COUNT($F778:$J778)=0,"",MAX($F778:$J778))</f>
        <v/>
      </c>
      <c r="M778" s="18" t="str">
        <f aca="false">IFERROR(IF(OR($C778="",COUNT($F778:$J778)&lt;3),"",IF(N(INDEX(Lists!$C$2:$C$40,MATCH($C778,Lists!$A$2:$A$40,0)))=0,"",IF(MIN($F778:$J778)&gt;=INDEX(Lists!$C$2:$C$40,MATCH($C778,Lists!$A$2:$A$40,0)),"LEVEL UP",""))),"")</f>
        <v/>
      </c>
      <c r="N778" s="20"/>
      <c r="O778" s="19"/>
    </row>
    <row r="779" customFormat="false" ht="15" hidden="false" customHeight="false" outlineLevel="0" collapsed="false">
      <c r="A779" s="17"/>
      <c r="B779" s="18" t="str">
        <f aca="false">IF($A779="","",TEXT($A779,"ddd"))</f>
        <v/>
      </c>
      <c r="C779" s="19"/>
      <c r="D779" s="19"/>
      <c r="E779" s="18" t="str">
        <f aca="false">IF($C779="","",IFERROR(INDEX(Lists!$B$2:$B$40,MATCH($C779,Lists!$A$2:$A$40,0)),""))</f>
        <v/>
      </c>
      <c r="F779" s="20"/>
      <c r="G779" s="20"/>
      <c r="H779" s="20"/>
      <c r="I779" s="20"/>
      <c r="J779" s="20"/>
      <c r="K779" s="18" t="str">
        <f aca="false">IF(COUNT($F779:$J779)=0,"",SUM($F779:$J779))</f>
        <v/>
      </c>
      <c r="L779" s="18" t="str">
        <f aca="false">IF(COUNT($F779:$J779)=0,"",MAX($F779:$J779))</f>
        <v/>
      </c>
      <c r="M779" s="18" t="str">
        <f aca="false">IFERROR(IF(OR($C779="",COUNT($F779:$J779)&lt;3),"",IF(N(INDEX(Lists!$C$2:$C$40,MATCH($C779,Lists!$A$2:$A$40,0)))=0,"",IF(MIN($F779:$J779)&gt;=INDEX(Lists!$C$2:$C$40,MATCH($C779,Lists!$A$2:$A$40,0)),"LEVEL UP",""))),"")</f>
        <v/>
      </c>
      <c r="N779" s="20"/>
      <c r="O779" s="19"/>
    </row>
    <row r="780" customFormat="false" ht="15" hidden="false" customHeight="false" outlineLevel="0" collapsed="false">
      <c r="A780" s="17"/>
      <c r="B780" s="18" t="str">
        <f aca="false">IF($A780="","",TEXT($A780,"ddd"))</f>
        <v/>
      </c>
      <c r="C780" s="19"/>
      <c r="D780" s="19"/>
      <c r="E780" s="18" t="str">
        <f aca="false">IF($C780="","",IFERROR(INDEX(Lists!$B$2:$B$40,MATCH($C780,Lists!$A$2:$A$40,0)),""))</f>
        <v/>
      </c>
      <c r="F780" s="20"/>
      <c r="G780" s="20"/>
      <c r="H780" s="20"/>
      <c r="I780" s="20"/>
      <c r="J780" s="20"/>
      <c r="K780" s="18" t="str">
        <f aca="false">IF(COUNT($F780:$J780)=0,"",SUM($F780:$J780))</f>
        <v/>
      </c>
      <c r="L780" s="18" t="str">
        <f aca="false">IF(COUNT($F780:$J780)=0,"",MAX($F780:$J780))</f>
        <v/>
      </c>
      <c r="M780" s="18" t="str">
        <f aca="false">IFERROR(IF(OR($C780="",COUNT($F780:$J780)&lt;3),"",IF(N(INDEX(Lists!$C$2:$C$40,MATCH($C780,Lists!$A$2:$A$40,0)))=0,"",IF(MIN($F780:$J780)&gt;=INDEX(Lists!$C$2:$C$40,MATCH($C780,Lists!$A$2:$A$40,0)),"LEVEL UP",""))),"")</f>
        <v/>
      </c>
      <c r="N780" s="20"/>
      <c r="O780" s="19"/>
    </row>
    <row r="781" customFormat="false" ht="15" hidden="false" customHeight="false" outlineLevel="0" collapsed="false">
      <c r="A781" s="17"/>
      <c r="B781" s="18" t="str">
        <f aca="false">IF($A781="","",TEXT($A781,"ddd"))</f>
        <v/>
      </c>
      <c r="C781" s="19"/>
      <c r="D781" s="19"/>
      <c r="E781" s="18" t="str">
        <f aca="false">IF($C781="","",IFERROR(INDEX(Lists!$B$2:$B$40,MATCH($C781,Lists!$A$2:$A$40,0)),""))</f>
        <v/>
      </c>
      <c r="F781" s="20"/>
      <c r="G781" s="20"/>
      <c r="H781" s="20"/>
      <c r="I781" s="20"/>
      <c r="J781" s="20"/>
      <c r="K781" s="18" t="str">
        <f aca="false">IF(COUNT($F781:$J781)=0,"",SUM($F781:$J781))</f>
        <v/>
      </c>
      <c r="L781" s="18" t="str">
        <f aca="false">IF(COUNT($F781:$J781)=0,"",MAX($F781:$J781))</f>
        <v/>
      </c>
      <c r="M781" s="18" t="str">
        <f aca="false">IFERROR(IF(OR($C781="",COUNT($F781:$J781)&lt;3),"",IF(N(INDEX(Lists!$C$2:$C$40,MATCH($C781,Lists!$A$2:$A$40,0)))=0,"",IF(MIN($F781:$J781)&gt;=INDEX(Lists!$C$2:$C$40,MATCH($C781,Lists!$A$2:$A$40,0)),"LEVEL UP",""))),"")</f>
        <v/>
      </c>
      <c r="N781" s="20"/>
      <c r="O781" s="19"/>
    </row>
    <row r="782" customFormat="false" ht="15" hidden="false" customHeight="false" outlineLevel="0" collapsed="false">
      <c r="A782" s="17"/>
      <c r="B782" s="18" t="str">
        <f aca="false">IF($A782="","",TEXT($A782,"ddd"))</f>
        <v/>
      </c>
      <c r="C782" s="19"/>
      <c r="D782" s="19"/>
      <c r="E782" s="18" t="str">
        <f aca="false">IF($C782="","",IFERROR(INDEX(Lists!$B$2:$B$40,MATCH($C782,Lists!$A$2:$A$40,0)),""))</f>
        <v/>
      </c>
      <c r="F782" s="20"/>
      <c r="G782" s="20"/>
      <c r="H782" s="20"/>
      <c r="I782" s="20"/>
      <c r="J782" s="20"/>
      <c r="K782" s="18" t="str">
        <f aca="false">IF(COUNT($F782:$J782)=0,"",SUM($F782:$J782))</f>
        <v/>
      </c>
      <c r="L782" s="18" t="str">
        <f aca="false">IF(COUNT($F782:$J782)=0,"",MAX($F782:$J782))</f>
        <v/>
      </c>
      <c r="M782" s="18" t="str">
        <f aca="false">IFERROR(IF(OR($C782="",COUNT($F782:$J782)&lt;3),"",IF(N(INDEX(Lists!$C$2:$C$40,MATCH($C782,Lists!$A$2:$A$40,0)))=0,"",IF(MIN($F782:$J782)&gt;=INDEX(Lists!$C$2:$C$40,MATCH($C782,Lists!$A$2:$A$40,0)),"LEVEL UP",""))),"")</f>
        <v/>
      </c>
      <c r="N782" s="20"/>
      <c r="O782" s="19"/>
    </row>
    <row r="783" customFormat="false" ht="15" hidden="false" customHeight="false" outlineLevel="0" collapsed="false">
      <c r="A783" s="17"/>
      <c r="B783" s="18" t="str">
        <f aca="false">IF($A783="","",TEXT($A783,"ddd"))</f>
        <v/>
      </c>
      <c r="C783" s="19"/>
      <c r="D783" s="19"/>
      <c r="E783" s="18" t="str">
        <f aca="false">IF($C783="","",IFERROR(INDEX(Lists!$B$2:$B$40,MATCH($C783,Lists!$A$2:$A$40,0)),""))</f>
        <v/>
      </c>
      <c r="F783" s="20"/>
      <c r="G783" s="20"/>
      <c r="H783" s="20"/>
      <c r="I783" s="20"/>
      <c r="J783" s="20"/>
      <c r="K783" s="18" t="str">
        <f aca="false">IF(COUNT($F783:$J783)=0,"",SUM($F783:$J783))</f>
        <v/>
      </c>
      <c r="L783" s="18" t="str">
        <f aca="false">IF(COUNT($F783:$J783)=0,"",MAX($F783:$J783))</f>
        <v/>
      </c>
      <c r="M783" s="18" t="str">
        <f aca="false">IFERROR(IF(OR($C783="",COUNT($F783:$J783)&lt;3),"",IF(N(INDEX(Lists!$C$2:$C$40,MATCH($C783,Lists!$A$2:$A$40,0)))=0,"",IF(MIN($F783:$J783)&gt;=INDEX(Lists!$C$2:$C$40,MATCH($C783,Lists!$A$2:$A$40,0)),"LEVEL UP",""))),"")</f>
        <v/>
      </c>
      <c r="N783" s="20"/>
      <c r="O783" s="19"/>
    </row>
    <row r="784" customFormat="false" ht="15" hidden="false" customHeight="false" outlineLevel="0" collapsed="false">
      <c r="A784" s="17"/>
      <c r="B784" s="18" t="str">
        <f aca="false">IF($A784="","",TEXT($A784,"ddd"))</f>
        <v/>
      </c>
      <c r="C784" s="19"/>
      <c r="D784" s="19"/>
      <c r="E784" s="18" t="str">
        <f aca="false">IF($C784="","",IFERROR(INDEX(Lists!$B$2:$B$40,MATCH($C784,Lists!$A$2:$A$40,0)),""))</f>
        <v/>
      </c>
      <c r="F784" s="20"/>
      <c r="G784" s="20"/>
      <c r="H784" s="20"/>
      <c r="I784" s="20"/>
      <c r="J784" s="20"/>
      <c r="K784" s="18" t="str">
        <f aca="false">IF(COUNT($F784:$J784)=0,"",SUM($F784:$J784))</f>
        <v/>
      </c>
      <c r="L784" s="18" t="str">
        <f aca="false">IF(COUNT($F784:$J784)=0,"",MAX($F784:$J784))</f>
        <v/>
      </c>
      <c r="M784" s="18" t="str">
        <f aca="false">IFERROR(IF(OR($C784="",COUNT($F784:$J784)&lt;3),"",IF(N(INDEX(Lists!$C$2:$C$40,MATCH($C784,Lists!$A$2:$A$40,0)))=0,"",IF(MIN($F784:$J784)&gt;=INDEX(Lists!$C$2:$C$40,MATCH($C784,Lists!$A$2:$A$40,0)),"LEVEL UP",""))),"")</f>
        <v/>
      </c>
      <c r="N784" s="20"/>
      <c r="O784" s="19"/>
    </row>
    <row r="785" customFormat="false" ht="15" hidden="false" customHeight="false" outlineLevel="0" collapsed="false">
      <c r="A785" s="17"/>
      <c r="B785" s="18" t="str">
        <f aca="false">IF($A785="","",TEXT($A785,"ddd"))</f>
        <v/>
      </c>
      <c r="C785" s="19"/>
      <c r="D785" s="19"/>
      <c r="E785" s="18" t="str">
        <f aca="false">IF($C785="","",IFERROR(INDEX(Lists!$B$2:$B$40,MATCH($C785,Lists!$A$2:$A$40,0)),""))</f>
        <v/>
      </c>
      <c r="F785" s="20"/>
      <c r="G785" s="20"/>
      <c r="H785" s="20"/>
      <c r="I785" s="20"/>
      <c r="J785" s="20"/>
      <c r="K785" s="18" t="str">
        <f aca="false">IF(COUNT($F785:$J785)=0,"",SUM($F785:$J785))</f>
        <v/>
      </c>
      <c r="L785" s="18" t="str">
        <f aca="false">IF(COUNT($F785:$J785)=0,"",MAX($F785:$J785))</f>
        <v/>
      </c>
      <c r="M785" s="18" t="str">
        <f aca="false">IFERROR(IF(OR($C785="",COUNT($F785:$J785)&lt;3),"",IF(N(INDEX(Lists!$C$2:$C$40,MATCH($C785,Lists!$A$2:$A$40,0)))=0,"",IF(MIN($F785:$J785)&gt;=INDEX(Lists!$C$2:$C$40,MATCH($C785,Lists!$A$2:$A$40,0)),"LEVEL UP",""))),"")</f>
        <v/>
      </c>
      <c r="N785" s="20"/>
      <c r="O785" s="19"/>
    </row>
    <row r="786" customFormat="false" ht="15" hidden="false" customHeight="false" outlineLevel="0" collapsed="false">
      <c r="A786" s="17"/>
      <c r="B786" s="18" t="str">
        <f aca="false">IF($A786="","",TEXT($A786,"ddd"))</f>
        <v/>
      </c>
      <c r="C786" s="19"/>
      <c r="D786" s="19"/>
      <c r="E786" s="18" t="str">
        <f aca="false">IF($C786="","",IFERROR(INDEX(Lists!$B$2:$B$40,MATCH($C786,Lists!$A$2:$A$40,0)),""))</f>
        <v/>
      </c>
      <c r="F786" s="20"/>
      <c r="G786" s="20"/>
      <c r="H786" s="20"/>
      <c r="I786" s="20"/>
      <c r="J786" s="20"/>
      <c r="K786" s="18" t="str">
        <f aca="false">IF(COUNT($F786:$J786)=0,"",SUM($F786:$J786))</f>
        <v/>
      </c>
      <c r="L786" s="18" t="str">
        <f aca="false">IF(COUNT($F786:$J786)=0,"",MAX($F786:$J786))</f>
        <v/>
      </c>
      <c r="M786" s="18" t="str">
        <f aca="false">IFERROR(IF(OR($C786="",COUNT($F786:$J786)&lt;3),"",IF(N(INDEX(Lists!$C$2:$C$40,MATCH($C786,Lists!$A$2:$A$40,0)))=0,"",IF(MIN($F786:$J786)&gt;=INDEX(Lists!$C$2:$C$40,MATCH($C786,Lists!$A$2:$A$40,0)),"LEVEL UP",""))),"")</f>
        <v/>
      </c>
      <c r="N786" s="20"/>
      <c r="O786" s="19"/>
    </row>
    <row r="787" customFormat="false" ht="15" hidden="false" customHeight="false" outlineLevel="0" collapsed="false">
      <c r="A787" s="17"/>
      <c r="B787" s="18" t="str">
        <f aca="false">IF($A787="","",TEXT($A787,"ddd"))</f>
        <v/>
      </c>
      <c r="C787" s="19"/>
      <c r="D787" s="19"/>
      <c r="E787" s="18" t="str">
        <f aca="false">IF($C787="","",IFERROR(INDEX(Lists!$B$2:$B$40,MATCH($C787,Lists!$A$2:$A$40,0)),""))</f>
        <v/>
      </c>
      <c r="F787" s="20"/>
      <c r="G787" s="20"/>
      <c r="H787" s="20"/>
      <c r="I787" s="20"/>
      <c r="J787" s="20"/>
      <c r="K787" s="18" t="str">
        <f aca="false">IF(COUNT($F787:$J787)=0,"",SUM($F787:$J787))</f>
        <v/>
      </c>
      <c r="L787" s="18" t="str">
        <f aca="false">IF(COUNT($F787:$J787)=0,"",MAX($F787:$J787))</f>
        <v/>
      </c>
      <c r="M787" s="18" t="str">
        <f aca="false">IFERROR(IF(OR($C787="",COUNT($F787:$J787)&lt;3),"",IF(N(INDEX(Lists!$C$2:$C$40,MATCH($C787,Lists!$A$2:$A$40,0)))=0,"",IF(MIN($F787:$J787)&gt;=INDEX(Lists!$C$2:$C$40,MATCH($C787,Lists!$A$2:$A$40,0)),"LEVEL UP",""))),"")</f>
        <v/>
      </c>
      <c r="N787" s="20"/>
      <c r="O787" s="19"/>
    </row>
    <row r="788" customFormat="false" ht="15" hidden="false" customHeight="false" outlineLevel="0" collapsed="false">
      <c r="A788" s="17"/>
      <c r="B788" s="18" t="str">
        <f aca="false">IF($A788="","",TEXT($A788,"ddd"))</f>
        <v/>
      </c>
      <c r="C788" s="19"/>
      <c r="D788" s="19"/>
      <c r="E788" s="18" t="str">
        <f aca="false">IF($C788="","",IFERROR(INDEX(Lists!$B$2:$B$40,MATCH($C788,Lists!$A$2:$A$40,0)),""))</f>
        <v/>
      </c>
      <c r="F788" s="20"/>
      <c r="G788" s="20"/>
      <c r="H788" s="20"/>
      <c r="I788" s="20"/>
      <c r="J788" s="20"/>
      <c r="K788" s="18" t="str">
        <f aca="false">IF(COUNT($F788:$J788)=0,"",SUM($F788:$J788))</f>
        <v/>
      </c>
      <c r="L788" s="18" t="str">
        <f aca="false">IF(COUNT($F788:$J788)=0,"",MAX($F788:$J788))</f>
        <v/>
      </c>
      <c r="M788" s="18" t="str">
        <f aca="false">IFERROR(IF(OR($C788="",COUNT($F788:$J788)&lt;3),"",IF(N(INDEX(Lists!$C$2:$C$40,MATCH($C788,Lists!$A$2:$A$40,0)))=0,"",IF(MIN($F788:$J788)&gt;=INDEX(Lists!$C$2:$C$40,MATCH($C788,Lists!$A$2:$A$40,0)),"LEVEL UP",""))),"")</f>
        <v/>
      </c>
      <c r="N788" s="20"/>
      <c r="O788" s="19"/>
    </row>
    <row r="789" customFormat="false" ht="15" hidden="false" customHeight="false" outlineLevel="0" collapsed="false">
      <c r="A789" s="17"/>
      <c r="B789" s="18" t="str">
        <f aca="false">IF($A789="","",TEXT($A789,"ddd"))</f>
        <v/>
      </c>
      <c r="C789" s="19"/>
      <c r="D789" s="19"/>
      <c r="E789" s="18" t="str">
        <f aca="false">IF($C789="","",IFERROR(INDEX(Lists!$B$2:$B$40,MATCH($C789,Lists!$A$2:$A$40,0)),""))</f>
        <v/>
      </c>
      <c r="F789" s="20"/>
      <c r="G789" s="20"/>
      <c r="H789" s="20"/>
      <c r="I789" s="20"/>
      <c r="J789" s="20"/>
      <c r="K789" s="18" t="str">
        <f aca="false">IF(COUNT($F789:$J789)=0,"",SUM($F789:$J789))</f>
        <v/>
      </c>
      <c r="L789" s="18" t="str">
        <f aca="false">IF(COUNT($F789:$J789)=0,"",MAX($F789:$J789))</f>
        <v/>
      </c>
      <c r="M789" s="18" t="str">
        <f aca="false">IFERROR(IF(OR($C789="",COUNT($F789:$J789)&lt;3),"",IF(N(INDEX(Lists!$C$2:$C$40,MATCH($C789,Lists!$A$2:$A$40,0)))=0,"",IF(MIN($F789:$J789)&gt;=INDEX(Lists!$C$2:$C$40,MATCH($C789,Lists!$A$2:$A$40,0)),"LEVEL UP",""))),"")</f>
        <v/>
      </c>
      <c r="N789" s="20"/>
      <c r="O789" s="19"/>
    </row>
    <row r="790" customFormat="false" ht="15" hidden="false" customHeight="false" outlineLevel="0" collapsed="false">
      <c r="A790" s="17"/>
      <c r="B790" s="18" t="str">
        <f aca="false">IF($A790="","",TEXT($A790,"ddd"))</f>
        <v/>
      </c>
      <c r="C790" s="19"/>
      <c r="D790" s="19"/>
      <c r="E790" s="18" t="str">
        <f aca="false">IF($C790="","",IFERROR(INDEX(Lists!$B$2:$B$40,MATCH($C790,Lists!$A$2:$A$40,0)),""))</f>
        <v/>
      </c>
      <c r="F790" s="20"/>
      <c r="G790" s="20"/>
      <c r="H790" s="20"/>
      <c r="I790" s="20"/>
      <c r="J790" s="20"/>
      <c r="K790" s="18" t="str">
        <f aca="false">IF(COUNT($F790:$J790)=0,"",SUM($F790:$J790))</f>
        <v/>
      </c>
      <c r="L790" s="18" t="str">
        <f aca="false">IF(COUNT($F790:$J790)=0,"",MAX($F790:$J790))</f>
        <v/>
      </c>
      <c r="M790" s="18" t="str">
        <f aca="false">IFERROR(IF(OR($C790="",COUNT($F790:$J790)&lt;3),"",IF(N(INDEX(Lists!$C$2:$C$40,MATCH($C790,Lists!$A$2:$A$40,0)))=0,"",IF(MIN($F790:$J790)&gt;=INDEX(Lists!$C$2:$C$40,MATCH($C790,Lists!$A$2:$A$40,0)),"LEVEL UP",""))),"")</f>
        <v/>
      </c>
      <c r="N790" s="20"/>
      <c r="O790" s="19"/>
    </row>
    <row r="791" customFormat="false" ht="15" hidden="false" customHeight="false" outlineLevel="0" collapsed="false">
      <c r="A791" s="17"/>
      <c r="B791" s="18" t="str">
        <f aca="false">IF($A791="","",TEXT($A791,"ddd"))</f>
        <v/>
      </c>
      <c r="C791" s="19"/>
      <c r="D791" s="19"/>
      <c r="E791" s="18" t="str">
        <f aca="false">IF($C791="","",IFERROR(INDEX(Lists!$B$2:$B$40,MATCH($C791,Lists!$A$2:$A$40,0)),""))</f>
        <v/>
      </c>
      <c r="F791" s="20"/>
      <c r="G791" s="20"/>
      <c r="H791" s="20"/>
      <c r="I791" s="20"/>
      <c r="J791" s="20"/>
      <c r="K791" s="18" t="str">
        <f aca="false">IF(COUNT($F791:$J791)=0,"",SUM($F791:$J791))</f>
        <v/>
      </c>
      <c r="L791" s="18" t="str">
        <f aca="false">IF(COUNT($F791:$J791)=0,"",MAX($F791:$J791))</f>
        <v/>
      </c>
      <c r="M791" s="18" t="str">
        <f aca="false">IFERROR(IF(OR($C791="",COUNT($F791:$J791)&lt;3),"",IF(N(INDEX(Lists!$C$2:$C$40,MATCH($C791,Lists!$A$2:$A$40,0)))=0,"",IF(MIN($F791:$J791)&gt;=INDEX(Lists!$C$2:$C$40,MATCH($C791,Lists!$A$2:$A$40,0)),"LEVEL UP",""))),"")</f>
        <v/>
      </c>
      <c r="N791" s="20"/>
      <c r="O791" s="19"/>
    </row>
    <row r="792" customFormat="false" ht="15" hidden="false" customHeight="false" outlineLevel="0" collapsed="false">
      <c r="A792" s="17"/>
      <c r="B792" s="18" t="str">
        <f aca="false">IF($A792="","",TEXT($A792,"ddd"))</f>
        <v/>
      </c>
      <c r="C792" s="19"/>
      <c r="D792" s="19"/>
      <c r="E792" s="18" t="str">
        <f aca="false">IF($C792="","",IFERROR(INDEX(Lists!$B$2:$B$40,MATCH($C792,Lists!$A$2:$A$40,0)),""))</f>
        <v/>
      </c>
      <c r="F792" s="20"/>
      <c r="G792" s="20"/>
      <c r="H792" s="20"/>
      <c r="I792" s="20"/>
      <c r="J792" s="20"/>
      <c r="K792" s="18" t="str">
        <f aca="false">IF(COUNT($F792:$J792)=0,"",SUM($F792:$J792))</f>
        <v/>
      </c>
      <c r="L792" s="18" t="str">
        <f aca="false">IF(COUNT($F792:$J792)=0,"",MAX($F792:$J792))</f>
        <v/>
      </c>
      <c r="M792" s="18" t="str">
        <f aca="false">IFERROR(IF(OR($C792="",COUNT($F792:$J792)&lt;3),"",IF(N(INDEX(Lists!$C$2:$C$40,MATCH($C792,Lists!$A$2:$A$40,0)))=0,"",IF(MIN($F792:$J792)&gt;=INDEX(Lists!$C$2:$C$40,MATCH($C792,Lists!$A$2:$A$40,0)),"LEVEL UP",""))),"")</f>
        <v/>
      </c>
      <c r="N792" s="20"/>
      <c r="O792" s="19"/>
    </row>
    <row r="793" customFormat="false" ht="15" hidden="false" customHeight="false" outlineLevel="0" collapsed="false">
      <c r="A793" s="17"/>
      <c r="B793" s="18" t="str">
        <f aca="false">IF($A793="","",TEXT($A793,"ddd"))</f>
        <v/>
      </c>
      <c r="C793" s="19"/>
      <c r="D793" s="19"/>
      <c r="E793" s="18" t="str">
        <f aca="false">IF($C793="","",IFERROR(INDEX(Lists!$B$2:$B$40,MATCH($C793,Lists!$A$2:$A$40,0)),""))</f>
        <v/>
      </c>
      <c r="F793" s="20"/>
      <c r="G793" s="20"/>
      <c r="H793" s="20"/>
      <c r="I793" s="20"/>
      <c r="J793" s="20"/>
      <c r="K793" s="18" t="str">
        <f aca="false">IF(COUNT($F793:$J793)=0,"",SUM($F793:$J793))</f>
        <v/>
      </c>
      <c r="L793" s="18" t="str">
        <f aca="false">IF(COUNT($F793:$J793)=0,"",MAX($F793:$J793))</f>
        <v/>
      </c>
      <c r="M793" s="18" t="str">
        <f aca="false">IFERROR(IF(OR($C793="",COUNT($F793:$J793)&lt;3),"",IF(N(INDEX(Lists!$C$2:$C$40,MATCH($C793,Lists!$A$2:$A$40,0)))=0,"",IF(MIN($F793:$J793)&gt;=INDEX(Lists!$C$2:$C$40,MATCH($C793,Lists!$A$2:$A$40,0)),"LEVEL UP",""))),"")</f>
        <v/>
      </c>
      <c r="N793" s="20"/>
      <c r="O793" s="19"/>
    </row>
    <row r="794" customFormat="false" ht="15" hidden="false" customHeight="false" outlineLevel="0" collapsed="false">
      <c r="A794" s="17"/>
      <c r="B794" s="18" t="str">
        <f aca="false">IF($A794="","",TEXT($A794,"ddd"))</f>
        <v/>
      </c>
      <c r="C794" s="19"/>
      <c r="D794" s="19"/>
      <c r="E794" s="18" t="str">
        <f aca="false">IF($C794="","",IFERROR(INDEX(Lists!$B$2:$B$40,MATCH($C794,Lists!$A$2:$A$40,0)),""))</f>
        <v/>
      </c>
      <c r="F794" s="20"/>
      <c r="G794" s="20"/>
      <c r="H794" s="20"/>
      <c r="I794" s="20"/>
      <c r="J794" s="20"/>
      <c r="K794" s="18" t="str">
        <f aca="false">IF(COUNT($F794:$J794)=0,"",SUM($F794:$J794))</f>
        <v/>
      </c>
      <c r="L794" s="18" t="str">
        <f aca="false">IF(COUNT($F794:$J794)=0,"",MAX($F794:$J794))</f>
        <v/>
      </c>
      <c r="M794" s="18" t="str">
        <f aca="false">IFERROR(IF(OR($C794="",COUNT($F794:$J794)&lt;3),"",IF(N(INDEX(Lists!$C$2:$C$40,MATCH($C794,Lists!$A$2:$A$40,0)))=0,"",IF(MIN($F794:$J794)&gt;=INDEX(Lists!$C$2:$C$40,MATCH($C794,Lists!$A$2:$A$40,0)),"LEVEL UP",""))),"")</f>
        <v/>
      </c>
      <c r="N794" s="20"/>
      <c r="O794" s="19"/>
    </row>
    <row r="795" customFormat="false" ht="15" hidden="false" customHeight="false" outlineLevel="0" collapsed="false">
      <c r="A795" s="17"/>
      <c r="B795" s="18" t="str">
        <f aca="false">IF($A795="","",TEXT($A795,"ddd"))</f>
        <v/>
      </c>
      <c r="C795" s="19"/>
      <c r="D795" s="19"/>
      <c r="E795" s="18" t="str">
        <f aca="false">IF($C795="","",IFERROR(INDEX(Lists!$B$2:$B$40,MATCH($C795,Lists!$A$2:$A$40,0)),""))</f>
        <v/>
      </c>
      <c r="F795" s="20"/>
      <c r="G795" s="20"/>
      <c r="H795" s="20"/>
      <c r="I795" s="20"/>
      <c r="J795" s="20"/>
      <c r="K795" s="18" t="str">
        <f aca="false">IF(COUNT($F795:$J795)=0,"",SUM($F795:$J795))</f>
        <v/>
      </c>
      <c r="L795" s="18" t="str">
        <f aca="false">IF(COUNT($F795:$J795)=0,"",MAX($F795:$J795))</f>
        <v/>
      </c>
      <c r="M795" s="18" t="str">
        <f aca="false">IFERROR(IF(OR($C795="",COUNT($F795:$J795)&lt;3),"",IF(N(INDEX(Lists!$C$2:$C$40,MATCH($C795,Lists!$A$2:$A$40,0)))=0,"",IF(MIN($F795:$J795)&gt;=INDEX(Lists!$C$2:$C$40,MATCH($C795,Lists!$A$2:$A$40,0)),"LEVEL UP",""))),"")</f>
        <v/>
      </c>
      <c r="N795" s="20"/>
      <c r="O795" s="19"/>
    </row>
    <row r="796" customFormat="false" ht="15" hidden="false" customHeight="false" outlineLevel="0" collapsed="false">
      <c r="A796" s="17"/>
      <c r="B796" s="18" t="str">
        <f aca="false">IF($A796="","",TEXT($A796,"ddd"))</f>
        <v/>
      </c>
      <c r="C796" s="19"/>
      <c r="D796" s="19"/>
      <c r="E796" s="18" t="str">
        <f aca="false">IF($C796="","",IFERROR(INDEX(Lists!$B$2:$B$40,MATCH($C796,Lists!$A$2:$A$40,0)),""))</f>
        <v/>
      </c>
      <c r="F796" s="20"/>
      <c r="G796" s="20"/>
      <c r="H796" s="20"/>
      <c r="I796" s="20"/>
      <c r="J796" s="20"/>
      <c r="K796" s="18" t="str">
        <f aca="false">IF(COUNT($F796:$J796)=0,"",SUM($F796:$J796))</f>
        <v/>
      </c>
      <c r="L796" s="18" t="str">
        <f aca="false">IF(COUNT($F796:$J796)=0,"",MAX($F796:$J796))</f>
        <v/>
      </c>
      <c r="M796" s="18" t="str">
        <f aca="false">IFERROR(IF(OR($C796="",COUNT($F796:$J796)&lt;3),"",IF(N(INDEX(Lists!$C$2:$C$40,MATCH($C796,Lists!$A$2:$A$40,0)))=0,"",IF(MIN($F796:$J796)&gt;=INDEX(Lists!$C$2:$C$40,MATCH($C796,Lists!$A$2:$A$40,0)),"LEVEL UP",""))),"")</f>
        <v/>
      </c>
      <c r="N796" s="20"/>
      <c r="O796" s="19"/>
    </row>
    <row r="797" customFormat="false" ht="15" hidden="false" customHeight="false" outlineLevel="0" collapsed="false">
      <c r="A797" s="17"/>
      <c r="B797" s="18" t="str">
        <f aca="false">IF($A797="","",TEXT($A797,"ddd"))</f>
        <v/>
      </c>
      <c r="C797" s="19"/>
      <c r="D797" s="19"/>
      <c r="E797" s="18" t="str">
        <f aca="false">IF($C797="","",IFERROR(INDEX(Lists!$B$2:$B$40,MATCH($C797,Lists!$A$2:$A$40,0)),""))</f>
        <v/>
      </c>
      <c r="F797" s="20"/>
      <c r="G797" s="20"/>
      <c r="H797" s="20"/>
      <c r="I797" s="20"/>
      <c r="J797" s="20"/>
      <c r="K797" s="18" t="str">
        <f aca="false">IF(COUNT($F797:$J797)=0,"",SUM($F797:$J797))</f>
        <v/>
      </c>
      <c r="L797" s="18" t="str">
        <f aca="false">IF(COUNT($F797:$J797)=0,"",MAX($F797:$J797))</f>
        <v/>
      </c>
      <c r="M797" s="18" t="str">
        <f aca="false">IFERROR(IF(OR($C797="",COUNT($F797:$J797)&lt;3),"",IF(N(INDEX(Lists!$C$2:$C$40,MATCH($C797,Lists!$A$2:$A$40,0)))=0,"",IF(MIN($F797:$J797)&gt;=INDEX(Lists!$C$2:$C$40,MATCH($C797,Lists!$A$2:$A$40,0)),"LEVEL UP",""))),"")</f>
        <v/>
      </c>
      <c r="N797" s="20"/>
      <c r="O797" s="19"/>
    </row>
    <row r="798" customFormat="false" ht="15" hidden="false" customHeight="false" outlineLevel="0" collapsed="false">
      <c r="A798" s="17"/>
      <c r="B798" s="18" t="str">
        <f aca="false">IF($A798="","",TEXT($A798,"ddd"))</f>
        <v/>
      </c>
      <c r="C798" s="19"/>
      <c r="D798" s="19"/>
      <c r="E798" s="18" t="str">
        <f aca="false">IF($C798="","",IFERROR(INDEX(Lists!$B$2:$B$40,MATCH($C798,Lists!$A$2:$A$40,0)),""))</f>
        <v/>
      </c>
      <c r="F798" s="20"/>
      <c r="G798" s="20"/>
      <c r="H798" s="20"/>
      <c r="I798" s="20"/>
      <c r="J798" s="20"/>
      <c r="K798" s="18" t="str">
        <f aca="false">IF(COUNT($F798:$J798)=0,"",SUM($F798:$J798))</f>
        <v/>
      </c>
      <c r="L798" s="18" t="str">
        <f aca="false">IF(COUNT($F798:$J798)=0,"",MAX($F798:$J798))</f>
        <v/>
      </c>
      <c r="M798" s="18" t="str">
        <f aca="false">IFERROR(IF(OR($C798="",COUNT($F798:$J798)&lt;3),"",IF(N(INDEX(Lists!$C$2:$C$40,MATCH($C798,Lists!$A$2:$A$40,0)))=0,"",IF(MIN($F798:$J798)&gt;=INDEX(Lists!$C$2:$C$40,MATCH($C798,Lists!$A$2:$A$40,0)),"LEVEL UP",""))),"")</f>
        <v/>
      </c>
      <c r="N798" s="20"/>
      <c r="O798" s="19"/>
    </row>
    <row r="799" customFormat="false" ht="15" hidden="false" customHeight="false" outlineLevel="0" collapsed="false">
      <c r="A799" s="17"/>
      <c r="B799" s="18" t="str">
        <f aca="false">IF($A799="","",TEXT($A799,"ddd"))</f>
        <v/>
      </c>
      <c r="C799" s="19"/>
      <c r="D799" s="19"/>
      <c r="E799" s="18" t="str">
        <f aca="false">IF($C799="","",IFERROR(INDEX(Lists!$B$2:$B$40,MATCH($C799,Lists!$A$2:$A$40,0)),""))</f>
        <v/>
      </c>
      <c r="F799" s="20"/>
      <c r="G799" s="20"/>
      <c r="H799" s="20"/>
      <c r="I799" s="20"/>
      <c r="J799" s="20"/>
      <c r="K799" s="18" t="str">
        <f aca="false">IF(COUNT($F799:$J799)=0,"",SUM($F799:$J799))</f>
        <v/>
      </c>
      <c r="L799" s="18" t="str">
        <f aca="false">IF(COUNT($F799:$J799)=0,"",MAX($F799:$J799))</f>
        <v/>
      </c>
      <c r="M799" s="18" t="str">
        <f aca="false">IFERROR(IF(OR($C799="",COUNT($F799:$J799)&lt;3),"",IF(N(INDEX(Lists!$C$2:$C$40,MATCH($C799,Lists!$A$2:$A$40,0)))=0,"",IF(MIN($F799:$J799)&gt;=INDEX(Lists!$C$2:$C$40,MATCH($C799,Lists!$A$2:$A$40,0)),"LEVEL UP",""))),"")</f>
        <v/>
      </c>
      <c r="N799" s="20"/>
      <c r="O799" s="19"/>
    </row>
    <row r="800" customFormat="false" ht="15" hidden="false" customHeight="false" outlineLevel="0" collapsed="false">
      <c r="A800" s="17"/>
      <c r="B800" s="18" t="str">
        <f aca="false">IF($A800="","",TEXT($A800,"ddd"))</f>
        <v/>
      </c>
      <c r="C800" s="19"/>
      <c r="D800" s="19"/>
      <c r="E800" s="18" t="str">
        <f aca="false">IF($C800="","",IFERROR(INDEX(Lists!$B$2:$B$40,MATCH($C800,Lists!$A$2:$A$40,0)),""))</f>
        <v/>
      </c>
      <c r="F800" s="20"/>
      <c r="G800" s="20"/>
      <c r="H800" s="20"/>
      <c r="I800" s="20"/>
      <c r="J800" s="20"/>
      <c r="K800" s="18" t="str">
        <f aca="false">IF(COUNT($F800:$J800)=0,"",SUM($F800:$J800))</f>
        <v/>
      </c>
      <c r="L800" s="18" t="str">
        <f aca="false">IF(COUNT($F800:$J800)=0,"",MAX($F800:$J800))</f>
        <v/>
      </c>
      <c r="M800" s="18" t="str">
        <f aca="false">IFERROR(IF(OR($C800="",COUNT($F800:$J800)&lt;3),"",IF(N(INDEX(Lists!$C$2:$C$40,MATCH($C800,Lists!$A$2:$A$40,0)))=0,"",IF(MIN($F800:$J800)&gt;=INDEX(Lists!$C$2:$C$40,MATCH($C800,Lists!$A$2:$A$40,0)),"LEVEL UP",""))),"")</f>
        <v/>
      </c>
      <c r="N800" s="20"/>
      <c r="O800" s="19"/>
    </row>
    <row r="801" customFormat="false" ht="15" hidden="false" customHeight="false" outlineLevel="0" collapsed="false">
      <c r="A801" s="17"/>
      <c r="B801" s="18" t="str">
        <f aca="false">IF($A801="","",TEXT($A801,"ddd"))</f>
        <v/>
      </c>
      <c r="C801" s="19"/>
      <c r="D801" s="19"/>
      <c r="E801" s="18" t="str">
        <f aca="false">IF($C801="","",IFERROR(INDEX(Lists!$B$2:$B$40,MATCH($C801,Lists!$A$2:$A$40,0)),""))</f>
        <v/>
      </c>
      <c r="F801" s="20"/>
      <c r="G801" s="20"/>
      <c r="H801" s="20"/>
      <c r="I801" s="20"/>
      <c r="J801" s="20"/>
      <c r="K801" s="18" t="str">
        <f aca="false">IF(COUNT($F801:$J801)=0,"",SUM($F801:$J801))</f>
        <v/>
      </c>
      <c r="L801" s="18" t="str">
        <f aca="false">IF(COUNT($F801:$J801)=0,"",MAX($F801:$J801))</f>
        <v/>
      </c>
      <c r="M801" s="18" t="str">
        <f aca="false">IFERROR(IF(OR($C801="",COUNT($F801:$J801)&lt;3),"",IF(N(INDEX(Lists!$C$2:$C$40,MATCH($C801,Lists!$A$2:$A$40,0)))=0,"",IF(MIN($F801:$J801)&gt;=INDEX(Lists!$C$2:$C$40,MATCH($C801,Lists!$A$2:$A$40,0)),"LEVEL UP",""))),"")</f>
        <v/>
      </c>
      <c r="N801" s="20"/>
      <c r="O801" s="19"/>
    </row>
    <row r="802" customFormat="false" ht="15" hidden="false" customHeight="false" outlineLevel="0" collapsed="false">
      <c r="A802" s="17"/>
      <c r="B802" s="18" t="str">
        <f aca="false">IF($A802="","",TEXT($A802,"ddd"))</f>
        <v/>
      </c>
      <c r="C802" s="19"/>
      <c r="D802" s="19"/>
      <c r="E802" s="18" t="str">
        <f aca="false">IF($C802="","",IFERROR(INDEX(Lists!$B$2:$B$40,MATCH($C802,Lists!$A$2:$A$40,0)),""))</f>
        <v/>
      </c>
      <c r="F802" s="20"/>
      <c r="G802" s="20"/>
      <c r="H802" s="20"/>
      <c r="I802" s="20"/>
      <c r="J802" s="20"/>
      <c r="K802" s="18" t="str">
        <f aca="false">IF(COUNT($F802:$J802)=0,"",SUM($F802:$J802))</f>
        <v/>
      </c>
      <c r="L802" s="18" t="str">
        <f aca="false">IF(COUNT($F802:$J802)=0,"",MAX($F802:$J802))</f>
        <v/>
      </c>
      <c r="M802" s="18" t="str">
        <f aca="false">IFERROR(IF(OR($C802="",COUNT($F802:$J802)&lt;3),"",IF(N(INDEX(Lists!$C$2:$C$40,MATCH($C802,Lists!$A$2:$A$40,0)))=0,"",IF(MIN($F802:$J802)&gt;=INDEX(Lists!$C$2:$C$40,MATCH($C802,Lists!$A$2:$A$40,0)),"LEVEL UP",""))),"")</f>
        <v/>
      </c>
      <c r="N802" s="20"/>
      <c r="O802" s="19"/>
    </row>
    <row r="803" customFormat="false" ht="15" hidden="false" customHeight="false" outlineLevel="0" collapsed="false">
      <c r="A803" s="17"/>
      <c r="B803" s="18" t="str">
        <f aca="false">IF($A803="","",TEXT($A803,"ddd"))</f>
        <v/>
      </c>
      <c r="C803" s="19"/>
      <c r="D803" s="19"/>
      <c r="E803" s="18" t="str">
        <f aca="false">IF($C803="","",IFERROR(INDEX(Lists!$B$2:$B$40,MATCH($C803,Lists!$A$2:$A$40,0)),""))</f>
        <v/>
      </c>
      <c r="F803" s="20"/>
      <c r="G803" s="20"/>
      <c r="H803" s="20"/>
      <c r="I803" s="20"/>
      <c r="J803" s="20"/>
      <c r="K803" s="18" t="str">
        <f aca="false">IF(COUNT($F803:$J803)=0,"",SUM($F803:$J803))</f>
        <v/>
      </c>
      <c r="L803" s="18" t="str">
        <f aca="false">IF(COUNT($F803:$J803)=0,"",MAX($F803:$J803))</f>
        <v/>
      </c>
      <c r="M803" s="18" t="str">
        <f aca="false">IFERROR(IF(OR($C803="",COUNT($F803:$J803)&lt;3),"",IF(N(INDEX(Lists!$C$2:$C$40,MATCH($C803,Lists!$A$2:$A$40,0)))=0,"",IF(MIN($F803:$J803)&gt;=INDEX(Lists!$C$2:$C$40,MATCH($C803,Lists!$A$2:$A$40,0)),"LEVEL UP",""))),"")</f>
        <v/>
      </c>
      <c r="N803" s="20"/>
      <c r="O803" s="19"/>
    </row>
    <row r="804" customFormat="false" ht="15" hidden="false" customHeight="false" outlineLevel="0" collapsed="false">
      <c r="A804" s="17"/>
      <c r="B804" s="18" t="str">
        <f aca="false">IF($A804="","",TEXT($A804,"ddd"))</f>
        <v/>
      </c>
      <c r="C804" s="19"/>
      <c r="D804" s="19"/>
      <c r="E804" s="18" t="str">
        <f aca="false">IF($C804="","",IFERROR(INDEX(Lists!$B$2:$B$40,MATCH($C804,Lists!$A$2:$A$40,0)),""))</f>
        <v/>
      </c>
      <c r="F804" s="20"/>
      <c r="G804" s="20"/>
      <c r="H804" s="20"/>
      <c r="I804" s="20"/>
      <c r="J804" s="20"/>
      <c r="K804" s="18" t="str">
        <f aca="false">IF(COUNT($F804:$J804)=0,"",SUM($F804:$J804))</f>
        <v/>
      </c>
      <c r="L804" s="18" t="str">
        <f aca="false">IF(COUNT($F804:$J804)=0,"",MAX($F804:$J804))</f>
        <v/>
      </c>
      <c r="M804" s="18" t="str">
        <f aca="false">IFERROR(IF(OR($C804="",COUNT($F804:$J804)&lt;3),"",IF(N(INDEX(Lists!$C$2:$C$40,MATCH($C804,Lists!$A$2:$A$40,0)))=0,"",IF(MIN($F804:$J804)&gt;=INDEX(Lists!$C$2:$C$40,MATCH($C804,Lists!$A$2:$A$40,0)),"LEVEL UP",""))),"")</f>
        <v/>
      </c>
      <c r="N804" s="20"/>
      <c r="O804" s="19"/>
    </row>
    <row r="805" customFormat="false" ht="15" hidden="false" customHeight="false" outlineLevel="0" collapsed="false">
      <c r="A805" s="17"/>
      <c r="B805" s="18" t="str">
        <f aca="false">IF($A805="","",TEXT($A805,"ddd"))</f>
        <v/>
      </c>
      <c r="C805" s="19"/>
      <c r="D805" s="19"/>
      <c r="E805" s="18" t="str">
        <f aca="false">IF($C805="","",IFERROR(INDEX(Lists!$B$2:$B$40,MATCH($C805,Lists!$A$2:$A$40,0)),""))</f>
        <v/>
      </c>
      <c r="F805" s="20"/>
      <c r="G805" s="20"/>
      <c r="H805" s="20"/>
      <c r="I805" s="20"/>
      <c r="J805" s="20"/>
      <c r="K805" s="18" t="str">
        <f aca="false">IF(COUNT($F805:$J805)=0,"",SUM($F805:$J805))</f>
        <v/>
      </c>
      <c r="L805" s="18" t="str">
        <f aca="false">IF(COUNT($F805:$J805)=0,"",MAX($F805:$J805))</f>
        <v/>
      </c>
      <c r="M805" s="18" t="str">
        <f aca="false">IFERROR(IF(OR($C805="",COUNT($F805:$J805)&lt;3),"",IF(N(INDEX(Lists!$C$2:$C$40,MATCH($C805,Lists!$A$2:$A$40,0)))=0,"",IF(MIN($F805:$J805)&gt;=INDEX(Lists!$C$2:$C$40,MATCH($C805,Lists!$A$2:$A$40,0)),"LEVEL UP",""))),"")</f>
        <v/>
      </c>
      <c r="N805" s="20"/>
      <c r="O805" s="19"/>
    </row>
    <row r="806" customFormat="false" ht="15" hidden="false" customHeight="false" outlineLevel="0" collapsed="false">
      <c r="A806" s="17"/>
      <c r="B806" s="18" t="str">
        <f aca="false">IF($A806="","",TEXT($A806,"ddd"))</f>
        <v/>
      </c>
      <c r="C806" s="19"/>
      <c r="D806" s="19"/>
      <c r="E806" s="18" t="str">
        <f aca="false">IF($C806="","",IFERROR(INDEX(Lists!$B$2:$B$40,MATCH($C806,Lists!$A$2:$A$40,0)),""))</f>
        <v/>
      </c>
      <c r="F806" s="20"/>
      <c r="G806" s="20"/>
      <c r="H806" s="20"/>
      <c r="I806" s="20"/>
      <c r="J806" s="20"/>
      <c r="K806" s="18" t="str">
        <f aca="false">IF(COUNT($F806:$J806)=0,"",SUM($F806:$J806))</f>
        <v/>
      </c>
      <c r="L806" s="18" t="str">
        <f aca="false">IF(COUNT($F806:$J806)=0,"",MAX($F806:$J806))</f>
        <v/>
      </c>
      <c r="M806" s="18" t="str">
        <f aca="false">IFERROR(IF(OR($C806="",COUNT($F806:$J806)&lt;3),"",IF(N(INDEX(Lists!$C$2:$C$40,MATCH($C806,Lists!$A$2:$A$40,0)))=0,"",IF(MIN($F806:$J806)&gt;=INDEX(Lists!$C$2:$C$40,MATCH($C806,Lists!$A$2:$A$40,0)),"LEVEL UP",""))),"")</f>
        <v/>
      </c>
      <c r="N806" s="20"/>
      <c r="O806" s="19"/>
    </row>
    <row r="807" customFormat="false" ht="15" hidden="false" customHeight="false" outlineLevel="0" collapsed="false">
      <c r="A807" s="17"/>
      <c r="B807" s="18" t="str">
        <f aca="false">IF($A807="","",TEXT($A807,"ddd"))</f>
        <v/>
      </c>
      <c r="C807" s="19"/>
      <c r="D807" s="19"/>
      <c r="E807" s="18" t="str">
        <f aca="false">IF($C807="","",IFERROR(INDEX(Lists!$B$2:$B$40,MATCH($C807,Lists!$A$2:$A$40,0)),""))</f>
        <v/>
      </c>
      <c r="F807" s="20"/>
      <c r="G807" s="20"/>
      <c r="H807" s="20"/>
      <c r="I807" s="20"/>
      <c r="J807" s="20"/>
      <c r="K807" s="18" t="str">
        <f aca="false">IF(COUNT($F807:$J807)=0,"",SUM($F807:$J807))</f>
        <v/>
      </c>
      <c r="L807" s="18" t="str">
        <f aca="false">IF(COUNT($F807:$J807)=0,"",MAX($F807:$J807))</f>
        <v/>
      </c>
      <c r="M807" s="18" t="str">
        <f aca="false">IFERROR(IF(OR($C807="",COUNT($F807:$J807)&lt;3),"",IF(N(INDEX(Lists!$C$2:$C$40,MATCH($C807,Lists!$A$2:$A$40,0)))=0,"",IF(MIN($F807:$J807)&gt;=INDEX(Lists!$C$2:$C$40,MATCH($C807,Lists!$A$2:$A$40,0)),"LEVEL UP",""))),"")</f>
        <v/>
      </c>
      <c r="N807" s="20"/>
      <c r="O807" s="19"/>
    </row>
    <row r="808" customFormat="false" ht="15" hidden="false" customHeight="false" outlineLevel="0" collapsed="false">
      <c r="A808" s="17"/>
      <c r="B808" s="18" t="str">
        <f aca="false">IF($A808="","",TEXT($A808,"ddd"))</f>
        <v/>
      </c>
      <c r="C808" s="19"/>
      <c r="D808" s="19"/>
      <c r="E808" s="18" t="str">
        <f aca="false">IF($C808="","",IFERROR(INDEX(Lists!$B$2:$B$40,MATCH($C808,Lists!$A$2:$A$40,0)),""))</f>
        <v/>
      </c>
      <c r="F808" s="20"/>
      <c r="G808" s="20"/>
      <c r="H808" s="20"/>
      <c r="I808" s="20"/>
      <c r="J808" s="20"/>
      <c r="K808" s="18" t="str">
        <f aca="false">IF(COUNT($F808:$J808)=0,"",SUM($F808:$J808))</f>
        <v/>
      </c>
      <c r="L808" s="18" t="str">
        <f aca="false">IF(COUNT($F808:$J808)=0,"",MAX($F808:$J808))</f>
        <v/>
      </c>
      <c r="M808" s="18" t="str">
        <f aca="false">IFERROR(IF(OR($C808="",COUNT($F808:$J808)&lt;3),"",IF(N(INDEX(Lists!$C$2:$C$40,MATCH($C808,Lists!$A$2:$A$40,0)))=0,"",IF(MIN($F808:$J808)&gt;=INDEX(Lists!$C$2:$C$40,MATCH($C808,Lists!$A$2:$A$40,0)),"LEVEL UP",""))),"")</f>
        <v/>
      </c>
      <c r="N808" s="20"/>
      <c r="O808" s="19"/>
    </row>
    <row r="809" customFormat="false" ht="15" hidden="false" customHeight="false" outlineLevel="0" collapsed="false">
      <c r="A809" s="17"/>
      <c r="B809" s="18" t="str">
        <f aca="false">IF($A809="","",TEXT($A809,"ddd"))</f>
        <v/>
      </c>
      <c r="C809" s="19"/>
      <c r="D809" s="19"/>
      <c r="E809" s="18" t="str">
        <f aca="false">IF($C809="","",IFERROR(INDEX(Lists!$B$2:$B$40,MATCH($C809,Lists!$A$2:$A$40,0)),""))</f>
        <v/>
      </c>
      <c r="F809" s="20"/>
      <c r="G809" s="20"/>
      <c r="H809" s="20"/>
      <c r="I809" s="20"/>
      <c r="J809" s="20"/>
      <c r="K809" s="18" t="str">
        <f aca="false">IF(COUNT($F809:$J809)=0,"",SUM($F809:$J809))</f>
        <v/>
      </c>
      <c r="L809" s="18" t="str">
        <f aca="false">IF(COUNT($F809:$J809)=0,"",MAX($F809:$J809))</f>
        <v/>
      </c>
      <c r="M809" s="18" t="str">
        <f aca="false">IFERROR(IF(OR($C809="",COUNT($F809:$J809)&lt;3),"",IF(N(INDEX(Lists!$C$2:$C$40,MATCH($C809,Lists!$A$2:$A$40,0)))=0,"",IF(MIN($F809:$J809)&gt;=INDEX(Lists!$C$2:$C$40,MATCH($C809,Lists!$A$2:$A$40,0)),"LEVEL UP",""))),"")</f>
        <v/>
      </c>
      <c r="N809" s="20"/>
      <c r="O809" s="19"/>
    </row>
    <row r="810" customFormat="false" ht="15" hidden="false" customHeight="false" outlineLevel="0" collapsed="false">
      <c r="A810" s="17"/>
      <c r="B810" s="18" t="str">
        <f aca="false">IF($A810="","",TEXT($A810,"ddd"))</f>
        <v/>
      </c>
      <c r="C810" s="19"/>
      <c r="D810" s="19"/>
      <c r="E810" s="18" t="str">
        <f aca="false">IF($C810="","",IFERROR(INDEX(Lists!$B$2:$B$40,MATCH($C810,Lists!$A$2:$A$40,0)),""))</f>
        <v/>
      </c>
      <c r="F810" s="20"/>
      <c r="G810" s="20"/>
      <c r="H810" s="20"/>
      <c r="I810" s="20"/>
      <c r="J810" s="20"/>
      <c r="K810" s="18" t="str">
        <f aca="false">IF(COUNT($F810:$J810)=0,"",SUM($F810:$J810))</f>
        <v/>
      </c>
      <c r="L810" s="18" t="str">
        <f aca="false">IF(COUNT($F810:$J810)=0,"",MAX($F810:$J810))</f>
        <v/>
      </c>
      <c r="M810" s="18" t="str">
        <f aca="false">IFERROR(IF(OR($C810="",COUNT($F810:$J810)&lt;3),"",IF(N(INDEX(Lists!$C$2:$C$40,MATCH($C810,Lists!$A$2:$A$40,0)))=0,"",IF(MIN($F810:$J810)&gt;=INDEX(Lists!$C$2:$C$40,MATCH($C810,Lists!$A$2:$A$40,0)),"LEVEL UP",""))),"")</f>
        <v/>
      </c>
      <c r="N810" s="20"/>
      <c r="O810" s="19"/>
    </row>
    <row r="811" customFormat="false" ht="15" hidden="false" customHeight="false" outlineLevel="0" collapsed="false">
      <c r="A811" s="17"/>
      <c r="B811" s="18" t="str">
        <f aca="false">IF($A811="","",TEXT($A811,"ddd"))</f>
        <v/>
      </c>
      <c r="C811" s="19"/>
      <c r="D811" s="19"/>
      <c r="E811" s="18" t="str">
        <f aca="false">IF($C811="","",IFERROR(INDEX(Lists!$B$2:$B$40,MATCH($C811,Lists!$A$2:$A$40,0)),""))</f>
        <v/>
      </c>
      <c r="F811" s="20"/>
      <c r="G811" s="20"/>
      <c r="H811" s="20"/>
      <c r="I811" s="20"/>
      <c r="J811" s="20"/>
      <c r="K811" s="18" t="str">
        <f aca="false">IF(COUNT($F811:$J811)=0,"",SUM($F811:$J811))</f>
        <v/>
      </c>
      <c r="L811" s="18" t="str">
        <f aca="false">IF(COUNT($F811:$J811)=0,"",MAX($F811:$J811))</f>
        <v/>
      </c>
      <c r="M811" s="18" t="str">
        <f aca="false">IFERROR(IF(OR($C811="",COUNT($F811:$J811)&lt;3),"",IF(N(INDEX(Lists!$C$2:$C$40,MATCH($C811,Lists!$A$2:$A$40,0)))=0,"",IF(MIN($F811:$J811)&gt;=INDEX(Lists!$C$2:$C$40,MATCH($C811,Lists!$A$2:$A$40,0)),"LEVEL UP",""))),"")</f>
        <v/>
      </c>
      <c r="N811" s="20"/>
      <c r="O811" s="19"/>
    </row>
    <row r="812" customFormat="false" ht="15" hidden="false" customHeight="false" outlineLevel="0" collapsed="false">
      <c r="A812" s="17"/>
      <c r="B812" s="18" t="str">
        <f aca="false">IF($A812="","",TEXT($A812,"ddd"))</f>
        <v/>
      </c>
      <c r="C812" s="19"/>
      <c r="D812" s="19"/>
      <c r="E812" s="18" t="str">
        <f aca="false">IF($C812="","",IFERROR(INDEX(Lists!$B$2:$B$40,MATCH($C812,Lists!$A$2:$A$40,0)),""))</f>
        <v/>
      </c>
      <c r="F812" s="20"/>
      <c r="G812" s="20"/>
      <c r="H812" s="20"/>
      <c r="I812" s="20"/>
      <c r="J812" s="20"/>
      <c r="K812" s="18" t="str">
        <f aca="false">IF(COUNT($F812:$J812)=0,"",SUM($F812:$J812))</f>
        <v/>
      </c>
      <c r="L812" s="18" t="str">
        <f aca="false">IF(COUNT($F812:$J812)=0,"",MAX($F812:$J812))</f>
        <v/>
      </c>
      <c r="M812" s="18" t="str">
        <f aca="false">IFERROR(IF(OR($C812="",COUNT($F812:$J812)&lt;3),"",IF(N(INDEX(Lists!$C$2:$C$40,MATCH($C812,Lists!$A$2:$A$40,0)))=0,"",IF(MIN($F812:$J812)&gt;=INDEX(Lists!$C$2:$C$40,MATCH($C812,Lists!$A$2:$A$40,0)),"LEVEL UP",""))),"")</f>
        <v/>
      </c>
      <c r="N812" s="20"/>
      <c r="O812" s="19"/>
    </row>
    <row r="813" customFormat="false" ht="15" hidden="false" customHeight="false" outlineLevel="0" collapsed="false">
      <c r="A813" s="17"/>
      <c r="B813" s="18" t="str">
        <f aca="false">IF($A813="","",TEXT($A813,"ddd"))</f>
        <v/>
      </c>
      <c r="C813" s="19"/>
      <c r="D813" s="19"/>
      <c r="E813" s="18" t="str">
        <f aca="false">IF($C813="","",IFERROR(INDEX(Lists!$B$2:$B$40,MATCH($C813,Lists!$A$2:$A$40,0)),""))</f>
        <v/>
      </c>
      <c r="F813" s="20"/>
      <c r="G813" s="20"/>
      <c r="H813" s="20"/>
      <c r="I813" s="20"/>
      <c r="J813" s="20"/>
      <c r="K813" s="18" t="str">
        <f aca="false">IF(COUNT($F813:$J813)=0,"",SUM($F813:$J813))</f>
        <v/>
      </c>
      <c r="L813" s="18" t="str">
        <f aca="false">IF(COUNT($F813:$J813)=0,"",MAX($F813:$J813))</f>
        <v/>
      </c>
      <c r="M813" s="18" t="str">
        <f aca="false">IFERROR(IF(OR($C813="",COUNT($F813:$J813)&lt;3),"",IF(N(INDEX(Lists!$C$2:$C$40,MATCH($C813,Lists!$A$2:$A$40,0)))=0,"",IF(MIN($F813:$J813)&gt;=INDEX(Lists!$C$2:$C$40,MATCH($C813,Lists!$A$2:$A$40,0)),"LEVEL UP",""))),"")</f>
        <v/>
      </c>
      <c r="N813" s="20"/>
      <c r="O813" s="19"/>
    </row>
    <row r="814" customFormat="false" ht="15" hidden="false" customHeight="false" outlineLevel="0" collapsed="false">
      <c r="A814" s="17"/>
      <c r="B814" s="18" t="str">
        <f aca="false">IF($A814="","",TEXT($A814,"ddd"))</f>
        <v/>
      </c>
      <c r="C814" s="19"/>
      <c r="D814" s="19"/>
      <c r="E814" s="18" t="str">
        <f aca="false">IF($C814="","",IFERROR(INDEX(Lists!$B$2:$B$40,MATCH($C814,Lists!$A$2:$A$40,0)),""))</f>
        <v/>
      </c>
      <c r="F814" s="20"/>
      <c r="G814" s="20"/>
      <c r="H814" s="20"/>
      <c r="I814" s="20"/>
      <c r="J814" s="20"/>
      <c r="K814" s="18" t="str">
        <f aca="false">IF(COUNT($F814:$J814)=0,"",SUM($F814:$J814))</f>
        <v/>
      </c>
      <c r="L814" s="18" t="str">
        <f aca="false">IF(COUNT($F814:$J814)=0,"",MAX($F814:$J814))</f>
        <v/>
      </c>
      <c r="M814" s="18" t="str">
        <f aca="false">IFERROR(IF(OR($C814="",COUNT($F814:$J814)&lt;3),"",IF(N(INDEX(Lists!$C$2:$C$40,MATCH($C814,Lists!$A$2:$A$40,0)))=0,"",IF(MIN($F814:$J814)&gt;=INDEX(Lists!$C$2:$C$40,MATCH($C814,Lists!$A$2:$A$40,0)),"LEVEL UP",""))),"")</f>
        <v/>
      </c>
      <c r="N814" s="20"/>
      <c r="O814" s="19"/>
    </row>
    <row r="815" customFormat="false" ht="15" hidden="false" customHeight="false" outlineLevel="0" collapsed="false">
      <c r="A815" s="17"/>
      <c r="B815" s="18" t="str">
        <f aca="false">IF($A815="","",TEXT($A815,"ddd"))</f>
        <v/>
      </c>
      <c r="C815" s="19"/>
      <c r="D815" s="19"/>
      <c r="E815" s="18" t="str">
        <f aca="false">IF($C815="","",IFERROR(INDEX(Lists!$B$2:$B$40,MATCH($C815,Lists!$A$2:$A$40,0)),""))</f>
        <v/>
      </c>
      <c r="F815" s="20"/>
      <c r="G815" s="20"/>
      <c r="H815" s="20"/>
      <c r="I815" s="20"/>
      <c r="J815" s="20"/>
      <c r="K815" s="18" t="str">
        <f aca="false">IF(COUNT($F815:$J815)=0,"",SUM($F815:$J815))</f>
        <v/>
      </c>
      <c r="L815" s="18" t="str">
        <f aca="false">IF(COUNT($F815:$J815)=0,"",MAX($F815:$J815))</f>
        <v/>
      </c>
      <c r="M815" s="18" t="str">
        <f aca="false">IFERROR(IF(OR($C815="",COUNT($F815:$J815)&lt;3),"",IF(N(INDEX(Lists!$C$2:$C$40,MATCH($C815,Lists!$A$2:$A$40,0)))=0,"",IF(MIN($F815:$J815)&gt;=INDEX(Lists!$C$2:$C$40,MATCH($C815,Lists!$A$2:$A$40,0)),"LEVEL UP",""))),"")</f>
        <v/>
      </c>
      <c r="N815" s="20"/>
      <c r="O815" s="19"/>
    </row>
    <row r="816" customFormat="false" ht="15" hidden="false" customHeight="false" outlineLevel="0" collapsed="false">
      <c r="A816" s="17"/>
      <c r="B816" s="18" t="str">
        <f aca="false">IF($A816="","",TEXT($A816,"ddd"))</f>
        <v/>
      </c>
      <c r="C816" s="19"/>
      <c r="D816" s="19"/>
      <c r="E816" s="18" t="str">
        <f aca="false">IF($C816="","",IFERROR(INDEX(Lists!$B$2:$B$40,MATCH($C816,Lists!$A$2:$A$40,0)),""))</f>
        <v/>
      </c>
      <c r="F816" s="20"/>
      <c r="G816" s="20"/>
      <c r="H816" s="20"/>
      <c r="I816" s="20"/>
      <c r="J816" s="20"/>
      <c r="K816" s="18" t="str">
        <f aca="false">IF(COUNT($F816:$J816)=0,"",SUM($F816:$J816))</f>
        <v/>
      </c>
      <c r="L816" s="18" t="str">
        <f aca="false">IF(COUNT($F816:$J816)=0,"",MAX($F816:$J816))</f>
        <v/>
      </c>
      <c r="M816" s="18" t="str">
        <f aca="false">IFERROR(IF(OR($C816="",COUNT($F816:$J816)&lt;3),"",IF(N(INDEX(Lists!$C$2:$C$40,MATCH($C816,Lists!$A$2:$A$40,0)))=0,"",IF(MIN($F816:$J816)&gt;=INDEX(Lists!$C$2:$C$40,MATCH($C816,Lists!$A$2:$A$40,0)),"LEVEL UP",""))),"")</f>
        <v/>
      </c>
      <c r="N816" s="20"/>
      <c r="O816" s="19"/>
    </row>
    <row r="817" customFormat="false" ht="15" hidden="false" customHeight="false" outlineLevel="0" collapsed="false">
      <c r="A817" s="17"/>
      <c r="B817" s="18" t="str">
        <f aca="false">IF($A817="","",TEXT($A817,"ddd"))</f>
        <v/>
      </c>
      <c r="C817" s="19"/>
      <c r="D817" s="19"/>
      <c r="E817" s="18" t="str">
        <f aca="false">IF($C817="","",IFERROR(INDEX(Lists!$B$2:$B$40,MATCH($C817,Lists!$A$2:$A$40,0)),""))</f>
        <v/>
      </c>
      <c r="F817" s="20"/>
      <c r="G817" s="20"/>
      <c r="H817" s="20"/>
      <c r="I817" s="20"/>
      <c r="J817" s="20"/>
      <c r="K817" s="18" t="str">
        <f aca="false">IF(COUNT($F817:$J817)=0,"",SUM($F817:$J817))</f>
        <v/>
      </c>
      <c r="L817" s="18" t="str">
        <f aca="false">IF(COUNT($F817:$J817)=0,"",MAX($F817:$J817))</f>
        <v/>
      </c>
      <c r="M817" s="18" t="str">
        <f aca="false">IFERROR(IF(OR($C817="",COUNT($F817:$J817)&lt;3),"",IF(N(INDEX(Lists!$C$2:$C$40,MATCH($C817,Lists!$A$2:$A$40,0)))=0,"",IF(MIN($F817:$J817)&gt;=INDEX(Lists!$C$2:$C$40,MATCH($C817,Lists!$A$2:$A$40,0)),"LEVEL UP",""))),"")</f>
        <v/>
      </c>
      <c r="N817" s="20"/>
      <c r="O817" s="19"/>
    </row>
    <row r="818" customFormat="false" ht="15" hidden="false" customHeight="false" outlineLevel="0" collapsed="false">
      <c r="A818" s="17"/>
      <c r="B818" s="18" t="str">
        <f aca="false">IF($A818="","",TEXT($A818,"ddd"))</f>
        <v/>
      </c>
      <c r="C818" s="19"/>
      <c r="D818" s="19"/>
      <c r="E818" s="18" t="str">
        <f aca="false">IF($C818="","",IFERROR(INDEX(Lists!$B$2:$B$40,MATCH($C818,Lists!$A$2:$A$40,0)),""))</f>
        <v/>
      </c>
      <c r="F818" s="20"/>
      <c r="G818" s="20"/>
      <c r="H818" s="20"/>
      <c r="I818" s="20"/>
      <c r="J818" s="20"/>
      <c r="K818" s="18" t="str">
        <f aca="false">IF(COUNT($F818:$J818)=0,"",SUM($F818:$J818))</f>
        <v/>
      </c>
      <c r="L818" s="18" t="str">
        <f aca="false">IF(COUNT($F818:$J818)=0,"",MAX($F818:$J818))</f>
        <v/>
      </c>
      <c r="M818" s="18" t="str">
        <f aca="false">IFERROR(IF(OR($C818="",COUNT($F818:$J818)&lt;3),"",IF(N(INDEX(Lists!$C$2:$C$40,MATCH($C818,Lists!$A$2:$A$40,0)))=0,"",IF(MIN($F818:$J818)&gt;=INDEX(Lists!$C$2:$C$40,MATCH($C818,Lists!$A$2:$A$40,0)),"LEVEL UP",""))),"")</f>
        <v/>
      </c>
      <c r="N818" s="20"/>
      <c r="O818" s="19"/>
    </row>
    <row r="819" customFormat="false" ht="15" hidden="false" customHeight="false" outlineLevel="0" collapsed="false">
      <c r="A819" s="17"/>
      <c r="B819" s="18" t="str">
        <f aca="false">IF($A819="","",TEXT($A819,"ddd"))</f>
        <v/>
      </c>
      <c r="C819" s="19"/>
      <c r="D819" s="19"/>
      <c r="E819" s="18" t="str">
        <f aca="false">IF($C819="","",IFERROR(INDEX(Lists!$B$2:$B$40,MATCH($C819,Lists!$A$2:$A$40,0)),""))</f>
        <v/>
      </c>
      <c r="F819" s="20"/>
      <c r="G819" s="20"/>
      <c r="H819" s="20"/>
      <c r="I819" s="20"/>
      <c r="J819" s="20"/>
      <c r="K819" s="18" t="str">
        <f aca="false">IF(COUNT($F819:$J819)=0,"",SUM($F819:$J819))</f>
        <v/>
      </c>
      <c r="L819" s="18" t="str">
        <f aca="false">IF(COUNT($F819:$J819)=0,"",MAX($F819:$J819))</f>
        <v/>
      </c>
      <c r="M819" s="18" t="str">
        <f aca="false">IFERROR(IF(OR($C819="",COUNT($F819:$J819)&lt;3),"",IF(N(INDEX(Lists!$C$2:$C$40,MATCH($C819,Lists!$A$2:$A$40,0)))=0,"",IF(MIN($F819:$J819)&gt;=INDEX(Lists!$C$2:$C$40,MATCH($C819,Lists!$A$2:$A$40,0)),"LEVEL UP",""))),"")</f>
        <v/>
      </c>
      <c r="N819" s="20"/>
      <c r="O819" s="19"/>
    </row>
    <row r="820" customFormat="false" ht="15" hidden="false" customHeight="false" outlineLevel="0" collapsed="false">
      <c r="A820" s="17"/>
      <c r="B820" s="18" t="str">
        <f aca="false">IF($A820="","",TEXT($A820,"ddd"))</f>
        <v/>
      </c>
      <c r="C820" s="19"/>
      <c r="D820" s="19"/>
      <c r="E820" s="18" t="str">
        <f aca="false">IF($C820="","",IFERROR(INDEX(Lists!$B$2:$B$40,MATCH($C820,Lists!$A$2:$A$40,0)),""))</f>
        <v/>
      </c>
      <c r="F820" s="20"/>
      <c r="G820" s="20"/>
      <c r="H820" s="20"/>
      <c r="I820" s="20"/>
      <c r="J820" s="20"/>
      <c r="K820" s="18" t="str">
        <f aca="false">IF(COUNT($F820:$J820)=0,"",SUM($F820:$J820))</f>
        <v/>
      </c>
      <c r="L820" s="18" t="str">
        <f aca="false">IF(COUNT($F820:$J820)=0,"",MAX($F820:$J820))</f>
        <v/>
      </c>
      <c r="M820" s="18" t="str">
        <f aca="false">IFERROR(IF(OR($C820="",COUNT($F820:$J820)&lt;3),"",IF(N(INDEX(Lists!$C$2:$C$40,MATCH($C820,Lists!$A$2:$A$40,0)))=0,"",IF(MIN($F820:$J820)&gt;=INDEX(Lists!$C$2:$C$40,MATCH($C820,Lists!$A$2:$A$40,0)),"LEVEL UP",""))),"")</f>
        <v/>
      </c>
      <c r="N820" s="20"/>
      <c r="O820" s="19"/>
    </row>
    <row r="821" customFormat="false" ht="15" hidden="false" customHeight="false" outlineLevel="0" collapsed="false">
      <c r="A821" s="17"/>
      <c r="B821" s="18" t="str">
        <f aca="false">IF($A821="","",TEXT($A821,"ddd"))</f>
        <v/>
      </c>
      <c r="C821" s="19"/>
      <c r="D821" s="19"/>
      <c r="E821" s="18" t="str">
        <f aca="false">IF($C821="","",IFERROR(INDEX(Lists!$B$2:$B$40,MATCH($C821,Lists!$A$2:$A$40,0)),""))</f>
        <v/>
      </c>
      <c r="F821" s="20"/>
      <c r="G821" s="20"/>
      <c r="H821" s="20"/>
      <c r="I821" s="20"/>
      <c r="J821" s="20"/>
      <c r="K821" s="18" t="str">
        <f aca="false">IF(COUNT($F821:$J821)=0,"",SUM($F821:$J821))</f>
        <v/>
      </c>
      <c r="L821" s="18" t="str">
        <f aca="false">IF(COUNT($F821:$J821)=0,"",MAX($F821:$J821))</f>
        <v/>
      </c>
      <c r="M821" s="18" t="str">
        <f aca="false">IFERROR(IF(OR($C821="",COUNT($F821:$J821)&lt;3),"",IF(N(INDEX(Lists!$C$2:$C$40,MATCH($C821,Lists!$A$2:$A$40,0)))=0,"",IF(MIN($F821:$J821)&gt;=INDEX(Lists!$C$2:$C$40,MATCH($C821,Lists!$A$2:$A$40,0)),"LEVEL UP",""))),"")</f>
        <v/>
      </c>
      <c r="N821" s="20"/>
      <c r="O821" s="19"/>
    </row>
    <row r="822" customFormat="false" ht="15" hidden="false" customHeight="false" outlineLevel="0" collapsed="false">
      <c r="A822" s="17"/>
      <c r="B822" s="18" t="str">
        <f aca="false">IF($A822="","",TEXT($A822,"ddd"))</f>
        <v/>
      </c>
      <c r="C822" s="19"/>
      <c r="D822" s="19"/>
      <c r="E822" s="18" t="str">
        <f aca="false">IF($C822="","",IFERROR(INDEX(Lists!$B$2:$B$40,MATCH($C822,Lists!$A$2:$A$40,0)),""))</f>
        <v/>
      </c>
      <c r="F822" s="20"/>
      <c r="G822" s="20"/>
      <c r="H822" s="20"/>
      <c r="I822" s="20"/>
      <c r="J822" s="20"/>
      <c r="K822" s="18" t="str">
        <f aca="false">IF(COUNT($F822:$J822)=0,"",SUM($F822:$J822))</f>
        <v/>
      </c>
      <c r="L822" s="18" t="str">
        <f aca="false">IF(COUNT($F822:$J822)=0,"",MAX($F822:$J822))</f>
        <v/>
      </c>
      <c r="M822" s="18" t="str">
        <f aca="false">IFERROR(IF(OR($C822="",COUNT($F822:$J822)&lt;3),"",IF(N(INDEX(Lists!$C$2:$C$40,MATCH($C822,Lists!$A$2:$A$40,0)))=0,"",IF(MIN($F822:$J822)&gt;=INDEX(Lists!$C$2:$C$40,MATCH($C822,Lists!$A$2:$A$40,0)),"LEVEL UP",""))),"")</f>
        <v/>
      </c>
      <c r="N822" s="20"/>
      <c r="O822" s="19"/>
    </row>
    <row r="823" customFormat="false" ht="15" hidden="false" customHeight="false" outlineLevel="0" collapsed="false">
      <c r="A823" s="17"/>
      <c r="B823" s="18" t="str">
        <f aca="false">IF($A823="","",TEXT($A823,"ddd"))</f>
        <v/>
      </c>
      <c r="C823" s="19"/>
      <c r="D823" s="19"/>
      <c r="E823" s="18" t="str">
        <f aca="false">IF($C823="","",IFERROR(INDEX(Lists!$B$2:$B$40,MATCH($C823,Lists!$A$2:$A$40,0)),""))</f>
        <v/>
      </c>
      <c r="F823" s="20"/>
      <c r="G823" s="20"/>
      <c r="H823" s="20"/>
      <c r="I823" s="20"/>
      <c r="J823" s="20"/>
      <c r="K823" s="18" t="str">
        <f aca="false">IF(COUNT($F823:$J823)=0,"",SUM($F823:$J823))</f>
        <v/>
      </c>
      <c r="L823" s="18" t="str">
        <f aca="false">IF(COUNT($F823:$J823)=0,"",MAX($F823:$J823))</f>
        <v/>
      </c>
      <c r="M823" s="18" t="str">
        <f aca="false">IFERROR(IF(OR($C823="",COUNT($F823:$J823)&lt;3),"",IF(N(INDEX(Lists!$C$2:$C$40,MATCH($C823,Lists!$A$2:$A$40,0)))=0,"",IF(MIN($F823:$J823)&gt;=INDEX(Lists!$C$2:$C$40,MATCH($C823,Lists!$A$2:$A$40,0)),"LEVEL UP",""))),"")</f>
        <v/>
      </c>
      <c r="N823" s="20"/>
      <c r="O823" s="19"/>
    </row>
    <row r="824" customFormat="false" ht="15" hidden="false" customHeight="false" outlineLevel="0" collapsed="false">
      <c r="A824" s="17"/>
      <c r="B824" s="18" t="str">
        <f aca="false">IF($A824="","",TEXT($A824,"ddd"))</f>
        <v/>
      </c>
      <c r="C824" s="19"/>
      <c r="D824" s="19"/>
      <c r="E824" s="18" t="str">
        <f aca="false">IF($C824="","",IFERROR(INDEX(Lists!$B$2:$B$40,MATCH($C824,Lists!$A$2:$A$40,0)),""))</f>
        <v/>
      </c>
      <c r="F824" s="20"/>
      <c r="G824" s="20"/>
      <c r="H824" s="20"/>
      <c r="I824" s="20"/>
      <c r="J824" s="20"/>
      <c r="K824" s="18" t="str">
        <f aca="false">IF(COUNT($F824:$J824)=0,"",SUM($F824:$J824))</f>
        <v/>
      </c>
      <c r="L824" s="18" t="str">
        <f aca="false">IF(COUNT($F824:$J824)=0,"",MAX($F824:$J824))</f>
        <v/>
      </c>
      <c r="M824" s="18" t="str">
        <f aca="false">IFERROR(IF(OR($C824="",COUNT($F824:$J824)&lt;3),"",IF(N(INDEX(Lists!$C$2:$C$40,MATCH($C824,Lists!$A$2:$A$40,0)))=0,"",IF(MIN($F824:$J824)&gt;=INDEX(Lists!$C$2:$C$40,MATCH($C824,Lists!$A$2:$A$40,0)),"LEVEL UP",""))),"")</f>
        <v/>
      </c>
      <c r="N824" s="20"/>
      <c r="O824" s="19"/>
    </row>
    <row r="825" customFormat="false" ht="15" hidden="false" customHeight="false" outlineLevel="0" collapsed="false">
      <c r="A825" s="17"/>
      <c r="B825" s="18" t="str">
        <f aca="false">IF($A825="","",TEXT($A825,"ddd"))</f>
        <v/>
      </c>
      <c r="C825" s="19"/>
      <c r="D825" s="19"/>
      <c r="E825" s="18" t="str">
        <f aca="false">IF($C825="","",IFERROR(INDEX(Lists!$B$2:$B$40,MATCH($C825,Lists!$A$2:$A$40,0)),""))</f>
        <v/>
      </c>
      <c r="F825" s="20"/>
      <c r="G825" s="20"/>
      <c r="H825" s="20"/>
      <c r="I825" s="20"/>
      <c r="J825" s="20"/>
      <c r="K825" s="18" t="str">
        <f aca="false">IF(COUNT($F825:$J825)=0,"",SUM($F825:$J825))</f>
        <v/>
      </c>
      <c r="L825" s="18" t="str">
        <f aca="false">IF(COUNT($F825:$J825)=0,"",MAX($F825:$J825))</f>
        <v/>
      </c>
      <c r="M825" s="18" t="str">
        <f aca="false">IFERROR(IF(OR($C825="",COUNT($F825:$J825)&lt;3),"",IF(N(INDEX(Lists!$C$2:$C$40,MATCH($C825,Lists!$A$2:$A$40,0)))=0,"",IF(MIN($F825:$J825)&gt;=INDEX(Lists!$C$2:$C$40,MATCH($C825,Lists!$A$2:$A$40,0)),"LEVEL UP",""))),"")</f>
        <v/>
      </c>
      <c r="N825" s="20"/>
      <c r="O825" s="19"/>
    </row>
    <row r="826" customFormat="false" ht="15" hidden="false" customHeight="false" outlineLevel="0" collapsed="false">
      <c r="A826" s="17"/>
      <c r="B826" s="18" t="str">
        <f aca="false">IF($A826="","",TEXT($A826,"ddd"))</f>
        <v/>
      </c>
      <c r="C826" s="19"/>
      <c r="D826" s="19"/>
      <c r="E826" s="18" t="str">
        <f aca="false">IF($C826="","",IFERROR(INDEX(Lists!$B$2:$B$40,MATCH($C826,Lists!$A$2:$A$40,0)),""))</f>
        <v/>
      </c>
      <c r="F826" s="20"/>
      <c r="G826" s="20"/>
      <c r="H826" s="20"/>
      <c r="I826" s="20"/>
      <c r="J826" s="20"/>
      <c r="K826" s="18" t="str">
        <f aca="false">IF(COUNT($F826:$J826)=0,"",SUM($F826:$J826))</f>
        <v/>
      </c>
      <c r="L826" s="18" t="str">
        <f aca="false">IF(COUNT($F826:$J826)=0,"",MAX($F826:$J826))</f>
        <v/>
      </c>
      <c r="M826" s="18" t="str">
        <f aca="false">IFERROR(IF(OR($C826="",COUNT($F826:$J826)&lt;3),"",IF(N(INDEX(Lists!$C$2:$C$40,MATCH($C826,Lists!$A$2:$A$40,0)))=0,"",IF(MIN($F826:$J826)&gt;=INDEX(Lists!$C$2:$C$40,MATCH($C826,Lists!$A$2:$A$40,0)),"LEVEL UP",""))),"")</f>
        <v/>
      </c>
      <c r="N826" s="20"/>
      <c r="O826" s="19"/>
    </row>
    <row r="827" customFormat="false" ht="15" hidden="false" customHeight="false" outlineLevel="0" collapsed="false">
      <c r="A827" s="17"/>
      <c r="B827" s="18" t="str">
        <f aca="false">IF($A827="","",TEXT($A827,"ddd"))</f>
        <v/>
      </c>
      <c r="C827" s="19"/>
      <c r="D827" s="19"/>
      <c r="E827" s="18" t="str">
        <f aca="false">IF($C827="","",IFERROR(INDEX(Lists!$B$2:$B$40,MATCH($C827,Lists!$A$2:$A$40,0)),""))</f>
        <v/>
      </c>
      <c r="F827" s="20"/>
      <c r="G827" s="20"/>
      <c r="H827" s="20"/>
      <c r="I827" s="20"/>
      <c r="J827" s="20"/>
      <c r="K827" s="18" t="str">
        <f aca="false">IF(COUNT($F827:$J827)=0,"",SUM($F827:$J827))</f>
        <v/>
      </c>
      <c r="L827" s="18" t="str">
        <f aca="false">IF(COUNT($F827:$J827)=0,"",MAX($F827:$J827))</f>
        <v/>
      </c>
      <c r="M827" s="18" t="str">
        <f aca="false">IFERROR(IF(OR($C827="",COUNT($F827:$J827)&lt;3),"",IF(N(INDEX(Lists!$C$2:$C$40,MATCH($C827,Lists!$A$2:$A$40,0)))=0,"",IF(MIN($F827:$J827)&gt;=INDEX(Lists!$C$2:$C$40,MATCH($C827,Lists!$A$2:$A$40,0)),"LEVEL UP",""))),"")</f>
        <v/>
      </c>
      <c r="N827" s="20"/>
      <c r="O827" s="19"/>
    </row>
    <row r="828" customFormat="false" ht="15" hidden="false" customHeight="false" outlineLevel="0" collapsed="false">
      <c r="A828" s="17"/>
      <c r="B828" s="18" t="str">
        <f aca="false">IF($A828="","",TEXT($A828,"ddd"))</f>
        <v/>
      </c>
      <c r="C828" s="19"/>
      <c r="D828" s="19"/>
      <c r="E828" s="18" t="str">
        <f aca="false">IF($C828="","",IFERROR(INDEX(Lists!$B$2:$B$40,MATCH($C828,Lists!$A$2:$A$40,0)),""))</f>
        <v/>
      </c>
      <c r="F828" s="20"/>
      <c r="G828" s="20"/>
      <c r="H828" s="20"/>
      <c r="I828" s="20"/>
      <c r="J828" s="20"/>
      <c r="K828" s="18" t="str">
        <f aca="false">IF(COUNT($F828:$J828)=0,"",SUM($F828:$J828))</f>
        <v/>
      </c>
      <c r="L828" s="18" t="str">
        <f aca="false">IF(COUNT($F828:$J828)=0,"",MAX($F828:$J828))</f>
        <v/>
      </c>
      <c r="M828" s="18" t="str">
        <f aca="false">IFERROR(IF(OR($C828="",COUNT($F828:$J828)&lt;3),"",IF(N(INDEX(Lists!$C$2:$C$40,MATCH($C828,Lists!$A$2:$A$40,0)))=0,"",IF(MIN($F828:$J828)&gt;=INDEX(Lists!$C$2:$C$40,MATCH($C828,Lists!$A$2:$A$40,0)),"LEVEL UP",""))),"")</f>
        <v/>
      </c>
      <c r="N828" s="20"/>
      <c r="O828" s="19"/>
    </row>
    <row r="829" customFormat="false" ht="15" hidden="false" customHeight="false" outlineLevel="0" collapsed="false">
      <c r="A829" s="17"/>
      <c r="B829" s="18" t="str">
        <f aca="false">IF($A829="","",TEXT($A829,"ddd"))</f>
        <v/>
      </c>
      <c r="C829" s="19"/>
      <c r="D829" s="19"/>
      <c r="E829" s="18" t="str">
        <f aca="false">IF($C829="","",IFERROR(INDEX(Lists!$B$2:$B$40,MATCH($C829,Lists!$A$2:$A$40,0)),""))</f>
        <v/>
      </c>
      <c r="F829" s="20"/>
      <c r="G829" s="20"/>
      <c r="H829" s="20"/>
      <c r="I829" s="20"/>
      <c r="J829" s="20"/>
      <c r="K829" s="18" t="str">
        <f aca="false">IF(COUNT($F829:$J829)=0,"",SUM($F829:$J829))</f>
        <v/>
      </c>
      <c r="L829" s="18" t="str">
        <f aca="false">IF(COUNT($F829:$J829)=0,"",MAX($F829:$J829))</f>
        <v/>
      </c>
      <c r="M829" s="18" t="str">
        <f aca="false">IFERROR(IF(OR($C829="",COUNT($F829:$J829)&lt;3),"",IF(N(INDEX(Lists!$C$2:$C$40,MATCH($C829,Lists!$A$2:$A$40,0)))=0,"",IF(MIN($F829:$J829)&gt;=INDEX(Lists!$C$2:$C$40,MATCH($C829,Lists!$A$2:$A$40,0)),"LEVEL UP",""))),"")</f>
        <v/>
      </c>
      <c r="N829" s="20"/>
      <c r="O829" s="19"/>
    </row>
    <row r="830" customFormat="false" ht="15" hidden="false" customHeight="false" outlineLevel="0" collapsed="false">
      <c r="A830" s="17"/>
      <c r="B830" s="18" t="str">
        <f aca="false">IF($A830="","",TEXT($A830,"ddd"))</f>
        <v/>
      </c>
      <c r="C830" s="19"/>
      <c r="D830" s="19"/>
      <c r="E830" s="18" t="str">
        <f aca="false">IF($C830="","",IFERROR(INDEX(Lists!$B$2:$B$40,MATCH($C830,Lists!$A$2:$A$40,0)),""))</f>
        <v/>
      </c>
      <c r="F830" s="20"/>
      <c r="G830" s="20"/>
      <c r="H830" s="20"/>
      <c r="I830" s="20"/>
      <c r="J830" s="20"/>
      <c r="K830" s="18" t="str">
        <f aca="false">IF(COUNT($F830:$J830)=0,"",SUM($F830:$J830))</f>
        <v/>
      </c>
      <c r="L830" s="18" t="str">
        <f aca="false">IF(COUNT($F830:$J830)=0,"",MAX($F830:$J830))</f>
        <v/>
      </c>
      <c r="M830" s="18" t="str">
        <f aca="false">IFERROR(IF(OR($C830="",COUNT($F830:$J830)&lt;3),"",IF(N(INDEX(Lists!$C$2:$C$40,MATCH($C830,Lists!$A$2:$A$40,0)))=0,"",IF(MIN($F830:$J830)&gt;=INDEX(Lists!$C$2:$C$40,MATCH($C830,Lists!$A$2:$A$40,0)),"LEVEL UP",""))),"")</f>
        <v/>
      </c>
      <c r="N830" s="20"/>
      <c r="O830" s="19"/>
    </row>
    <row r="831" customFormat="false" ht="15" hidden="false" customHeight="false" outlineLevel="0" collapsed="false">
      <c r="A831" s="17"/>
      <c r="B831" s="18" t="str">
        <f aca="false">IF($A831="","",TEXT($A831,"ddd"))</f>
        <v/>
      </c>
      <c r="C831" s="19"/>
      <c r="D831" s="19"/>
      <c r="E831" s="18" t="str">
        <f aca="false">IF($C831="","",IFERROR(INDEX(Lists!$B$2:$B$40,MATCH($C831,Lists!$A$2:$A$40,0)),""))</f>
        <v/>
      </c>
      <c r="F831" s="20"/>
      <c r="G831" s="20"/>
      <c r="H831" s="20"/>
      <c r="I831" s="20"/>
      <c r="J831" s="20"/>
      <c r="K831" s="18" t="str">
        <f aca="false">IF(COUNT($F831:$J831)=0,"",SUM($F831:$J831))</f>
        <v/>
      </c>
      <c r="L831" s="18" t="str">
        <f aca="false">IF(COUNT($F831:$J831)=0,"",MAX($F831:$J831))</f>
        <v/>
      </c>
      <c r="M831" s="18" t="str">
        <f aca="false">IFERROR(IF(OR($C831="",COUNT($F831:$J831)&lt;3),"",IF(N(INDEX(Lists!$C$2:$C$40,MATCH($C831,Lists!$A$2:$A$40,0)))=0,"",IF(MIN($F831:$J831)&gt;=INDEX(Lists!$C$2:$C$40,MATCH($C831,Lists!$A$2:$A$40,0)),"LEVEL UP",""))),"")</f>
        <v/>
      </c>
      <c r="N831" s="20"/>
      <c r="O831" s="19"/>
    </row>
    <row r="832" customFormat="false" ht="15" hidden="false" customHeight="false" outlineLevel="0" collapsed="false">
      <c r="A832" s="17"/>
      <c r="B832" s="18" t="str">
        <f aca="false">IF($A832="","",TEXT($A832,"ddd"))</f>
        <v/>
      </c>
      <c r="C832" s="19"/>
      <c r="D832" s="19"/>
      <c r="E832" s="18" t="str">
        <f aca="false">IF($C832="","",IFERROR(INDEX(Lists!$B$2:$B$40,MATCH($C832,Lists!$A$2:$A$40,0)),""))</f>
        <v/>
      </c>
      <c r="F832" s="20"/>
      <c r="G832" s="20"/>
      <c r="H832" s="20"/>
      <c r="I832" s="20"/>
      <c r="J832" s="20"/>
      <c r="K832" s="18" t="str">
        <f aca="false">IF(COUNT($F832:$J832)=0,"",SUM($F832:$J832))</f>
        <v/>
      </c>
      <c r="L832" s="18" t="str">
        <f aca="false">IF(COUNT($F832:$J832)=0,"",MAX($F832:$J832))</f>
        <v/>
      </c>
      <c r="M832" s="18" t="str">
        <f aca="false">IFERROR(IF(OR($C832="",COUNT($F832:$J832)&lt;3),"",IF(N(INDEX(Lists!$C$2:$C$40,MATCH($C832,Lists!$A$2:$A$40,0)))=0,"",IF(MIN($F832:$J832)&gt;=INDEX(Lists!$C$2:$C$40,MATCH($C832,Lists!$A$2:$A$40,0)),"LEVEL UP",""))),"")</f>
        <v/>
      </c>
      <c r="N832" s="20"/>
      <c r="O832" s="19"/>
    </row>
    <row r="833" customFormat="false" ht="15" hidden="false" customHeight="false" outlineLevel="0" collapsed="false">
      <c r="A833" s="17"/>
      <c r="B833" s="18" t="str">
        <f aca="false">IF($A833="","",TEXT($A833,"ddd"))</f>
        <v/>
      </c>
      <c r="C833" s="19"/>
      <c r="D833" s="19"/>
      <c r="E833" s="18" t="str">
        <f aca="false">IF($C833="","",IFERROR(INDEX(Lists!$B$2:$B$40,MATCH($C833,Lists!$A$2:$A$40,0)),""))</f>
        <v/>
      </c>
      <c r="F833" s="20"/>
      <c r="G833" s="20"/>
      <c r="H833" s="20"/>
      <c r="I833" s="20"/>
      <c r="J833" s="20"/>
      <c r="K833" s="18" t="str">
        <f aca="false">IF(COUNT($F833:$J833)=0,"",SUM($F833:$J833))</f>
        <v/>
      </c>
      <c r="L833" s="18" t="str">
        <f aca="false">IF(COUNT($F833:$J833)=0,"",MAX($F833:$J833))</f>
        <v/>
      </c>
      <c r="M833" s="18" t="str">
        <f aca="false">IFERROR(IF(OR($C833="",COUNT($F833:$J833)&lt;3),"",IF(N(INDEX(Lists!$C$2:$C$40,MATCH($C833,Lists!$A$2:$A$40,0)))=0,"",IF(MIN($F833:$J833)&gt;=INDEX(Lists!$C$2:$C$40,MATCH($C833,Lists!$A$2:$A$40,0)),"LEVEL UP",""))),"")</f>
        <v/>
      </c>
      <c r="N833" s="20"/>
      <c r="O833" s="19"/>
    </row>
    <row r="834" customFormat="false" ht="15" hidden="false" customHeight="false" outlineLevel="0" collapsed="false">
      <c r="A834" s="17"/>
      <c r="B834" s="18" t="str">
        <f aca="false">IF($A834="","",TEXT($A834,"ddd"))</f>
        <v/>
      </c>
      <c r="C834" s="19"/>
      <c r="D834" s="19"/>
      <c r="E834" s="18" t="str">
        <f aca="false">IF($C834="","",IFERROR(INDEX(Lists!$B$2:$B$40,MATCH($C834,Lists!$A$2:$A$40,0)),""))</f>
        <v/>
      </c>
      <c r="F834" s="20"/>
      <c r="G834" s="20"/>
      <c r="H834" s="20"/>
      <c r="I834" s="20"/>
      <c r="J834" s="20"/>
      <c r="K834" s="18" t="str">
        <f aca="false">IF(COUNT($F834:$J834)=0,"",SUM($F834:$J834))</f>
        <v/>
      </c>
      <c r="L834" s="18" t="str">
        <f aca="false">IF(COUNT($F834:$J834)=0,"",MAX($F834:$J834))</f>
        <v/>
      </c>
      <c r="M834" s="18" t="str">
        <f aca="false">IFERROR(IF(OR($C834="",COUNT($F834:$J834)&lt;3),"",IF(N(INDEX(Lists!$C$2:$C$40,MATCH($C834,Lists!$A$2:$A$40,0)))=0,"",IF(MIN($F834:$J834)&gt;=INDEX(Lists!$C$2:$C$40,MATCH($C834,Lists!$A$2:$A$40,0)),"LEVEL UP",""))),"")</f>
        <v/>
      </c>
      <c r="N834" s="20"/>
      <c r="O834" s="19"/>
    </row>
    <row r="835" customFormat="false" ht="15" hidden="false" customHeight="false" outlineLevel="0" collapsed="false">
      <c r="A835" s="17"/>
      <c r="B835" s="18" t="str">
        <f aca="false">IF($A835="","",TEXT($A835,"ddd"))</f>
        <v/>
      </c>
      <c r="C835" s="19"/>
      <c r="D835" s="19"/>
      <c r="E835" s="18" t="str">
        <f aca="false">IF($C835="","",IFERROR(INDEX(Lists!$B$2:$B$40,MATCH($C835,Lists!$A$2:$A$40,0)),""))</f>
        <v/>
      </c>
      <c r="F835" s="20"/>
      <c r="G835" s="20"/>
      <c r="H835" s="20"/>
      <c r="I835" s="20"/>
      <c r="J835" s="20"/>
      <c r="K835" s="18" t="str">
        <f aca="false">IF(COUNT($F835:$J835)=0,"",SUM($F835:$J835))</f>
        <v/>
      </c>
      <c r="L835" s="18" t="str">
        <f aca="false">IF(COUNT($F835:$J835)=0,"",MAX($F835:$J835))</f>
        <v/>
      </c>
      <c r="M835" s="18" t="str">
        <f aca="false">IFERROR(IF(OR($C835="",COUNT($F835:$J835)&lt;3),"",IF(N(INDEX(Lists!$C$2:$C$40,MATCH($C835,Lists!$A$2:$A$40,0)))=0,"",IF(MIN($F835:$J835)&gt;=INDEX(Lists!$C$2:$C$40,MATCH($C835,Lists!$A$2:$A$40,0)),"LEVEL UP",""))),"")</f>
        <v/>
      </c>
      <c r="N835" s="20"/>
      <c r="O835" s="19"/>
    </row>
    <row r="836" customFormat="false" ht="15" hidden="false" customHeight="false" outlineLevel="0" collapsed="false">
      <c r="A836" s="17"/>
      <c r="B836" s="18" t="str">
        <f aca="false">IF($A836="","",TEXT($A836,"ddd"))</f>
        <v/>
      </c>
      <c r="C836" s="19"/>
      <c r="D836" s="19"/>
      <c r="E836" s="18" t="str">
        <f aca="false">IF($C836="","",IFERROR(INDEX(Lists!$B$2:$B$40,MATCH($C836,Lists!$A$2:$A$40,0)),""))</f>
        <v/>
      </c>
      <c r="F836" s="20"/>
      <c r="G836" s="20"/>
      <c r="H836" s="20"/>
      <c r="I836" s="20"/>
      <c r="J836" s="20"/>
      <c r="K836" s="18" t="str">
        <f aca="false">IF(COUNT($F836:$J836)=0,"",SUM($F836:$J836))</f>
        <v/>
      </c>
      <c r="L836" s="18" t="str">
        <f aca="false">IF(COUNT($F836:$J836)=0,"",MAX($F836:$J836))</f>
        <v/>
      </c>
      <c r="M836" s="18" t="str">
        <f aca="false">IFERROR(IF(OR($C836="",COUNT($F836:$J836)&lt;3),"",IF(N(INDEX(Lists!$C$2:$C$40,MATCH($C836,Lists!$A$2:$A$40,0)))=0,"",IF(MIN($F836:$J836)&gt;=INDEX(Lists!$C$2:$C$40,MATCH($C836,Lists!$A$2:$A$40,0)),"LEVEL UP",""))),"")</f>
        <v/>
      </c>
      <c r="N836" s="20"/>
      <c r="O836" s="19"/>
    </row>
    <row r="837" customFormat="false" ht="15" hidden="false" customHeight="false" outlineLevel="0" collapsed="false">
      <c r="A837" s="17"/>
      <c r="B837" s="18" t="str">
        <f aca="false">IF($A837="","",TEXT($A837,"ddd"))</f>
        <v/>
      </c>
      <c r="C837" s="19"/>
      <c r="D837" s="19"/>
      <c r="E837" s="18" t="str">
        <f aca="false">IF($C837="","",IFERROR(INDEX(Lists!$B$2:$B$40,MATCH($C837,Lists!$A$2:$A$40,0)),""))</f>
        <v/>
      </c>
      <c r="F837" s="20"/>
      <c r="G837" s="20"/>
      <c r="H837" s="20"/>
      <c r="I837" s="20"/>
      <c r="J837" s="20"/>
      <c r="K837" s="18" t="str">
        <f aca="false">IF(COUNT($F837:$J837)=0,"",SUM($F837:$J837))</f>
        <v/>
      </c>
      <c r="L837" s="18" t="str">
        <f aca="false">IF(COUNT($F837:$J837)=0,"",MAX($F837:$J837))</f>
        <v/>
      </c>
      <c r="M837" s="18" t="str">
        <f aca="false">IFERROR(IF(OR($C837="",COUNT($F837:$J837)&lt;3),"",IF(N(INDEX(Lists!$C$2:$C$40,MATCH($C837,Lists!$A$2:$A$40,0)))=0,"",IF(MIN($F837:$J837)&gt;=INDEX(Lists!$C$2:$C$40,MATCH($C837,Lists!$A$2:$A$40,0)),"LEVEL UP",""))),"")</f>
        <v/>
      </c>
      <c r="N837" s="20"/>
      <c r="O837" s="19"/>
    </row>
    <row r="838" customFormat="false" ht="15" hidden="false" customHeight="false" outlineLevel="0" collapsed="false">
      <c r="A838" s="17"/>
      <c r="B838" s="18" t="str">
        <f aca="false">IF($A838="","",TEXT($A838,"ddd"))</f>
        <v/>
      </c>
      <c r="C838" s="19"/>
      <c r="D838" s="19"/>
      <c r="E838" s="18" t="str">
        <f aca="false">IF($C838="","",IFERROR(INDEX(Lists!$B$2:$B$40,MATCH($C838,Lists!$A$2:$A$40,0)),""))</f>
        <v/>
      </c>
      <c r="F838" s="20"/>
      <c r="G838" s="20"/>
      <c r="H838" s="20"/>
      <c r="I838" s="20"/>
      <c r="J838" s="20"/>
      <c r="K838" s="18" t="str">
        <f aca="false">IF(COUNT($F838:$J838)=0,"",SUM($F838:$J838))</f>
        <v/>
      </c>
      <c r="L838" s="18" t="str">
        <f aca="false">IF(COUNT($F838:$J838)=0,"",MAX($F838:$J838))</f>
        <v/>
      </c>
      <c r="M838" s="18" t="str">
        <f aca="false">IFERROR(IF(OR($C838="",COUNT($F838:$J838)&lt;3),"",IF(N(INDEX(Lists!$C$2:$C$40,MATCH($C838,Lists!$A$2:$A$40,0)))=0,"",IF(MIN($F838:$J838)&gt;=INDEX(Lists!$C$2:$C$40,MATCH($C838,Lists!$A$2:$A$40,0)),"LEVEL UP",""))),"")</f>
        <v/>
      </c>
      <c r="N838" s="20"/>
      <c r="O838" s="19"/>
    </row>
    <row r="839" customFormat="false" ht="15" hidden="false" customHeight="false" outlineLevel="0" collapsed="false">
      <c r="A839" s="17"/>
      <c r="B839" s="18" t="str">
        <f aca="false">IF($A839="","",TEXT($A839,"ddd"))</f>
        <v/>
      </c>
      <c r="C839" s="19"/>
      <c r="D839" s="19"/>
      <c r="E839" s="18" t="str">
        <f aca="false">IF($C839="","",IFERROR(INDEX(Lists!$B$2:$B$40,MATCH($C839,Lists!$A$2:$A$40,0)),""))</f>
        <v/>
      </c>
      <c r="F839" s="20"/>
      <c r="G839" s="20"/>
      <c r="H839" s="20"/>
      <c r="I839" s="20"/>
      <c r="J839" s="20"/>
      <c r="K839" s="18" t="str">
        <f aca="false">IF(COUNT($F839:$J839)=0,"",SUM($F839:$J839))</f>
        <v/>
      </c>
      <c r="L839" s="18" t="str">
        <f aca="false">IF(COUNT($F839:$J839)=0,"",MAX($F839:$J839))</f>
        <v/>
      </c>
      <c r="M839" s="18" t="str">
        <f aca="false">IFERROR(IF(OR($C839="",COUNT($F839:$J839)&lt;3),"",IF(N(INDEX(Lists!$C$2:$C$40,MATCH($C839,Lists!$A$2:$A$40,0)))=0,"",IF(MIN($F839:$J839)&gt;=INDEX(Lists!$C$2:$C$40,MATCH($C839,Lists!$A$2:$A$40,0)),"LEVEL UP",""))),"")</f>
        <v/>
      </c>
      <c r="N839" s="20"/>
      <c r="O839" s="19"/>
    </row>
    <row r="840" customFormat="false" ht="15" hidden="false" customHeight="false" outlineLevel="0" collapsed="false">
      <c r="A840" s="17"/>
      <c r="B840" s="18" t="str">
        <f aca="false">IF($A840="","",TEXT($A840,"ddd"))</f>
        <v/>
      </c>
      <c r="C840" s="19"/>
      <c r="D840" s="19"/>
      <c r="E840" s="18" t="str">
        <f aca="false">IF($C840="","",IFERROR(INDEX(Lists!$B$2:$B$40,MATCH($C840,Lists!$A$2:$A$40,0)),""))</f>
        <v/>
      </c>
      <c r="F840" s="20"/>
      <c r="G840" s="20"/>
      <c r="H840" s="20"/>
      <c r="I840" s="20"/>
      <c r="J840" s="20"/>
      <c r="K840" s="18" t="str">
        <f aca="false">IF(COUNT($F840:$J840)=0,"",SUM($F840:$J840))</f>
        <v/>
      </c>
      <c r="L840" s="18" t="str">
        <f aca="false">IF(COUNT($F840:$J840)=0,"",MAX($F840:$J840))</f>
        <v/>
      </c>
      <c r="M840" s="18" t="str">
        <f aca="false">IFERROR(IF(OR($C840="",COUNT($F840:$J840)&lt;3),"",IF(N(INDEX(Lists!$C$2:$C$40,MATCH($C840,Lists!$A$2:$A$40,0)))=0,"",IF(MIN($F840:$J840)&gt;=INDEX(Lists!$C$2:$C$40,MATCH($C840,Lists!$A$2:$A$40,0)),"LEVEL UP",""))),"")</f>
        <v/>
      </c>
      <c r="N840" s="20"/>
      <c r="O840" s="19"/>
    </row>
    <row r="841" customFormat="false" ht="15" hidden="false" customHeight="false" outlineLevel="0" collapsed="false">
      <c r="A841" s="17"/>
      <c r="B841" s="18" t="str">
        <f aca="false">IF($A841="","",TEXT($A841,"ddd"))</f>
        <v/>
      </c>
      <c r="C841" s="19"/>
      <c r="D841" s="19"/>
      <c r="E841" s="18" t="str">
        <f aca="false">IF($C841="","",IFERROR(INDEX(Lists!$B$2:$B$40,MATCH($C841,Lists!$A$2:$A$40,0)),""))</f>
        <v/>
      </c>
      <c r="F841" s="20"/>
      <c r="G841" s="20"/>
      <c r="H841" s="20"/>
      <c r="I841" s="20"/>
      <c r="J841" s="20"/>
      <c r="K841" s="18" t="str">
        <f aca="false">IF(COUNT($F841:$J841)=0,"",SUM($F841:$J841))</f>
        <v/>
      </c>
      <c r="L841" s="18" t="str">
        <f aca="false">IF(COUNT($F841:$J841)=0,"",MAX($F841:$J841))</f>
        <v/>
      </c>
      <c r="M841" s="18" t="str">
        <f aca="false">IFERROR(IF(OR($C841="",COUNT($F841:$J841)&lt;3),"",IF(N(INDEX(Lists!$C$2:$C$40,MATCH($C841,Lists!$A$2:$A$40,0)))=0,"",IF(MIN($F841:$J841)&gt;=INDEX(Lists!$C$2:$C$40,MATCH($C841,Lists!$A$2:$A$40,0)),"LEVEL UP",""))),"")</f>
        <v/>
      </c>
      <c r="N841" s="20"/>
      <c r="O841" s="19"/>
    </row>
    <row r="842" customFormat="false" ht="15" hidden="false" customHeight="false" outlineLevel="0" collapsed="false">
      <c r="A842" s="17"/>
      <c r="B842" s="18" t="str">
        <f aca="false">IF($A842="","",TEXT($A842,"ddd"))</f>
        <v/>
      </c>
      <c r="C842" s="19"/>
      <c r="D842" s="19"/>
      <c r="E842" s="18" t="str">
        <f aca="false">IF($C842="","",IFERROR(INDEX(Lists!$B$2:$B$40,MATCH($C842,Lists!$A$2:$A$40,0)),""))</f>
        <v/>
      </c>
      <c r="F842" s="20"/>
      <c r="G842" s="20"/>
      <c r="H842" s="20"/>
      <c r="I842" s="20"/>
      <c r="J842" s="20"/>
      <c r="K842" s="18" t="str">
        <f aca="false">IF(COUNT($F842:$J842)=0,"",SUM($F842:$J842))</f>
        <v/>
      </c>
      <c r="L842" s="18" t="str">
        <f aca="false">IF(COUNT($F842:$J842)=0,"",MAX($F842:$J842))</f>
        <v/>
      </c>
      <c r="M842" s="18" t="str">
        <f aca="false">IFERROR(IF(OR($C842="",COUNT($F842:$J842)&lt;3),"",IF(N(INDEX(Lists!$C$2:$C$40,MATCH($C842,Lists!$A$2:$A$40,0)))=0,"",IF(MIN($F842:$J842)&gt;=INDEX(Lists!$C$2:$C$40,MATCH($C842,Lists!$A$2:$A$40,0)),"LEVEL UP",""))),"")</f>
        <v/>
      </c>
      <c r="N842" s="20"/>
      <c r="O842" s="19"/>
    </row>
    <row r="843" customFormat="false" ht="15" hidden="false" customHeight="false" outlineLevel="0" collapsed="false">
      <c r="A843" s="17"/>
      <c r="B843" s="18" t="str">
        <f aca="false">IF($A843="","",TEXT($A843,"ddd"))</f>
        <v/>
      </c>
      <c r="C843" s="19"/>
      <c r="D843" s="19"/>
      <c r="E843" s="18" t="str">
        <f aca="false">IF($C843="","",IFERROR(INDEX(Lists!$B$2:$B$40,MATCH($C843,Lists!$A$2:$A$40,0)),""))</f>
        <v/>
      </c>
      <c r="F843" s="20"/>
      <c r="G843" s="20"/>
      <c r="H843" s="20"/>
      <c r="I843" s="20"/>
      <c r="J843" s="20"/>
      <c r="K843" s="18" t="str">
        <f aca="false">IF(COUNT($F843:$J843)=0,"",SUM($F843:$J843))</f>
        <v/>
      </c>
      <c r="L843" s="18" t="str">
        <f aca="false">IF(COUNT($F843:$J843)=0,"",MAX($F843:$J843))</f>
        <v/>
      </c>
      <c r="M843" s="18" t="str">
        <f aca="false">IFERROR(IF(OR($C843="",COUNT($F843:$J843)&lt;3),"",IF(N(INDEX(Lists!$C$2:$C$40,MATCH($C843,Lists!$A$2:$A$40,0)))=0,"",IF(MIN($F843:$J843)&gt;=INDEX(Lists!$C$2:$C$40,MATCH($C843,Lists!$A$2:$A$40,0)),"LEVEL UP",""))),"")</f>
        <v/>
      </c>
      <c r="N843" s="20"/>
      <c r="O843" s="19"/>
    </row>
    <row r="844" customFormat="false" ht="15" hidden="false" customHeight="false" outlineLevel="0" collapsed="false">
      <c r="A844" s="17"/>
      <c r="B844" s="18" t="str">
        <f aca="false">IF($A844="","",TEXT($A844,"ddd"))</f>
        <v/>
      </c>
      <c r="C844" s="19"/>
      <c r="D844" s="19"/>
      <c r="E844" s="18" t="str">
        <f aca="false">IF($C844="","",IFERROR(INDEX(Lists!$B$2:$B$40,MATCH($C844,Lists!$A$2:$A$40,0)),""))</f>
        <v/>
      </c>
      <c r="F844" s="20"/>
      <c r="G844" s="20"/>
      <c r="H844" s="20"/>
      <c r="I844" s="20"/>
      <c r="J844" s="20"/>
      <c r="K844" s="18" t="str">
        <f aca="false">IF(COUNT($F844:$J844)=0,"",SUM($F844:$J844))</f>
        <v/>
      </c>
      <c r="L844" s="18" t="str">
        <f aca="false">IF(COUNT($F844:$J844)=0,"",MAX($F844:$J844))</f>
        <v/>
      </c>
      <c r="M844" s="18" t="str">
        <f aca="false">IFERROR(IF(OR($C844="",COUNT($F844:$J844)&lt;3),"",IF(N(INDEX(Lists!$C$2:$C$40,MATCH($C844,Lists!$A$2:$A$40,0)))=0,"",IF(MIN($F844:$J844)&gt;=INDEX(Lists!$C$2:$C$40,MATCH($C844,Lists!$A$2:$A$40,0)),"LEVEL UP",""))),"")</f>
        <v/>
      </c>
      <c r="N844" s="20"/>
      <c r="O844" s="19"/>
    </row>
    <row r="845" customFormat="false" ht="15" hidden="false" customHeight="false" outlineLevel="0" collapsed="false">
      <c r="A845" s="17"/>
      <c r="B845" s="18" t="str">
        <f aca="false">IF($A845="","",TEXT($A845,"ddd"))</f>
        <v/>
      </c>
      <c r="C845" s="19"/>
      <c r="D845" s="19"/>
      <c r="E845" s="18" t="str">
        <f aca="false">IF($C845="","",IFERROR(INDEX(Lists!$B$2:$B$40,MATCH($C845,Lists!$A$2:$A$40,0)),""))</f>
        <v/>
      </c>
      <c r="F845" s="20"/>
      <c r="G845" s="20"/>
      <c r="H845" s="20"/>
      <c r="I845" s="20"/>
      <c r="J845" s="20"/>
      <c r="K845" s="18" t="str">
        <f aca="false">IF(COUNT($F845:$J845)=0,"",SUM($F845:$J845))</f>
        <v/>
      </c>
      <c r="L845" s="18" t="str">
        <f aca="false">IF(COUNT($F845:$J845)=0,"",MAX($F845:$J845))</f>
        <v/>
      </c>
      <c r="M845" s="18" t="str">
        <f aca="false">IFERROR(IF(OR($C845="",COUNT($F845:$J845)&lt;3),"",IF(N(INDEX(Lists!$C$2:$C$40,MATCH($C845,Lists!$A$2:$A$40,0)))=0,"",IF(MIN($F845:$J845)&gt;=INDEX(Lists!$C$2:$C$40,MATCH($C845,Lists!$A$2:$A$40,0)),"LEVEL UP",""))),"")</f>
        <v/>
      </c>
      <c r="N845" s="20"/>
      <c r="O845" s="19"/>
    </row>
    <row r="846" customFormat="false" ht="15" hidden="false" customHeight="false" outlineLevel="0" collapsed="false">
      <c r="A846" s="17"/>
      <c r="B846" s="18" t="str">
        <f aca="false">IF($A846="","",TEXT($A846,"ddd"))</f>
        <v/>
      </c>
      <c r="C846" s="19"/>
      <c r="D846" s="19"/>
      <c r="E846" s="18" t="str">
        <f aca="false">IF($C846="","",IFERROR(INDEX(Lists!$B$2:$B$40,MATCH($C846,Lists!$A$2:$A$40,0)),""))</f>
        <v/>
      </c>
      <c r="F846" s="20"/>
      <c r="G846" s="20"/>
      <c r="H846" s="20"/>
      <c r="I846" s="20"/>
      <c r="J846" s="20"/>
      <c r="K846" s="18" t="str">
        <f aca="false">IF(COUNT($F846:$J846)=0,"",SUM($F846:$J846))</f>
        <v/>
      </c>
      <c r="L846" s="18" t="str">
        <f aca="false">IF(COUNT($F846:$J846)=0,"",MAX($F846:$J846))</f>
        <v/>
      </c>
      <c r="M846" s="18" t="str">
        <f aca="false">IFERROR(IF(OR($C846="",COUNT($F846:$J846)&lt;3),"",IF(N(INDEX(Lists!$C$2:$C$40,MATCH($C846,Lists!$A$2:$A$40,0)))=0,"",IF(MIN($F846:$J846)&gt;=INDEX(Lists!$C$2:$C$40,MATCH($C846,Lists!$A$2:$A$40,0)),"LEVEL UP",""))),"")</f>
        <v/>
      </c>
      <c r="N846" s="20"/>
      <c r="O846" s="19"/>
    </row>
    <row r="847" customFormat="false" ht="15" hidden="false" customHeight="false" outlineLevel="0" collapsed="false">
      <c r="A847" s="17"/>
      <c r="B847" s="18" t="str">
        <f aca="false">IF($A847="","",TEXT($A847,"ddd"))</f>
        <v/>
      </c>
      <c r="C847" s="19"/>
      <c r="D847" s="19"/>
      <c r="E847" s="18" t="str">
        <f aca="false">IF($C847="","",IFERROR(INDEX(Lists!$B$2:$B$40,MATCH($C847,Lists!$A$2:$A$40,0)),""))</f>
        <v/>
      </c>
      <c r="F847" s="20"/>
      <c r="G847" s="20"/>
      <c r="H847" s="20"/>
      <c r="I847" s="20"/>
      <c r="J847" s="20"/>
      <c r="K847" s="18" t="str">
        <f aca="false">IF(COUNT($F847:$J847)=0,"",SUM($F847:$J847))</f>
        <v/>
      </c>
      <c r="L847" s="18" t="str">
        <f aca="false">IF(COUNT($F847:$J847)=0,"",MAX($F847:$J847))</f>
        <v/>
      </c>
      <c r="M847" s="18" t="str">
        <f aca="false">IFERROR(IF(OR($C847="",COUNT($F847:$J847)&lt;3),"",IF(N(INDEX(Lists!$C$2:$C$40,MATCH($C847,Lists!$A$2:$A$40,0)))=0,"",IF(MIN($F847:$J847)&gt;=INDEX(Lists!$C$2:$C$40,MATCH($C847,Lists!$A$2:$A$40,0)),"LEVEL UP",""))),"")</f>
        <v/>
      </c>
      <c r="N847" s="20"/>
      <c r="O847" s="19"/>
    </row>
    <row r="848" customFormat="false" ht="15" hidden="false" customHeight="false" outlineLevel="0" collapsed="false">
      <c r="A848" s="17"/>
      <c r="B848" s="18" t="str">
        <f aca="false">IF($A848="","",TEXT($A848,"ddd"))</f>
        <v/>
      </c>
      <c r="C848" s="19"/>
      <c r="D848" s="19"/>
      <c r="E848" s="18" t="str">
        <f aca="false">IF($C848="","",IFERROR(INDEX(Lists!$B$2:$B$40,MATCH($C848,Lists!$A$2:$A$40,0)),""))</f>
        <v/>
      </c>
      <c r="F848" s="20"/>
      <c r="G848" s="20"/>
      <c r="H848" s="20"/>
      <c r="I848" s="20"/>
      <c r="J848" s="20"/>
      <c r="K848" s="18" t="str">
        <f aca="false">IF(COUNT($F848:$J848)=0,"",SUM($F848:$J848))</f>
        <v/>
      </c>
      <c r="L848" s="18" t="str">
        <f aca="false">IF(COUNT($F848:$J848)=0,"",MAX($F848:$J848))</f>
        <v/>
      </c>
      <c r="M848" s="18" t="str">
        <f aca="false">IFERROR(IF(OR($C848="",COUNT($F848:$J848)&lt;3),"",IF(N(INDEX(Lists!$C$2:$C$40,MATCH($C848,Lists!$A$2:$A$40,0)))=0,"",IF(MIN($F848:$J848)&gt;=INDEX(Lists!$C$2:$C$40,MATCH($C848,Lists!$A$2:$A$40,0)),"LEVEL UP",""))),"")</f>
        <v/>
      </c>
      <c r="N848" s="20"/>
      <c r="O848" s="19"/>
    </row>
    <row r="849" customFormat="false" ht="15" hidden="false" customHeight="false" outlineLevel="0" collapsed="false">
      <c r="A849" s="17"/>
      <c r="B849" s="18" t="str">
        <f aca="false">IF($A849="","",TEXT($A849,"ddd"))</f>
        <v/>
      </c>
      <c r="C849" s="19"/>
      <c r="D849" s="19"/>
      <c r="E849" s="18" t="str">
        <f aca="false">IF($C849="","",IFERROR(INDEX(Lists!$B$2:$B$40,MATCH($C849,Lists!$A$2:$A$40,0)),""))</f>
        <v/>
      </c>
      <c r="F849" s="20"/>
      <c r="G849" s="20"/>
      <c r="H849" s="20"/>
      <c r="I849" s="20"/>
      <c r="J849" s="20"/>
      <c r="K849" s="18" t="str">
        <f aca="false">IF(COUNT($F849:$J849)=0,"",SUM($F849:$J849))</f>
        <v/>
      </c>
      <c r="L849" s="18" t="str">
        <f aca="false">IF(COUNT($F849:$J849)=0,"",MAX($F849:$J849))</f>
        <v/>
      </c>
      <c r="M849" s="18" t="str">
        <f aca="false">IFERROR(IF(OR($C849="",COUNT($F849:$J849)&lt;3),"",IF(N(INDEX(Lists!$C$2:$C$40,MATCH($C849,Lists!$A$2:$A$40,0)))=0,"",IF(MIN($F849:$J849)&gt;=INDEX(Lists!$C$2:$C$40,MATCH($C849,Lists!$A$2:$A$40,0)),"LEVEL UP",""))),"")</f>
        <v/>
      </c>
      <c r="N849" s="20"/>
      <c r="O849" s="19"/>
    </row>
    <row r="850" customFormat="false" ht="15" hidden="false" customHeight="false" outlineLevel="0" collapsed="false">
      <c r="A850" s="17"/>
      <c r="B850" s="18" t="str">
        <f aca="false">IF($A850="","",TEXT($A850,"ddd"))</f>
        <v/>
      </c>
      <c r="C850" s="19"/>
      <c r="D850" s="19"/>
      <c r="E850" s="18" t="str">
        <f aca="false">IF($C850="","",IFERROR(INDEX(Lists!$B$2:$B$40,MATCH($C850,Lists!$A$2:$A$40,0)),""))</f>
        <v/>
      </c>
      <c r="F850" s="20"/>
      <c r="G850" s="20"/>
      <c r="H850" s="20"/>
      <c r="I850" s="20"/>
      <c r="J850" s="20"/>
      <c r="K850" s="18" t="str">
        <f aca="false">IF(COUNT($F850:$J850)=0,"",SUM($F850:$J850))</f>
        <v/>
      </c>
      <c r="L850" s="18" t="str">
        <f aca="false">IF(COUNT($F850:$J850)=0,"",MAX($F850:$J850))</f>
        <v/>
      </c>
      <c r="M850" s="18" t="str">
        <f aca="false">IFERROR(IF(OR($C850="",COUNT($F850:$J850)&lt;3),"",IF(N(INDEX(Lists!$C$2:$C$40,MATCH($C850,Lists!$A$2:$A$40,0)))=0,"",IF(MIN($F850:$J850)&gt;=INDEX(Lists!$C$2:$C$40,MATCH($C850,Lists!$A$2:$A$40,0)),"LEVEL UP",""))),"")</f>
        <v/>
      </c>
      <c r="N850" s="20"/>
      <c r="O850" s="19"/>
    </row>
    <row r="851" customFormat="false" ht="15" hidden="false" customHeight="false" outlineLevel="0" collapsed="false">
      <c r="A851" s="17"/>
      <c r="B851" s="18" t="str">
        <f aca="false">IF($A851="","",TEXT($A851,"ddd"))</f>
        <v/>
      </c>
      <c r="C851" s="19"/>
      <c r="D851" s="19"/>
      <c r="E851" s="18" t="str">
        <f aca="false">IF($C851="","",IFERROR(INDEX(Lists!$B$2:$B$40,MATCH($C851,Lists!$A$2:$A$40,0)),""))</f>
        <v/>
      </c>
      <c r="F851" s="20"/>
      <c r="G851" s="20"/>
      <c r="H851" s="20"/>
      <c r="I851" s="20"/>
      <c r="J851" s="20"/>
      <c r="K851" s="18" t="str">
        <f aca="false">IF(COUNT($F851:$J851)=0,"",SUM($F851:$J851))</f>
        <v/>
      </c>
      <c r="L851" s="18" t="str">
        <f aca="false">IF(COUNT($F851:$J851)=0,"",MAX($F851:$J851))</f>
        <v/>
      </c>
      <c r="M851" s="18" t="str">
        <f aca="false">IFERROR(IF(OR($C851="",COUNT($F851:$J851)&lt;3),"",IF(N(INDEX(Lists!$C$2:$C$40,MATCH($C851,Lists!$A$2:$A$40,0)))=0,"",IF(MIN($F851:$J851)&gt;=INDEX(Lists!$C$2:$C$40,MATCH($C851,Lists!$A$2:$A$40,0)),"LEVEL UP",""))),"")</f>
        <v/>
      </c>
      <c r="N851" s="20"/>
      <c r="O851" s="19"/>
    </row>
    <row r="852" customFormat="false" ht="15" hidden="false" customHeight="false" outlineLevel="0" collapsed="false">
      <c r="A852" s="17"/>
      <c r="B852" s="18" t="str">
        <f aca="false">IF($A852="","",TEXT($A852,"ddd"))</f>
        <v/>
      </c>
      <c r="C852" s="19"/>
      <c r="D852" s="19"/>
      <c r="E852" s="18" t="str">
        <f aca="false">IF($C852="","",IFERROR(INDEX(Lists!$B$2:$B$40,MATCH($C852,Lists!$A$2:$A$40,0)),""))</f>
        <v/>
      </c>
      <c r="F852" s="20"/>
      <c r="G852" s="20"/>
      <c r="H852" s="20"/>
      <c r="I852" s="20"/>
      <c r="J852" s="20"/>
      <c r="K852" s="18" t="str">
        <f aca="false">IF(COUNT($F852:$J852)=0,"",SUM($F852:$J852))</f>
        <v/>
      </c>
      <c r="L852" s="18" t="str">
        <f aca="false">IF(COUNT($F852:$J852)=0,"",MAX($F852:$J852))</f>
        <v/>
      </c>
      <c r="M852" s="18" t="str">
        <f aca="false">IFERROR(IF(OR($C852="",COUNT($F852:$J852)&lt;3),"",IF(N(INDEX(Lists!$C$2:$C$40,MATCH($C852,Lists!$A$2:$A$40,0)))=0,"",IF(MIN($F852:$J852)&gt;=INDEX(Lists!$C$2:$C$40,MATCH($C852,Lists!$A$2:$A$40,0)),"LEVEL UP",""))),"")</f>
        <v/>
      </c>
      <c r="N852" s="20"/>
      <c r="O852" s="19"/>
    </row>
    <row r="853" customFormat="false" ht="15" hidden="false" customHeight="false" outlineLevel="0" collapsed="false">
      <c r="A853" s="17"/>
      <c r="B853" s="18" t="str">
        <f aca="false">IF($A853="","",TEXT($A853,"ddd"))</f>
        <v/>
      </c>
      <c r="C853" s="19"/>
      <c r="D853" s="19"/>
      <c r="E853" s="18" t="str">
        <f aca="false">IF($C853="","",IFERROR(INDEX(Lists!$B$2:$B$40,MATCH($C853,Lists!$A$2:$A$40,0)),""))</f>
        <v/>
      </c>
      <c r="F853" s="20"/>
      <c r="G853" s="20"/>
      <c r="H853" s="20"/>
      <c r="I853" s="20"/>
      <c r="J853" s="20"/>
      <c r="K853" s="18" t="str">
        <f aca="false">IF(COUNT($F853:$J853)=0,"",SUM($F853:$J853))</f>
        <v/>
      </c>
      <c r="L853" s="18" t="str">
        <f aca="false">IF(COUNT($F853:$J853)=0,"",MAX($F853:$J853))</f>
        <v/>
      </c>
      <c r="M853" s="18" t="str">
        <f aca="false">IFERROR(IF(OR($C853="",COUNT($F853:$J853)&lt;3),"",IF(N(INDEX(Lists!$C$2:$C$40,MATCH($C853,Lists!$A$2:$A$40,0)))=0,"",IF(MIN($F853:$J853)&gt;=INDEX(Lists!$C$2:$C$40,MATCH($C853,Lists!$A$2:$A$40,0)),"LEVEL UP",""))),"")</f>
        <v/>
      </c>
      <c r="N853" s="20"/>
      <c r="O853" s="19"/>
    </row>
    <row r="854" customFormat="false" ht="15" hidden="false" customHeight="false" outlineLevel="0" collapsed="false">
      <c r="A854" s="17"/>
      <c r="B854" s="18" t="str">
        <f aca="false">IF($A854="","",TEXT($A854,"ddd"))</f>
        <v/>
      </c>
      <c r="C854" s="19"/>
      <c r="D854" s="19"/>
      <c r="E854" s="18" t="str">
        <f aca="false">IF($C854="","",IFERROR(INDEX(Lists!$B$2:$B$40,MATCH($C854,Lists!$A$2:$A$40,0)),""))</f>
        <v/>
      </c>
      <c r="F854" s="20"/>
      <c r="G854" s="20"/>
      <c r="H854" s="20"/>
      <c r="I854" s="20"/>
      <c r="J854" s="20"/>
      <c r="K854" s="18" t="str">
        <f aca="false">IF(COUNT($F854:$J854)=0,"",SUM($F854:$J854))</f>
        <v/>
      </c>
      <c r="L854" s="18" t="str">
        <f aca="false">IF(COUNT($F854:$J854)=0,"",MAX($F854:$J854))</f>
        <v/>
      </c>
      <c r="M854" s="18" t="str">
        <f aca="false">IFERROR(IF(OR($C854="",COUNT($F854:$J854)&lt;3),"",IF(N(INDEX(Lists!$C$2:$C$40,MATCH($C854,Lists!$A$2:$A$40,0)))=0,"",IF(MIN($F854:$J854)&gt;=INDEX(Lists!$C$2:$C$40,MATCH($C854,Lists!$A$2:$A$40,0)),"LEVEL UP",""))),"")</f>
        <v/>
      </c>
      <c r="N854" s="20"/>
      <c r="O854" s="19"/>
    </row>
    <row r="855" customFormat="false" ht="15" hidden="false" customHeight="false" outlineLevel="0" collapsed="false">
      <c r="A855" s="17"/>
      <c r="B855" s="18" t="str">
        <f aca="false">IF($A855="","",TEXT($A855,"ddd"))</f>
        <v/>
      </c>
      <c r="C855" s="19"/>
      <c r="D855" s="19"/>
      <c r="E855" s="18" t="str">
        <f aca="false">IF($C855="","",IFERROR(INDEX(Lists!$B$2:$B$40,MATCH($C855,Lists!$A$2:$A$40,0)),""))</f>
        <v/>
      </c>
      <c r="F855" s="20"/>
      <c r="G855" s="20"/>
      <c r="H855" s="20"/>
      <c r="I855" s="20"/>
      <c r="J855" s="20"/>
      <c r="K855" s="18" t="str">
        <f aca="false">IF(COUNT($F855:$J855)=0,"",SUM($F855:$J855))</f>
        <v/>
      </c>
      <c r="L855" s="18" t="str">
        <f aca="false">IF(COUNT($F855:$J855)=0,"",MAX($F855:$J855))</f>
        <v/>
      </c>
      <c r="M855" s="18" t="str">
        <f aca="false">IFERROR(IF(OR($C855="",COUNT($F855:$J855)&lt;3),"",IF(N(INDEX(Lists!$C$2:$C$40,MATCH($C855,Lists!$A$2:$A$40,0)))=0,"",IF(MIN($F855:$J855)&gt;=INDEX(Lists!$C$2:$C$40,MATCH($C855,Lists!$A$2:$A$40,0)),"LEVEL UP",""))),"")</f>
        <v/>
      </c>
      <c r="N855" s="20"/>
      <c r="O855" s="19"/>
    </row>
    <row r="856" customFormat="false" ht="15" hidden="false" customHeight="false" outlineLevel="0" collapsed="false">
      <c r="A856" s="17"/>
      <c r="B856" s="18" t="str">
        <f aca="false">IF($A856="","",TEXT($A856,"ddd"))</f>
        <v/>
      </c>
      <c r="C856" s="19"/>
      <c r="D856" s="19"/>
      <c r="E856" s="18" t="str">
        <f aca="false">IF($C856="","",IFERROR(INDEX(Lists!$B$2:$B$40,MATCH($C856,Lists!$A$2:$A$40,0)),""))</f>
        <v/>
      </c>
      <c r="F856" s="20"/>
      <c r="G856" s="20"/>
      <c r="H856" s="20"/>
      <c r="I856" s="20"/>
      <c r="J856" s="20"/>
      <c r="K856" s="18" t="str">
        <f aca="false">IF(COUNT($F856:$J856)=0,"",SUM($F856:$J856))</f>
        <v/>
      </c>
      <c r="L856" s="18" t="str">
        <f aca="false">IF(COUNT($F856:$J856)=0,"",MAX($F856:$J856))</f>
        <v/>
      </c>
      <c r="M856" s="18" t="str">
        <f aca="false">IFERROR(IF(OR($C856="",COUNT($F856:$J856)&lt;3),"",IF(N(INDEX(Lists!$C$2:$C$40,MATCH($C856,Lists!$A$2:$A$40,0)))=0,"",IF(MIN($F856:$J856)&gt;=INDEX(Lists!$C$2:$C$40,MATCH($C856,Lists!$A$2:$A$40,0)),"LEVEL UP",""))),"")</f>
        <v/>
      </c>
      <c r="N856" s="20"/>
      <c r="O856" s="19"/>
    </row>
    <row r="857" customFormat="false" ht="15" hidden="false" customHeight="false" outlineLevel="0" collapsed="false">
      <c r="A857" s="17"/>
      <c r="B857" s="18" t="str">
        <f aca="false">IF($A857="","",TEXT($A857,"ddd"))</f>
        <v/>
      </c>
      <c r="C857" s="19"/>
      <c r="D857" s="19"/>
      <c r="E857" s="18" t="str">
        <f aca="false">IF($C857="","",IFERROR(INDEX(Lists!$B$2:$B$40,MATCH($C857,Lists!$A$2:$A$40,0)),""))</f>
        <v/>
      </c>
      <c r="F857" s="20"/>
      <c r="G857" s="20"/>
      <c r="H857" s="20"/>
      <c r="I857" s="20"/>
      <c r="J857" s="20"/>
      <c r="K857" s="18" t="str">
        <f aca="false">IF(COUNT($F857:$J857)=0,"",SUM($F857:$J857))</f>
        <v/>
      </c>
      <c r="L857" s="18" t="str">
        <f aca="false">IF(COUNT($F857:$J857)=0,"",MAX($F857:$J857))</f>
        <v/>
      </c>
      <c r="M857" s="18" t="str">
        <f aca="false">IFERROR(IF(OR($C857="",COUNT($F857:$J857)&lt;3),"",IF(N(INDEX(Lists!$C$2:$C$40,MATCH($C857,Lists!$A$2:$A$40,0)))=0,"",IF(MIN($F857:$J857)&gt;=INDEX(Lists!$C$2:$C$40,MATCH($C857,Lists!$A$2:$A$40,0)),"LEVEL UP",""))),"")</f>
        <v/>
      </c>
      <c r="N857" s="20"/>
      <c r="O857" s="19"/>
    </row>
    <row r="858" customFormat="false" ht="15" hidden="false" customHeight="false" outlineLevel="0" collapsed="false">
      <c r="A858" s="17"/>
      <c r="B858" s="18" t="str">
        <f aca="false">IF($A858="","",TEXT($A858,"ddd"))</f>
        <v/>
      </c>
      <c r="C858" s="19"/>
      <c r="D858" s="19"/>
      <c r="E858" s="18" t="str">
        <f aca="false">IF($C858="","",IFERROR(INDEX(Lists!$B$2:$B$40,MATCH($C858,Lists!$A$2:$A$40,0)),""))</f>
        <v/>
      </c>
      <c r="F858" s="20"/>
      <c r="G858" s="20"/>
      <c r="H858" s="20"/>
      <c r="I858" s="20"/>
      <c r="J858" s="20"/>
      <c r="K858" s="18" t="str">
        <f aca="false">IF(COUNT($F858:$J858)=0,"",SUM($F858:$J858))</f>
        <v/>
      </c>
      <c r="L858" s="18" t="str">
        <f aca="false">IF(COUNT($F858:$J858)=0,"",MAX($F858:$J858))</f>
        <v/>
      </c>
      <c r="M858" s="18" t="str">
        <f aca="false">IFERROR(IF(OR($C858="",COUNT($F858:$J858)&lt;3),"",IF(N(INDEX(Lists!$C$2:$C$40,MATCH($C858,Lists!$A$2:$A$40,0)))=0,"",IF(MIN($F858:$J858)&gt;=INDEX(Lists!$C$2:$C$40,MATCH($C858,Lists!$A$2:$A$40,0)),"LEVEL UP",""))),"")</f>
        <v/>
      </c>
      <c r="N858" s="20"/>
      <c r="O858" s="19"/>
    </row>
    <row r="859" customFormat="false" ht="15" hidden="false" customHeight="false" outlineLevel="0" collapsed="false">
      <c r="A859" s="17"/>
      <c r="B859" s="18" t="str">
        <f aca="false">IF($A859="","",TEXT($A859,"ddd"))</f>
        <v/>
      </c>
      <c r="C859" s="19"/>
      <c r="D859" s="19"/>
      <c r="E859" s="18" t="str">
        <f aca="false">IF($C859="","",IFERROR(INDEX(Lists!$B$2:$B$40,MATCH($C859,Lists!$A$2:$A$40,0)),""))</f>
        <v/>
      </c>
      <c r="F859" s="20"/>
      <c r="G859" s="20"/>
      <c r="H859" s="20"/>
      <c r="I859" s="20"/>
      <c r="J859" s="20"/>
      <c r="K859" s="18" t="str">
        <f aca="false">IF(COUNT($F859:$J859)=0,"",SUM($F859:$J859))</f>
        <v/>
      </c>
      <c r="L859" s="18" t="str">
        <f aca="false">IF(COUNT($F859:$J859)=0,"",MAX($F859:$J859))</f>
        <v/>
      </c>
      <c r="M859" s="18" t="str">
        <f aca="false">IFERROR(IF(OR($C859="",COUNT($F859:$J859)&lt;3),"",IF(N(INDEX(Lists!$C$2:$C$40,MATCH($C859,Lists!$A$2:$A$40,0)))=0,"",IF(MIN($F859:$J859)&gt;=INDEX(Lists!$C$2:$C$40,MATCH($C859,Lists!$A$2:$A$40,0)),"LEVEL UP",""))),"")</f>
        <v/>
      </c>
      <c r="N859" s="20"/>
      <c r="O859" s="19"/>
    </row>
    <row r="860" customFormat="false" ht="15" hidden="false" customHeight="false" outlineLevel="0" collapsed="false">
      <c r="A860" s="17"/>
      <c r="B860" s="18" t="str">
        <f aca="false">IF($A860="","",TEXT($A860,"ddd"))</f>
        <v/>
      </c>
      <c r="C860" s="19"/>
      <c r="D860" s="19"/>
      <c r="E860" s="18" t="str">
        <f aca="false">IF($C860="","",IFERROR(INDEX(Lists!$B$2:$B$40,MATCH($C860,Lists!$A$2:$A$40,0)),""))</f>
        <v/>
      </c>
      <c r="F860" s="20"/>
      <c r="G860" s="20"/>
      <c r="H860" s="20"/>
      <c r="I860" s="20"/>
      <c r="J860" s="20"/>
      <c r="K860" s="18" t="str">
        <f aca="false">IF(COUNT($F860:$J860)=0,"",SUM($F860:$J860))</f>
        <v/>
      </c>
      <c r="L860" s="18" t="str">
        <f aca="false">IF(COUNT($F860:$J860)=0,"",MAX($F860:$J860))</f>
        <v/>
      </c>
      <c r="M860" s="18" t="str">
        <f aca="false">IFERROR(IF(OR($C860="",COUNT($F860:$J860)&lt;3),"",IF(N(INDEX(Lists!$C$2:$C$40,MATCH($C860,Lists!$A$2:$A$40,0)))=0,"",IF(MIN($F860:$J860)&gt;=INDEX(Lists!$C$2:$C$40,MATCH($C860,Lists!$A$2:$A$40,0)),"LEVEL UP",""))),"")</f>
        <v/>
      </c>
      <c r="N860" s="20"/>
      <c r="O860" s="19"/>
    </row>
    <row r="861" customFormat="false" ht="15" hidden="false" customHeight="false" outlineLevel="0" collapsed="false">
      <c r="A861" s="17"/>
      <c r="B861" s="18" t="str">
        <f aca="false">IF($A861="","",TEXT($A861,"ddd"))</f>
        <v/>
      </c>
      <c r="C861" s="19"/>
      <c r="D861" s="19"/>
      <c r="E861" s="18" t="str">
        <f aca="false">IF($C861="","",IFERROR(INDEX(Lists!$B$2:$B$40,MATCH($C861,Lists!$A$2:$A$40,0)),""))</f>
        <v/>
      </c>
      <c r="F861" s="20"/>
      <c r="G861" s="20"/>
      <c r="H861" s="20"/>
      <c r="I861" s="20"/>
      <c r="J861" s="20"/>
      <c r="K861" s="18" t="str">
        <f aca="false">IF(COUNT($F861:$J861)=0,"",SUM($F861:$J861))</f>
        <v/>
      </c>
      <c r="L861" s="18" t="str">
        <f aca="false">IF(COUNT($F861:$J861)=0,"",MAX($F861:$J861))</f>
        <v/>
      </c>
      <c r="M861" s="18" t="str">
        <f aca="false">IFERROR(IF(OR($C861="",COUNT($F861:$J861)&lt;3),"",IF(N(INDEX(Lists!$C$2:$C$40,MATCH($C861,Lists!$A$2:$A$40,0)))=0,"",IF(MIN($F861:$J861)&gt;=INDEX(Lists!$C$2:$C$40,MATCH($C861,Lists!$A$2:$A$40,0)),"LEVEL UP",""))),"")</f>
        <v/>
      </c>
      <c r="N861" s="20"/>
      <c r="O861" s="19"/>
    </row>
    <row r="862" customFormat="false" ht="15" hidden="false" customHeight="false" outlineLevel="0" collapsed="false">
      <c r="A862" s="17"/>
      <c r="B862" s="18" t="str">
        <f aca="false">IF($A862="","",TEXT($A862,"ddd"))</f>
        <v/>
      </c>
      <c r="C862" s="19"/>
      <c r="D862" s="19"/>
      <c r="E862" s="18" t="str">
        <f aca="false">IF($C862="","",IFERROR(INDEX(Lists!$B$2:$B$40,MATCH($C862,Lists!$A$2:$A$40,0)),""))</f>
        <v/>
      </c>
      <c r="F862" s="20"/>
      <c r="G862" s="20"/>
      <c r="H862" s="20"/>
      <c r="I862" s="20"/>
      <c r="J862" s="20"/>
      <c r="K862" s="18" t="str">
        <f aca="false">IF(COUNT($F862:$J862)=0,"",SUM($F862:$J862))</f>
        <v/>
      </c>
      <c r="L862" s="18" t="str">
        <f aca="false">IF(COUNT($F862:$J862)=0,"",MAX($F862:$J862))</f>
        <v/>
      </c>
      <c r="M862" s="18" t="str">
        <f aca="false">IFERROR(IF(OR($C862="",COUNT($F862:$J862)&lt;3),"",IF(N(INDEX(Lists!$C$2:$C$40,MATCH($C862,Lists!$A$2:$A$40,0)))=0,"",IF(MIN($F862:$J862)&gt;=INDEX(Lists!$C$2:$C$40,MATCH($C862,Lists!$A$2:$A$40,0)),"LEVEL UP",""))),"")</f>
        <v/>
      </c>
      <c r="N862" s="20"/>
      <c r="O862" s="19"/>
    </row>
    <row r="863" customFormat="false" ht="15" hidden="false" customHeight="false" outlineLevel="0" collapsed="false">
      <c r="A863" s="17"/>
      <c r="B863" s="18" t="str">
        <f aca="false">IF($A863="","",TEXT($A863,"ddd"))</f>
        <v/>
      </c>
      <c r="C863" s="19"/>
      <c r="D863" s="19"/>
      <c r="E863" s="18" t="str">
        <f aca="false">IF($C863="","",IFERROR(INDEX(Lists!$B$2:$B$40,MATCH($C863,Lists!$A$2:$A$40,0)),""))</f>
        <v/>
      </c>
      <c r="F863" s="20"/>
      <c r="G863" s="20"/>
      <c r="H863" s="20"/>
      <c r="I863" s="20"/>
      <c r="J863" s="20"/>
      <c r="K863" s="18" t="str">
        <f aca="false">IF(COUNT($F863:$J863)=0,"",SUM($F863:$J863))</f>
        <v/>
      </c>
      <c r="L863" s="18" t="str">
        <f aca="false">IF(COUNT($F863:$J863)=0,"",MAX($F863:$J863))</f>
        <v/>
      </c>
      <c r="M863" s="18" t="str">
        <f aca="false">IFERROR(IF(OR($C863="",COUNT($F863:$J863)&lt;3),"",IF(N(INDEX(Lists!$C$2:$C$40,MATCH($C863,Lists!$A$2:$A$40,0)))=0,"",IF(MIN($F863:$J863)&gt;=INDEX(Lists!$C$2:$C$40,MATCH($C863,Lists!$A$2:$A$40,0)),"LEVEL UP",""))),"")</f>
        <v/>
      </c>
      <c r="N863" s="20"/>
      <c r="O863" s="19"/>
    </row>
    <row r="864" customFormat="false" ht="15" hidden="false" customHeight="false" outlineLevel="0" collapsed="false">
      <c r="A864" s="17"/>
      <c r="B864" s="18" t="str">
        <f aca="false">IF($A864="","",TEXT($A864,"ddd"))</f>
        <v/>
      </c>
      <c r="C864" s="19"/>
      <c r="D864" s="19"/>
      <c r="E864" s="18" t="str">
        <f aca="false">IF($C864="","",IFERROR(INDEX(Lists!$B$2:$B$40,MATCH($C864,Lists!$A$2:$A$40,0)),""))</f>
        <v/>
      </c>
      <c r="F864" s="20"/>
      <c r="G864" s="20"/>
      <c r="H864" s="20"/>
      <c r="I864" s="20"/>
      <c r="J864" s="20"/>
      <c r="K864" s="18" t="str">
        <f aca="false">IF(COUNT($F864:$J864)=0,"",SUM($F864:$J864))</f>
        <v/>
      </c>
      <c r="L864" s="18" t="str">
        <f aca="false">IF(COUNT($F864:$J864)=0,"",MAX($F864:$J864))</f>
        <v/>
      </c>
      <c r="M864" s="18" t="str">
        <f aca="false">IFERROR(IF(OR($C864="",COUNT($F864:$J864)&lt;3),"",IF(N(INDEX(Lists!$C$2:$C$40,MATCH($C864,Lists!$A$2:$A$40,0)))=0,"",IF(MIN($F864:$J864)&gt;=INDEX(Lists!$C$2:$C$40,MATCH($C864,Lists!$A$2:$A$40,0)),"LEVEL UP",""))),"")</f>
        <v/>
      </c>
      <c r="N864" s="20"/>
      <c r="O864" s="19"/>
    </row>
    <row r="865" customFormat="false" ht="15" hidden="false" customHeight="false" outlineLevel="0" collapsed="false">
      <c r="A865" s="17"/>
      <c r="B865" s="18" t="str">
        <f aca="false">IF($A865="","",TEXT($A865,"ddd"))</f>
        <v/>
      </c>
      <c r="C865" s="19"/>
      <c r="D865" s="19"/>
      <c r="E865" s="18" t="str">
        <f aca="false">IF($C865="","",IFERROR(INDEX(Lists!$B$2:$B$40,MATCH($C865,Lists!$A$2:$A$40,0)),""))</f>
        <v/>
      </c>
      <c r="F865" s="20"/>
      <c r="G865" s="20"/>
      <c r="H865" s="20"/>
      <c r="I865" s="20"/>
      <c r="J865" s="20"/>
      <c r="K865" s="18" t="str">
        <f aca="false">IF(COUNT($F865:$J865)=0,"",SUM($F865:$J865))</f>
        <v/>
      </c>
      <c r="L865" s="18" t="str">
        <f aca="false">IF(COUNT($F865:$J865)=0,"",MAX($F865:$J865))</f>
        <v/>
      </c>
      <c r="M865" s="18" t="str">
        <f aca="false">IFERROR(IF(OR($C865="",COUNT($F865:$J865)&lt;3),"",IF(N(INDEX(Lists!$C$2:$C$40,MATCH($C865,Lists!$A$2:$A$40,0)))=0,"",IF(MIN($F865:$J865)&gt;=INDEX(Lists!$C$2:$C$40,MATCH($C865,Lists!$A$2:$A$40,0)),"LEVEL UP",""))),"")</f>
        <v/>
      </c>
      <c r="N865" s="20"/>
      <c r="O865" s="19"/>
    </row>
    <row r="866" customFormat="false" ht="15" hidden="false" customHeight="false" outlineLevel="0" collapsed="false">
      <c r="A866" s="17"/>
      <c r="B866" s="18" t="str">
        <f aca="false">IF($A866="","",TEXT($A866,"ddd"))</f>
        <v/>
      </c>
      <c r="C866" s="19"/>
      <c r="D866" s="19"/>
      <c r="E866" s="18" t="str">
        <f aca="false">IF($C866="","",IFERROR(INDEX(Lists!$B$2:$B$40,MATCH($C866,Lists!$A$2:$A$40,0)),""))</f>
        <v/>
      </c>
      <c r="F866" s="20"/>
      <c r="G866" s="20"/>
      <c r="H866" s="20"/>
      <c r="I866" s="20"/>
      <c r="J866" s="20"/>
      <c r="K866" s="18" t="str">
        <f aca="false">IF(COUNT($F866:$J866)=0,"",SUM($F866:$J866))</f>
        <v/>
      </c>
      <c r="L866" s="18" t="str">
        <f aca="false">IF(COUNT($F866:$J866)=0,"",MAX($F866:$J866))</f>
        <v/>
      </c>
      <c r="M866" s="18" t="str">
        <f aca="false">IFERROR(IF(OR($C866="",COUNT($F866:$J866)&lt;3),"",IF(N(INDEX(Lists!$C$2:$C$40,MATCH($C866,Lists!$A$2:$A$40,0)))=0,"",IF(MIN($F866:$J866)&gt;=INDEX(Lists!$C$2:$C$40,MATCH($C866,Lists!$A$2:$A$40,0)),"LEVEL UP",""))),"")</f>
        <v/>
      </c>
      <c r="N866" s="20"/>
      <c r="O866" s="19"/>
    </row>
    <row r="867" customFormat="false" ht="15" hidden="false" customHeight="false" outlineLevel="0" collapsed="false">
      <c r="A867" s="17"/>
      <c r="B867" s="18" t="str">
        <f aca="false">IF($A867="","",TEXT($A867,"ddd"))</f>
        <v/>
      </c>
      <c r="C867" s="19"/>
      <c r="D867" s="19"/>
      <c r="E867" s="18" t="str">
        <f aca="false">IF($C867="","",IFERROR(INDEX(Lists!$B$2:$B$40,MATCH($C867,Lists!$A$2:$A$40,0)),""))</f>
        <v/>
      </c>
      <c r="F867" s="20"/>
      <c r="G867" s="20"/>
      <c r="H867" s="20"/>
      <c r="I867" s="20"/>
      <c r="J867" s="20"/>
      <c r="K867" s="18" t="str">
        <f aca="false">IF(COUNT($F867:$J867)=0,"",SUM($F867:$J867))</f>
        <v/>
      </c>
      <c r="L867" s="18" t="str">
        <f aca="false">IF(COUNT($F867:$J867)=0,"",MAX($F867:$J867))</f>
        <v/>
      </c>
      <c r="M867" s="18" t="str">
        <f aca="false">IFERROR(IF(OR($C867="",COUNT($F867:$J867)&lt;3),"",IF(N(INDEX(Lists!$C$2:$C$40,MATCH($C867,Lists!$A$2:$A$40,0)))=0,"",IF(MIN($F867:$J867)&gt;=INDEX(Lists!$C$2:$C$40,MATCH($C867,Lists!$A$2:$A$40,0)),"LEVEL UP",""))),"")</f>
        <v/>
      </c>
      <c r="N867" s="20"/>
      <c r="O867" s="19"/>
    </row>
    <row r="868" customFormat="false" ht="15" hidden="false" customHeight="false" outlineLevel="0" collapsed="false">
      <c r="A868" s="17"/>
      <c r="B868" s="18" t="str">
        <f aca="false">IF($A868="","",TEXT($A868,"ddd"))</f>
        <v/>
      </c>
      <c r="C868" s="19"/>
      <c r="D868" s="19"/>
      <c r="E868" s="18" t="str">
        <f aca="false">IF($C868="","",IFERROR(INDEX(Lists!$B$2:$B$40,MATCH($C868,Lists!$A$2:$A$40,0)),""))</f>
        <v/>
      </c>
      <c r="F868" s="20"/>
      <c r="G868" s="20"/>
      <c r="H868" s="20"/>
      <c r="I868" s="20"/>
      <c r="J868" s="20"/>
      <c r="K868" s="18" t="str">
        <f aca="false">IF(COUNT($F868:$J868)=0,"",SUM($F868:$J868))</f>
        <v/>
      </c>
      <c r="L868" s="18" t="str">
        <f aca="false">IF(COUNT($F868:$J868)=0,"",MAX($F868:$J868))</f>
        <v/>
      </c>
      <c r="M868" s="18" t="str">
        <f aca="false">IFERROR(IF(OR($C868="",COUNT($F868:$J868)&lt;3),"",IF(N(INDEX(Lists!$C$2:$C$40,MATCH($C868,Lists!$A$2:$A$40,0)))=0,"",IF(MIN($F868:$J868)&gt;=INDEX(Lists!$C$2:$C$40,MATCH($C868,Lists!$A$2:$A$40,0)),"LEVEL UP",""))),"")</f>
        <v/>
      </c>
      <c r="N868" s="20"/>
      <c r="O868" s="19"/>
    </row>
    <row r="869" customFormat="false" ht="15" hidden="false" customHeight="false" outlineLevel="0" collapsed="false">
      <c r="A869" s="17"/>
      <c r="B869" s="18" t="str">
        <f aca="false">IF($A869="","",TEXT($A869,"ddd"))</f>
        <v/>
      </c>
      <c r="C869" s="19"/>
      <c r="D869" s="19"/>
      <c r="E869" s="18" t="str">
        <f aca="false">IF($C869="","",IFERROR(INDEX(Lists!$B$2:$B$40,MATCH($C869,Lists!$A$2:$A$40,0)),""))</f>
        <v/>
      </c>
      <c r="F869" s="20"/>
      <c r="G869" s="20"/>
      <c r="H869" s="20"/>
      <c r="I869" s="20"/>
      <c r="J869" s="20"/>
      <c r="K869" s="18" t="str">
        <f aca="false">IF(COUNT($F869:$J869)=0,"",SUM($F869:$J869))</f>
        <v/>
      </c>
      <c r="L869" s="18" t="str">
        <f aca="false">IF(COUNT($F869:$J869)=0,"",MAX($F869:$J869))</f>
        <v/>
      </c>
      <c r="M869" s="18" t="str">
        <f aca="false">IFERROR(IF(OR($C869="",COUNT($F869:$J869)&lt;3),"",IF(N(INDEX(Lists!$C$2:$C$40,MATCH($C869,Lists!$A$2:$A$40,0)))=0,"",IF(MIN($F869:$J869)&gt;=INDEX(Lists!$C$2:$C$40,MATCH($C869,Lists!$A$2:$A$40,0)),"LEVEL UP",""))),"")</f>
        <v/>
      </c>
      <c r="N869" s="20"/>
      <c r="O869" s="19"/>
    </row>
    <row r="870" customFormat="false" ht="15" hidden="false" customHeight="false" outlineLevel="0" collapsed="false">
      <c r="A870" s="17"/>
      <c r="B870" s="18" t="str">
        <f aca="false">IF($A870="","",TEXT($A870,"ddd"))</f>
        <v/>
      </c>
      <c r="C870" s="19"/>
      <c r="D870" s="19"/>
      <c r="E870" s="18" t="str">
        <f aca="false">IF($C870="","",IFERROR(INDEX(Lists!$B$2:$B$40,MATCH($C870,Lists!$A$2:$A$40,0)),""))</f>
        <v/>
      </c>
      <c r="F870" s="20"/>
      <c r="G870" s="20"/>
      <c r="H870" s="20"/>
      <c r="I870" s="20"/>
      <c r="J870" s="20"/>
      <c r="K870" s="18" t="str">
        <f aca="false">IF(COUNT($F870:$J870)=0,"",SUM($F870:$J870))</f>
        <v/>
      </c>
      <c r="L870" s="18" t="str">
        <f aca="false">IF(COUNT($F870:$J870)=0,"",MAX($F870:$J870))</f>
        <v/>
      </c>
      <c r="M870" s="18" t="str">
        <f aca="false">IFERROR(IF(OR($C870="",COUNT($F870:$J870)&lt;3),"",IF(N(INDEX(Lists!$C$2:$C$40,MATCH($C870,Lists!$A$2:$A$40,0)))=0,"",IF(MIN($F870:$J870)&gt;=INDEX(Lists!$C$2:$C$40,MATCH($C870,Lists!$A$2:$A$40,0)),"LEVEL UP",""))),"")</f>
        <v/>
      </c>
      <c r="N870" s="20"/>
      <c r="O870" s="19"/>
    </row>
    <row r="871" customFormat="false" ht="15" hidden="false" customHeight="false" outlineLevel="0" collapsed="false">
      <c r="A871" s="17"/>
      <c r="B871" s="18" t="str">
        <f aca="false">IF($A871="","",TEXT($A871,"ddd"))</f>
        <v/>
      </c>
      <c r="C871" s="19"/>
      <c r="D871" s="19"/>
      <c r="E871" s="18" t="str">
        <f aca="false">IF($C871="","",IFERROR(INDEX(Lists!$B$2:$B$40,MATCH($C871,Lists!$A$2:$A$40,0)),""))</f>
        <v/>
      </c>
      <c r="F871" s="20"/>
      <c r="G871" s="20"/>
      <c r="H871" s="20"/>
      <c r="I871" s="20"/>
      <c r="J871" s="20"/>
      <c r="K871" s="18" t="str">
        <f aca="false">IF(COUNT($F871:$J871)=0,"",SUM($F871:$J871))</f>
        <v/>
      </c>
      <c r="L871" s="18" t="str">
        <f aca="false">IF(COUNT($F871:$J871)=0,"",MAX($F871:$J871))</f>
        <v/>
      </c>
      <c r="M871" s="18" t="str">
        <f aca="false">IFERROR(IF(OR($C871="",COUNT($F871:$J871)&lt;3),"",IF(N(INDEX(Lists!$C$2:$C$40,MATCH($C871,Lists!$A$2:$A$40,0)))=0,"",IF(MIN($F871:$J871)&gt;=INDEX(Lists!$C$2:$C$40,MATCH($C871,Lists!$A$2:$A$40,0)),"LEVEL UP",""))),"")</f>
        <v/>
      </c>
      <c r="N871" s="20"/>
      <c r="O871" s="19"/>
    </row>
    <row r="872" customFormat="false" ht="15" hidden="false" customHeight="false" outlineLevel="0" collapsed="false">
      <c r="A872" s="17"/>
      <c r="B872" s="18" t="str">
        <f aca="false">IF($A872="","",TEXT($A872,"ddd"))</f>
        <v/>
      </c>
      <c r="C872" s="19"/>
      <c r="D872" s="19"/>
      <c r="E872" s="18" t="str">
        <f aca="false">IF($C872="","",IFERROR(INDEX(Lists!$B$2:$B$40,MATCH($C872,Lists!$A$2:$A$40,0)),""))</f>
        <v/>
      </c>
      <c r="F872" s="20"/>
      <c r="G872" s="20"/>
      <c r="H872" s="20"/>
      <c r="I872" s="20"/>
      <c r="J872" s="20"/>
      <c r="K872" s="18" t="str">
        <f aca="false">IF(COUNT($F872:$J872)=0,"",SUM($F872:$J872))</f>
        <v/>
      </c>
      <c r="L872" s="18" t="str">
        <f aca="false">IF(COUNT($F872:$J872)=0,"",MAX($F872:$J872))</f>
        <v/>
      </c>
      <c r="M872" s="18" t="str">
        <f aca="false">IFERROR(IF(OR($C872="",COUNT($F872:$J872)&lt;3),"",IF(N(INDEX(Lists!$C$2:$C$40,MATCH($C872,Lists!$A$2:$A$40,0)))=0,"",IF(MIN($F872:$J872)&gt;=INDEX(Lists!$C$2:$C$40,MATCH($C872,Lists!$A$2:$A$40,0)),"LEVEL UP",""))),"")</f>
        <v/>
      </c>
      <c r="N872" s="20"/>
      <c r="O872" s="19"/>
    </row>
    <row r="873" customFormat="false" ht="15" hidden="false" customHeight="false" outlineLevel="0" collapsed="false">
      <c r="A873" s="17"/>
      <c r="B873" s="18" t="str">
        <f aca="false">IF($A873="","",TEXT($A873,"ddd"))</f>
        <v/>
      </c>
      <c r="C873" s="19"/>
      <c r="D873" s="19"/>
      <c r="E873" s="18" t="str">
        <f aca="false">IF($C873="","",IFERROR(INDEX(Lists!$B$2:$B$40,MATCH($C873,Lists!$A$2:$A$40,0)),""))</f>
        <v/>
      </c>
      <c r="F873" s="20"/>
      <c r="G873" s="20"/>
      <c r="H873" s="20"/>
      <c r="I873" s="20"/>
      <c r="J873" s="20"/>
      <c r="K873" s="18" t="str">
        <f aca="false">IF(COUNT($F873:$J873)=0,"",SUM($F873:$J873))</f>
        <v/>
      </c>
      <c r="L873" s="18" t="str">
        <f aca="false">IF(COUNT($F873:$J873)=0,"",MAX($F873:$J873))</f>
        <v/>
      </c>
      <c r="M873" s="18" t="str">
        <f aca="false">IFERROR(IF(OR($C873="",COUNT($F873:$J873)&lt;3),"",IF(N(INDEX(Lists!$C$2:$C$40,MATCH($C873,Lists!$A$2:$A$40,0)))=0,"",IF(MIN($F873:$J873)&gt;=INDEX(Lists!$C$2:$C$40,MATCH($C873,Lists!$A$2:$A$40,0)),"LEVEL UP",""))),"")</f>
        <v/>
      </c>
      <c r="N873" s="20"/>
      <c r="O873" s="19"/>
    </row>
    <row r="874" customFormat="false" ht="15" hidden="false" customHeight="false" outlineLevel="0" collapsed="false">
      <c r="A874" s="17"/>
      <c r="B874" s="18" t="str">
        <f aca="false">IF($A874="","",TEXT($A874,"ddd"))</f>
        <v/>
      </c>
      <c r="C874" s="19"/>
      <c r="D874" s="19"/>
      <c r="E874" s="18" t="str">
        <f aca="false">IF($C874="","",IFERROR(INDEX(Lists!$B$2:$B$40,MATCH($C874,Lists!$A$2:$A$40,0)),""))</f>
        <v/>
      </c>
      <c r="F874" s="20"/>
      <c r="G874" s="20"/>
      <c r="H874" s="20"/>
      <c r="I874" s="20"/>
      <c r="J874" s="20"/>
      <c r="K874" s="18" t="str">
        <f aca="false">IF(COUNT($F874:$J874)=0,"",SUM($F874:$J874))</f>
        <v/>
      </c>
      <c r="L874" s="18" t="str">
        <f aca="false">IF(COUNT($F874:$J874)=0,"",MAX($F874:$J874))</f>
        <v/>
      </c>
      <c r="M874" s="18" t="str">
        <f aca="false">IFERROR(IF(OR($C874="",COUNT($F874:$J874)&lt;3),"",IF(N(INDEX(Lists!$C$2:$C$40,MATCH($C874,Lists!$A$2:$A$40,0)))=0,"",IF(MIN($F874:$J874)&gt;=INDEX(Lists!$C$2:$C$40,MATCH($C874,Lists!$A$2:$A$40,0)),"LEVEL UP",""))),"")</f>
        <v/>
      </c>
      <c r="N874" s="20"/>
      <c r="O874" s="19"/>
    </row>
    <row r="875" customFormat="false" ht="15" hidden="false" customHeight="false" outlineLevel="0" collapsed="false">
      <c r="A875" s="17"/>
      <c r="B875" s="18" t="str">
        <f aca="false">IF($A875="","",TEXT($A875,"ddd"))</f>
        <v/>
      </c>
      <c r="C875" s="19"/>
      <c r="D875" s="19"/>
      <c r="E875" s="18" t="str">
        <f aca="false">IF($C875="","",IFERROR(INDEX(Lists!$B$2:$B$40,MATCH($C875,Lists!$A$2:$A$40,0)),""))</f>
        <v/>
      </c>
      <c r="F875" s="20"/>
      <c r="G875" s="20"/>
      <c r="H875" s="20"/>
      <c r="I875" s="20"/>
      <c r="J875" s="20"/>
      <c r="K875" s="18" t="str">
        <f aca="false">IF(COUNT($F875:$J875)=0,"",SUM($F875:$J875))</f>
        <v/>
      </c>
      <c r="L875" s="18" t="str">
        <f aca="false">IF(COUNT($F875:$J875)=0,"",MAX($F875:$J875))</f>
        <v/>
      </c>
      <c r="M875" s="18" t="str">
        <f aca="false">IFERROR(IF(OR($C875="",COUNT($F875:$J875)&lt;3),"",IF(N(INDEX(Lists!$C$2:$C$40,MATCH($C875,Lists!$A$2:$A$40,0)))=0,"",IF(MIN($F875:$J875)&gt;=INDEX(Lists!$C$2:$C$40,MATCH($C875,Lists!$A$2:$A$40,0)),"LEVEL UP",""))),"")</f>
        <v/>
      </c>
      <c r="N875" s="20"/>
      <c r="O875" s="19"/>
    </row>
    <row r="876" customFormat="false" ht="15" hidden="false" customHeight="false" outlineLevel="0" collapsed="false">
      <c r="A876" s="17"/>
      <c r="B876" s="18" t="str">
        <f aca="false">IF($A876="","",TEXT($A876,"ddd"))</f>
        <v/>
      </c>
      <c r="C876" s="19"/>
      <c r="D876" s="19"/>
      <c r="E876" s="18" t="str">
        <f aca="false">IF($C876="","",IFERROR(INDEX(Lists!$B$2:$B$40,MATCH($C876,Lists!$A$2:$A$40,0)),""))</f>
        <v/>
      </c>
      <c r="F876" s="20"/>
      <c r="G876" s="20"/>
      <c r="H876" s="20"/>
      <c r="I876" s="20"/>
      <c r="J876" s="20"/>
      <c r="K876" s="18" t="str">
        <f aca="false">IF(COUNT($F876:$J876)=0,"",SUM($F876:$J876))</f>
        <v/>
      </c>
      <c r="L876" s="18" t="str">
        <f aca="false">IF(COUNT($F876:$J876)=0,"",MAX($F876:$J876))</f>
        <v/>
      </c>
      <c r="M876" s="18" t="str">
        <f aca="false">IFERROR(IF(OR($C876="",COUNT($F876:$J876)&lt;3),"",IF(N(INDEX(Lists!$C$2:$C$40,MATCH($C876,Lists!$A$2:$A$40,0)))=0,"",IF(MIN($F876:$J876)&gt;=INDEX(Lists!$C$2:$C$40,MATCH($C876,Lists!$A$2:$A$40,0)),"LEVEL UP",""))),"")</f>
        <v/>
      </c>
      <c r="N876" s="20"/>
      <c r="O876" s="19"/>
    </row>
    <row r="877" customFormat="false" ht="15" hidden="false" customHeight="false" outlineLevel="0" collapsed="false">
      <c r="A877" s="17"/>
      <c r="B877" s="18" t="str">
        <f aca="false">IF($A877="","",TEXT($A877,"ddd"))</f>
        <v/>
      </c>
      <c r="C877" s="19"/>
      <c r="D877" s="19"/>
      <c r="E877" s="18" t="str">
        <f aca="false">IF($C877="","",IFERROR(INDEX(Lists!$B$2:$B$40,MATCH($C877,Lists!$A$2:$A$40,0)),""))</f>
        <v/>
      </c>
      <c r="F877" s="20"/>
      <c r="G877" s="20"/>
      <c r="H877" s="20"/>
      <c r="I877" s="20"/>
      <c r="J877" s="20"/>
      <c r="K877" s="18" t="str">
        <f aca="false">IF(COUNT($F877:$J877)=0,"",SUM($F877:$J877))</f>
        <v/>
      </c>
      <c r="L877" s="18" t="str">
        <f aca="false">IF(COUNT($F877:$J877)=0,"",MAX($F877:$J877))</f>
        <v/>
      </c>
      <c r="M877" s="18" t="str">
        <f aca="false">IFERROR(IF(OR($C877="",COUNT($F877:$J877)&lt;3),"",IF(N(INDEX(Lists!$C$2:$C$40,MATCH($C877,Lists!$A$2:$A$40,0)))=0,"",IF(MIN($F877:$J877)&gt;=INDEX(Lists!$C$2:$C$40,MATCH($C877,Lists!$A$2:$A$40,0)),"LEVEL UP",""))),"")</f>
        <v/>
      </c>
      <c r="N877" s="20"/>
      <c r="O877" s="19"/>
    </row>
    <row r="878" customFormat="false" ht="15" hidden="false" customHeight="false" outlineLevel="0" collapsed="false">
      <c r="A878" s="17"/>
      <c r="B878" s="18" t="str">
        <f aca="false">IF($A878="","",TEXT($A878,"ddd"))</f>
        <v/>
      </c>
      <c r="C878" s="19"/>
      <c r="D878" s="19"/>
      <c r="E878" s="18" t="str">
        <f aca="false">IF($C878="","",IFERROR(INDEX(Lists!$B$2:$B$40,MATCH($C878,Lists!$A$2:$A$40,0)),""))</f>
        <v/>
      </c>
      <c r="F878" s="20"/>
      <c r="G878" s="20"/>
      <c r="H878" s="20"/>
      <c r="I878" s="20"/>
      <c r="J878" s="20"/>
      <c r="K878" s="18" t="str">
        <f aca="false">IF(COUNT($F878:$J878)=0,"",SUM($F878:$J878))</f>
        <v/>
      </c>
      <c r="L878" s="18" t="str">
        <f aca="false">IF(COUNT($F878:$J878)=0,"",MAX($F878:$J878))</f>
        <v/>
      </c>
      <c r="M878" s="18" t="str">
        <f aca="false">IFERROR(IF(OR($C878="",COUNT($F878:$J878)&lt;3),"",IF(N(INDEX(Lists!$C$2:$C$40,MATCH($C878,Lists!$A$2:$A$40,0)))=0,"",IF(MIN($F878:$J878)&gt;=INDEX(Lists!$C$2:$C$40,MATCH($C878,Lists!$A$2:$A$40,0)),"LEVEL UP",""))),"")</f>
        <v/>
      </c>
      <c r="N878" s="20"/>
      <c r="O878" s="19"/>
    </row>
    <row r="879" customFormat="false" ht="15" hidden="false" customHeight="false" outlineLevel="0" collapsed="false">
      <c r="A879" s="17"/>
      <c r="B879" s="18" t="str">
        <f aca="false">IF($A879="","",TEXT($A879,"ddd"))</f>
        <v/>
      </c>
      <c r="C879" s="19"/>
      <c r="D879" s="19"/>
      <c r="E879" s="18" t="str">
        <f aca="false">IF($C879="","",IFERROR(INDEX(Lists!$B$2:$B$40,MATCH($C879,Lists!$A$2:$A$40,0)),""))</f>
        <v/>
      </c>
      <c r="F879" s="20"/>
      <c r="G879" s="20"/>
      <c r="H879" s="20"/>
      <c r="I879" s="20"/>
      <c r="J879" s="20"/>
      <c r="K879" s="18" t="str">
        <f aca="false">IF(COUNT($F879:$J879)=0,"",SUM($F879:$J879))</f>
        <v/>
      </c>
      <c r="L879" s="18" t="str">
        <f aca="false">IF(COUNT($F879:$J879)=0,"",MAX($F879:$J879))</f>
        <v/>
      </c>
      <c r="M879" s="18" t="str">
        <f aca="false">IFERROR(IF(OR($C879="",COUNT($F879:$J879)&lt;3),"",IF(N(INDEX(Lists!$C$2:$C$40,MATCH($C879,Lists!$A$2:$A$40,0)))=0,"",IF(MIN($F879:$J879)&gt;=INDEX(Lists!$C$2:$C$40,MATCH($C879,Lists!$A$2:$A$40,0)),"LEVEL UP",""))),"")</f>
        <v/>
      </c>
      <c r="N879" s="20"/>
      <c r="O879" s="19"/>
    </row>
    <row r="880" customFormat="false" ht="15" hidden="false" customHeight="false" outlineLevel="0" collapsed="false">
      <c r="A880" s="17"/>
      <c r="B880" s="18" t="str">
        <f aca="false">IF($A880="","",TEXT($A880,"ddd"))</f>
        <v/>
      </c>
      <c r="C880" s="19"/>
      <c r="D880" s="19"/>
      <c r="E880" s="18" t="str">
        <f aca="false">IF($C880="","",IFERROR(INDEX(Lists!$B$2:$B$40,MATCH($C880,Lists!$A$2:$A$40,0)),""))</f>
        <v/>
      </c>
      <c r="F880" s="20"/>
      <c r="G880" s="20"/>
      <c r="H880" s="20"/>
      <c r="I880" s="20"/>
      <c r="J880" s="20"/>
      <c r="K880" s="18" t="str">
        <f aca="false">IF(COUNT($F880:$J880)=0,"",SUM($F880:$J880))</f>
        <v/>
      </c>
      <c r="L880" s="18" t="str">
        <f aca="false">IF(COUNT($F880:$J880)=0,"",MAX($F880:$J880))</f>
        <v/>
      </c>
      <c r="M880" s="18" t="str">
        <f aca="false">IFERROR(IF(OR($C880="",COUNT($F880:$J880)&lt;3),"",IF(N(INDEX(Lists!$C$2:$C$40,MATCH($C880,Lists!$A$2:$A$40,0)))=0,"",IF(MIN($F880:$J880)&gt;=INDEX(Lists!$C$2:$C$40,MATCH($C880,Lists!$A$2:$A$40,0)),"LEVEL UP",""))),"")</f>
        <v/>
      </c>
      <c r="N880" s="20"/>
      <c r="O880" s="19"/>
    </row>
    <row r="881" customFormat="false" ht="15" hidden="false" customHeight="false" outlineLevel="0" collapsed="false">
      <c r="A881" s="17"/>
      <c r="B881" s="18" t="str">
        <f aca="false">IF($A881="","",TEXT($A881,"ddd"))</f>
        <v/>
      </c>
      <c r="C881" s="19"/>
      <c r="D881" s="19"/>
      <c r="E881" s="18" t="str">
        <f aca="false">IF($C881="","",IFERROR(INDEX(Lists!$B$2:$B$40,MATCH($C881,Lists!$A$2:$A$40,0)),""))</f>
        <v/>
      </c>
      <c r="F881" s="20"/>
      <c r="G881" s="20"/>
      <c r="H881" s="20"/>
      <c r="I881" s="20"/>
      <c r="J881" s="20"/>
      <c r="K881" s="18" t="str">
        <f aca="false">IF(COUNT($F881:$J881)=0,"",SUM($F881:$J881))</f>
        <v/>
      </c>
      <c r="L881" s="18" t="str">
        <f aca="false">IF(COUNT($F881:$J881)=0,"",MAX($F881:$J881))</f>
        <v/>
      </c>
      <c r="M881" s="18" t="str">
        <f aca="false">IFERROR(IF(OR($C881="",COUNT($F881:$J881)&lt;3),"",IF(N(INDEX(Lists!$C$2:$C$40,MATCH($C881,Lists!$A$2:$A$40,0)))=0,"",IF(MIN($F881:$J881)&gt;=INDEX(Lists!$C$2:$C$40,MATCH($C881,Lists!$A$2:$A$40,0)),"LEVEL UP",""))),"")</f>
        <v/>
      </c>
      <c r="N881" s="20"/>
      <c r="O881" s="19"/>
    </row>
    <row r="882" customFormat="false" ht="15" hidden="false" customHeight="false" outlineLevel="0" collapsed="false">
      <c r="A882" s="17"/>
      <c r="B882" s="18" t="str">
        <f aca="false">IF($A882="","",TEXT($A882,"ddd"))</f>
        <v/>
      </c>
      <c r="C882" s="19"/>
      <c r="D882" s="19"/>
      <c r="E882" s="18" t="str">
        <f aca="false">IF($C882="","",IFERROR(INDEX(Lists!$B$2:$B$40,MATCH($C882,Lists!$A$2:$A$40,0)),""))</f>
        <v/>
      </c>
      <c r="F882" s="20"/>
      <c r="G882" s="20"/>
      <c r="H882" s="20"/>
      <c r="I882" s="20"/>
      <c r="J882" s="20"/>
      <c r="K882" s="18" t="str">
        <f aca="false">IF(COUNT($F882:$J882)=0,"",SUM($F882:$J882))</f>
        <v/>
      </c>
      <c r="L882" s="18" t="str">
        <f aca="false">IF(COUNT($F882:$J882)=0,"",MAX($F882:$J882))</f>
        <v/>
      </c>
      <c r="M882" s="18" t="str">
        <f aca="false">IFERROR(IF(OR($C882="",COUNT($F882:$J882)&lt;3),"",IF(N(INDEX(Lists!$C$2:$C$40,MATCH($C882,Lists!$A$2:$A$40,0)))=0,"",IF(MIN($F882:$J882)&gt;=INDEX(Lists!$C$2:$C$40,MATCH($C882,Lists!$A$2:$A$40,0)),"LEVEL UP",""))),"")</f>
        <v/>
      </c>
      <c r="N882" s="20"/>
      <c r="O882" s="19"/>
    </row>
    <row r="883" customFormat="false" ht="15" hidden="false" customHeight="false" outlineLevel="0" collapsed="false">
      <c r="A883" s="17"/>
      <c r="B883" s="18" t="str">
        <f aca="false">IF($A883="","",TEXT($A883,"ddd"))</f>
        <v/>
      </c>
      <c r="C883" s="19"/>
      <c r="D883" s="19"/>
      <c r="E883" s="18" t="str">
        <f aca="false">IF($C883="","",IFERROR(INDEX(Lists!$B$2:$B$40,MATCH($C883,Lists!$A$2:$A$40,0)),""))</f>
        <v/>
      </c>
      <c r="F883" s="20"/>
      <c r="G883" s="20"/>
      <c r="H883" s="20"/>
      <c r="I883" s="20"/>
      <c r="J883" s="20"/>
      <c r="K883" s="18" t="str">
        <f aca="false">IF(COUNT($F883:$J883)=0,"",SUM($F883:$J883))</f>
        <v/>
      </c>
      <c r="L883" s="18" t="str">
        <f aca="false">IF(COUNT($F883:$J883)=0,"",MAX($F883:$J883))</f>
        <v/>
      </c>
      <c r="M883" s="18" t="str">
        <f aca="false">IFERROR(IF(OR($C883="",COUNT($F883:$J883)&lt;3),"",IF(N(INDEX(Lists!$C$2:$C$40,MATCH($C883,Lists!$A$2:$A$40,0)))=0,"",IF(MIN($F883:$J883)&gt;=INDEX(Lists!$C$2:$C$40,MATCH($C883,Lists!$A$2:$A$40,0)),"LEVEL UP",""))),"")</f>
        <v/>
      </c>
      <c r="N883" s="20"/>
      <c r="O883" s="19"/>
    </row>
    <row r="884" customFormat="false" ht="15" hidden="false" customHeight="false" outlineLevel="0" collapsed="false">
      <c r="A884" s="17"/>
      <c r="B884" s="18" t="str">
        <f aca="false">IF($A884="","",TEXT($A884,"ddd"))</f>
        <v/>
      </c>
      <c r="C884" s="19"/>
      <c r="D884" s="19"/>
      <c r="E884" s="18" t="str">
        <f aca="false">IF($C884="","",IFERROR(INDEX(Lists!$B$2:$B$40,MATCH($C884,Lists!$A$2:$A$40,0)),""))</f>
        <v/>
      </c>
      <c r="F884" s="20"/>
      <c r="G884" s="20"/>
      <c r="H884" s="20"/>
      <c r="I884" s="20"/>
      <c r="J884" s="20"/>
      <c r="K884" s="18" t="str">
        <f aca="false">IF(COUNT($F884:$J884)=0,"",SUM($F884:$J884))</f>
        <v/>
      </c>
      <c r="L884" s="18" t="str">
        <f aca="false">IF(COUNT($F884:$J884)=0,"",MAX($F884:$J884))</f>
        <v/>
      </c>
      <c r="M884" s="18" t="str">
        <f aca="false">IFERROR(IF(OR($C884="",COUNT($F884:$J884)&lt;3),"",IF(N(INDEX(Lists!$C$2:$C$40,MATCH($C884,Lists!$A$2:$A$40,0)))=0,"",IF(MIN($F884:$J884)&gt;=INDEX(Lists!$C$2:$C$40,MATCH($C884,Lists!$A$2:$A$40,0)),"LEVEL UP",""))),"")</f>
        <v/>
      </c>
      <c r="N884" s="20"/>
      <c r="O884" s="19"/>
    </row>
    <row r="885" customFormat="false" ht="15" hidden="false" customHeight="false" outlineLevel="0" collapsed="false">
      <c r="A885" s="17"/>
      <c r="B885" s="18" t="str">
        <f aca="false">IF($A885="","",TEXT($A885,"ddd"))</f>
        <v/>
      </c>
      <c r="C885" s="19"/>
      <c r="D885" s="19"/>
      <c r="E885" s="18" t="str">
        <f aca="false">IF($C885="","",IFERROR(INDEX(Lists!$B$2:$B$40,MATCH($C885,Lists!$A$2:$A$40,0)),""))</f>
        <v/>
      </c>
      <c r="F885" s="20"/>
      <c r="G885" s="20"/>
      <c r="H885" s="20"/>
      <c r="I885" s="20"/>
      <c r="J885" s="20"/>
      <c r="K885" s="18" t="str">
        <f aca="false">IF(COUNT($F885:$J885)=0,"",SUM($F885:$J885))</f>
        <v/>
      </c>
      <c r="L885" s="18" t="str">
        <f aca="false">IF(COUNT($F885:$J885)=0,"",MAX($F885:$J885))</f>
        <v/>
      </c>
      <c r="M885" s="18" t="str">
        <f aca="false">IFERROR(IF(OR($C885="",COUNT($F885:$J885)&lt;3),"",IF(N(INDEX(Lists!$C$2:$C$40,MATCH($C885,Lists!$A$2:$A$40,0)))=0,"",IF(MIN($F885:$J885)&gt;=INDEX(Lists!$C$2:$C$40,MATCH($C885,Lists!$A$2:$A$40,0)),"LEVEL UP",""))),"")</f>
        <v/>
      </c>
      <c r="N885" s="20"/>
      <c r="O885" s="19"/>
    </row>
    <row r="886" customFormat="false" ht="15" hidden="false" customHeight="false" outlineLevel="0" collapsed="false">
      <c r="A886" s="17"/>
      <c r="B886" s="18" t="str">
        <f aca="false">IF($A886="","",TEXT($A886,"ddd"))</f>
        <v/>
      </c>
      <c r="C886" s="19"/>
      <c r="D886" s="19"/>
      <c r="E886" s="18" t="str">
        <f aca="false">IF($C886="","",IFERROR(INDEX(Lists!$B$2:$B$40,MATCH($C886,Lists!$A$2:$A$40,0)),""))</f>
        <v/>
      </c>
      <c r="F886" s="20"/>
      <c r="G886" s="20"/>
      <c r="H886" s="20"/>
      <c r="I886" s="20"/>
      <c r="J886" s="20"/>
      <c r="K886" s="18" t="str">
        <f aca="false">IF(COUNT($F886:$J886)=0,"",SUM($F886:$J886))</f>
        <v/>
      </c>
      <c r="L886" s="18" t="str">
        <f aca="false">IF(COUNT($F886:$J886)=0,"",MAX($F886:$J886))</f>
        <v/>
      </c>
      <c r="M886" s="18" t="str">
        <f aca="false">IFERROR(IF(OR($C886="",COUNT($F886:$J886)&lt;3),"",IF(N(INDEX(Lists!$C$2:$C$40,MATCH($C886,Lists!$A$2:$A$40,0)))=0,"",IF(MIN($F886:$J886)&gt;=INDEX(Lists!$C$2:$C$40,MATCH($C886,Lists!$A$2:$A$40,0)),"LEVEL UP",""))),"")</f>
        <v/>
      </c>
      <c r="N886" s="20"/>
      <c r="O886" s="19"/>
    </row>
    <row r="887" customFormat="false" ht="15" hidden="false" customHeight="false" outlineLevel="0" collapsed="false">
      <c r="A887" s="17"/>
      <c r="B887" s="18" t="str">
        <f aca="false">IF($A887="","",TEXT($A887,"ddd"))</f>
        <v/>
      </c>
      <c r="C887" s="19"/>
      <c r="D887" s="19"/>
      <c r="E887" s="18" t="str">
        <f aca="false">IF($C887="","",IFERROR(INDEX(Lists!$B$2:$B$40,MATCH($C887,Lists!$A$2:$A$40,0)),""))</f>
        <v/>
      </c>
      <c r="F887" s="20"/>
      <c r="G887" s="20"/>
      <c r="H887" s="20"/>
      <c r="I887" s="20"/>
      <c r="J887" s="20"/>
      <c r="K887" s="18" t="str">
        <f aca="false">IF(COUNT($F887:$J887)=0,"",SUM($F887:$J887))</f>
        <v/>
      </c>
      <c r="L887" s="18" t="str">
        <f aca="false">IF(COUNT($F887:$J887)=0,"",MAX($F887:$J887))</f>
        <v/>
      </c>
      <c r="M887" s="18" t="str">
        <f aca="false">IFERROR(IF(OR($C887="",COUNT($F887:$J887)&lt;3),"",IF(N(INDEX(Lists!$C$2:$C$40,MATCH($C887,Lists!$A$2:$A$40,0)))=0,"",IF(MIN($F887:$J887)&gt;=INDEX(Lists!$C$2:$C$40,MATCH($C887,Lists!$A$2:$A$40,0)),"LEVEL UP",""))),"")</f>
        <v/>
      </c>
      <c r="N887" s="20"/>
      <c r="O887" s="19"/>
    </row>
    <row r="888" customFormat="false" ht="15" hidden="false" customHeight="false" outlineLevel="0" collapsed="false">
      <c r="A888" s="17"/>
      <c r="B888" s="18" t="str">
        <f aca="false">IF($A888="","",TEXT($A888,"ddd"))</f>
        <v/>
      </c>
      <c r="C888" s="19"/>
      <c r="D888" s="19"/>
      <c r="E888" s="18" t="str">
        <f aca="false">IF($C888="","",IFERROR(INDEX(Lists!$B$2:$B$40,MATCH($C888,Lists!$A$2:$A$40,0)),""))</f>
        <v/>
      </c>
      <c r="F888" s="20"/>
      <c r="G888" s="20"/>
      <c r="H888" s="20"/>
      <c r="I888" s="20"/>
      <c r="J888" s="20"/>
      <c r="K888" s="18" t="str">
        <f aca="false">IF(COUNT($F888:$J888)=0,"",SUM($F888:$J888))</f>
        <v/>
      </c>
      <c r="L888" s="18" t="str">
        <f aca="false">IF(COUNT($F888:$J888)=0,"",MAX($F888:$J888))</f>
        <v/>
      </c>
      <c r="M888" s="18" t="str">
        <f aca="false">IFERROR(IF(OR($C888="",COUNT($F888:$J888)&lt;3),"",IF(N(INDEX(Lists!$C$2:$C$40,MATCH($C888,Lists!$A$2:$A$40,0)))=0,"",IF(MIN($F888:$J888)&gt;=INDEX(Lists!$C$2:$C$40,MATCH($C888,Lists!$A$2:$A$40,0)),"LEVEL UP",""))),"")</f>
        <v/>
      </c>
      <c r="N888" s="20"/>
      <c r="O888" s="19"/>
    </row>
    <row r="889" customFormat="false" ht="15" hidden="false" customHeight="false" outlineLevel="0" collapsed="false">
      <c r="A889" s="17"/>
      <c r="B889" s="18" t="str">
        <f aca="false">IF($A889="","",TEXT($A889,"ddd"))</f>
        <v/>
      </c>
      <c r="C889" s="19"/>
      <c r="D889" s="19"/>
      <c r="E889" s="18" t="str">
        <f aca="false">IF($C889="","",IFERROR(INDEX(Lists!$B$2:$B$40,MATCH($C889,Lists!$A$2:$A$40,0)),""))</f>
        <v/>
      </c>
      <c r="F889" s="20"/>
      <c r="G889" s="20"/>
      <c r="H889" s="20"/>
      <c r="I889" s="20"/>
      <c r="J889" s="20"/>
      <c r="K889" s="18" t="str">
        <f aca="false">IF(COUNT($F889:$J889)=0,"",SUM($F889:$J889))</f>
        <v/>
      </c>
      <c r="L889" s="18" t="str">
        <f aca="false">IF(COUNT($F889:$J889)=0,"",MAX($F889:$J889))</f>
        <v/>
      </c>
      <c r="M889" s="18" t="str">
        <f aca="false">IFERROR(IF(OR($C889="",COUNT($F889:$J889)&lt;3),"",IF(N(INDEX(Lists!$C$2:$C$40,MATCH($C889,Lists!$A$2:$A$40,0)))=0,"",IF(MIN($F889:$J889)&gt;=INDEX(Lists!$C$2:$C$40,MATCH($C889,Lists!$A$2:$A$40,0)),"LEVEL UP",""))),"")</f>
        <v/>
      </c>
      <c r="N889" s="20"/>
      <c r="O889" s="19"/>
    </row>
    <row r="890" customFormat="false" ht="15" hidden="false" customHeight="false" outlineLevel="0" collapsed="false">
      <c r="A890" s="17"/>
      <c r="B890" s="18" t="str">
        <f aca="false">IF($A890="","",TEXT($A890,"ddd"))</f>
        <v/>
      </c>
      <c r="C890" s="19"/>
      <c r="D890" s="19"/>
      <c r="E890" s="18" t="str">
        <f aca="false">IF($C890="","",IFERROR(INDEX(Lists!$B$2:$B$40,MATCH($C890,Lists!$A$2:$A$40,0)),""))</f>
        <v/>
      </c>
      <c r="F890" s="20"/>
      <c r="G890" s="20"/>
      <c r="H890" s="20"/>
      <c r="I890" s="20"/>
      <c r="J890" s="20"/>
      <c r="K890" s="18" t="str">
        <f aca="false">IF(COUNT($F890:$J890)=0,"",SUM($F890:$J890))</f>
        <v/>
      </c>
      <c r="L890" s="18" t="str">
        <f aca="false">IF(COUNT($F890:$J890)=0,"",MAX($F890:$J890))</f>
        <v/>
      </c>
      <c r="M890" s="18" t="str">
        <f aca="false">IFERROR(IF(OR($C890="",COUNT($F890:$J890)&lt;3),"",IF(N(INDEX(Lists!$C$2:$C$40,MATCH($C890,Lists!$A$2:$A$40,0)))=0,"",IF(MIN($F890:$J890)&gt;=INDEX(Lists!$C$2:$C$40,MATCH($C890,Lists!$A$2:$A$40,0)),"LEVEL UP",""))),"")</f>
        <v/>
      </c>
      <c r="N890" s="20"/>
      <c r="O890" s="19"/>
    </row>
    <row r="891" customFormat="false" ht="15" hidden="false" customHeight="false" outlineLevel="0" collapsed="false">
      <c r="A891" s="17"/>
      <c r="B891" s="18" t="str">
        <f aca="false">IF($A891="","",TEXT($A891,"ddd"))</f>
        <v/>
      </c>
      <c r="C891" s="19"/>
      <c r="D891" s="19"/>
      <c r="E891" s="18" t="str">
        <f aca="false">IF($C891="","",IFERROR(INDEX(Lists!$B$2:$B$40,MATCH($C891,Lists!$A$2:$A$40,0)),""))</f>
        <v/>
      </c>
      <c r="F891" s="20"/>
      <c r="G891" s="20"/>
      <c r="H891" s="20"/>
      <c r="I891" s="20"/>
      <c r="J891" s="20"/>
      <c r="K891" s="18" t="str">
        <f aca="false">IF(COUNT($F891:$J891)=0,"",SUM($F891:$J891))</f>
        <v/>
      </c>
      <c r="L891" s="18" t="str">
        <f aca="false">IF(COUNT($F891:$J891)=0,"",MAX($F891:$J891))</f>
        <v/>
      </c>
      <c r="M891" s="18" t="str">
        <f aca="false">IFERROR(IF(OR($C891="",COUNT($F891:$J891)&lt;3),"",IF(N(INDEX(Lists!$C$2:$C$40,MATCH($C891,Lists!$A$2:$A$40,0)))=0,"",IF(MIN($F891:$J891)&gt;=INDEX(Lists!$C$2:$C$40,MATCH($C891,Lists!$A$2:$A$40,0)),"LEVEL UP",""))),"")</f>
        <v/>
      </c>
      <c r="N891" s="20"/>
      <c r="O891" s="19"/>
    </row>
    <row r="892" customFormat="false" ht="15" hidden="false" customHeight="false" outlineLevel="0" collapsed="false">
      <c r="A892" s="17"/>
      <c r="B892" s="18" t="str">
        <f aca="false">IF($A892="","",TEXT($A892,"ddd"))</f>
        <v/>
      </c>
      <c r="C892" s="19"/>
      <c r="D892" s="19"/>
      <c r="E892" s="18" t="str">
        <f aca="false">IF($C892="","",IFERROR(INDEX(Lists!$B$2:$B$40,MATCH($C892,Lists!$A$2:$A$40,0)),""))</f>
        <v/>
      </c>
      <c r="F892" s="20"/>
      <c r="G892" s="20"/>
      <c r="H892" s="20"/>
      <c r="I892" s="20"/>
      <c r="J892" s="20"/>
      <c r="K892" s="18" t="str">
        <f aca="false">IF(COUNT($F892:$J892)=0,"",SUM($F892:$J892))</f>
        <v/>
      </c>
      <c r="L892" s="18" t="str">
        <f aca="false">IF(COUNT($F892:$J892)=0,"",MAX($F892:$J892))</f>
        <v/>
      </c>
      <c r="M892" s="18" t="str">
        <f aca="false">IFERROR(IF(OR($C892="",COUNT($F892:$J892)&lt;3),"",IF(N(INDEX(Lists!$C$2:$C$40,MATCH($C892,Lists!$A$2:$A$40,0)))=0,"",IF(MIN($F892:$J892)&gt;=INDEX(Lists!$C$2:$C$40,MATCH($C892,Lists!$A$2:$A$40,0)),"LEVEL UP",""))),"")</f>
        <v/>
      </c>
      <c r="N892" s="20"/>
      <c r="O892" s="19"/>
    </row>
    <row r="893" customFormat="false" ht="15" hidden="false" customHeight="false" outlineLevel="0" collapsed="false">
      <c r="A893" s="17"/>
      <c r="B893" s="18" t="str">
        <f aca="false">IF($A893="","",TEXT($A893,"ddd"))</f>
        <v/>
      </c>
      <c r="C893" s="19"/>
      <c r="D893" s="19"/>
      <c r="E893" s="18" t="str">
        <f aca="false">IF($C893="","",IFERROR(INDEX(Lists!$B$2:$B$40,MATCH($C893,Lists!$A$2:$A$40,0)),""))</f>
        <v/>
      </c>
      <c r="F893" s="20"/>
      <c r="G893" s="20"/>
      <c r="H893" s="20"/>
      <c r="I893" s="20"/>
      <c r="J893" s="20"/>
      <c r="K893" s="18" t="str">
        <f aca="false">IF(COUNT($F893:$J893)=0,"",SUM($F893:$J893))</f>
        <v/>
      </c>
      <c r="L893" s="18" t="str">
        <f aca="false">IF(COUNT($F893:$J893)=0,"",MAX($F893:$J893))</f>
        <v/>
      </c>
      <c r="M893" s="18" t="str">
        <f aca="false">IFERROR(IF(OR($C893="",COUNT($F893:$J893)&lt;3),"",IF(N(INDEX(Lists!$C$2:$C$40,MATCH($C893,Lists!$A$2:$A$40,0)))=0,"",IF(MIN($F893:$J893)&gt;=INDEX(Lists!$C$2:$C$40,MATCH($C893,Lists!$A$2:$A$40,0)),"LEVEL UP",""))),"")</f>
        <v/>
      </c>
      <c r="N893" s="20"/>
      <c r="O893" s="19"/>
    </row>
    <row r="894" customFormat="false" ht="15" hidden="false" customHeight="false" outlineLevel="0" collapsed="false">
      <c r="A894" s="17"/>
      <c r="B894" s="18" t="str">
        <f aca="false">IF($A894="","",TEXT($A894,"ddd"))</f>
        <v/>
      </c>
      <c r="C894" s="19"/>
      <c r="D894" s="19"/>
      <c r="E894" s="18" t="str">
        <f aca="false">IF($C894="","",IFERROR(INDEX(Lists!$B$2:$B$40,MATCH($C894,Lists!$A$2:$A$40,0)),""))</f>
        <v/>
      </c>
      <c r="F894" s="20"/>
      <c r="G894" s="20"/>
      <c r="H894" s="20"/>
      <c r="I894" s="20"/>
      <c r="J894" s="20"/>
      <c r="K894" s="18" t="str">
        <f aca="false">IF(COUNT($F894:$J894)=0,"",SUM($F894:$J894))</f>
        <v/>
      </c>
      <c r="L894" s="18" t="str">
        <f aca="false">IF(COUNT($F894:$J894)=0,"",MAX($F894:$J894))</f>
        <v/>
      </c>
      <c r="M894" s="18" t="str">
        <f aca="false">IFERROR(IF(OR($C894="",COUNT($F894:$J894)&lt;3),"",IF(N(INDEX(Lists!$C$2:$C$40,MATCH($C894,Lists!$A$2:$A$40,0)))=0,"",IF(MIN($F894:$J894)&gt;=INDEX(Lists!$C$2:$C$40,MATCH($C894,Lists!$A$2:$A$40,0)),"LEVEL UP",""))),"")</f>
        <v/>
      </c>
      <c r="N894" s="20"/>
      <c r="O894" s="19"/>
    </row>
    <row r="895" customFormat="false" ht="15" hidden="false" customHeight="false" outlineLevel="0" collapsed="false">
      <c r="A895" s="17"/>
      <c r="B895" s="18" t="str">
        <f aca="false">IF($A895="","",TEXT($A895,"ddd"))</f>
        <v/>
      </c>
      <c r="C895" s="19"/>
      <c r="D895" s="19"/>
      <c r="E895" s="18" t="str">
        <f aca="false">IF($C895="","",IFERROR(INDEX(Lists!$B$2:$B$40,MATCH($C895,Lists!$A$2:$A$40,0)),""))</f>
        <v/>
      </c>
      <c r="F895" s="20"/>
      <c r="G895" s="20"/>
      <c r="H895" s="20"/>
      <c r="I895" s="20"/>
      <c r="J895" s="20"/>
      <c r="K895" s="18" t="str">
        <f aca="false">IF(COUNT($F895:$J895)=0,"",SUM($F895:$J895))</f>
        <v/>
      </c>
      <c r="L895" s="18" t="str">
        <f aca="false">IF(COUNT($F895:$J895)=0,"",MAX($F895:$J895))</f>
        <v/>
      </c>
      <c r="M895" s="18" t="str">
        <f aca="false">IFERROR(IF(OR($C895="",COUNT($F895:$J895)&lt;3),"",IF(N(INDEX(Lists!$C$2:$C$40,MATCH($C895,Lists!$A$2:$A$40,0)))=0,"",IF(MIN($F895:$J895)&gt;=INDEX(Lists!$C$2:$C$40,MATCH($C895,Lists!$A$2:$A$40,0)),"LEVEL UP",""))),"")</f>
        <v/>
      </c>
      <c r="N895" s="20"/>
      <c r="O895" s="19"/>
    </row>
    <row r="896" customFormat="false" ht="15" hidden="false" customHeight="false" outlineLevel="0" collapsed="false">
      <c r="A896" s="17"/>
      <c r="B896" s="18" t="str">
        <f aca="false">IF($A896="","",TEXT($A896,"ddd"))</f>
        <v/>
      </c>
      <c r="C896" s="19"/>
      <c r="D896" s="19"/>
      <c r="E896" s="18" t="str">
        <f aca="false">IF($C896="","",IFERROR(INDEX(Lists!$B$2:$B$40,MATCH($C896,Lists!$A$2:$A$40,0)),""))</f>
        <v/>
      </c>
      <c r="F896" s="20"/>
      <c r="G896" s="20"/>
      <c r="H896" s="20"/>
      <c r="I896" s="20"/>
      <c r="J896" s="20"/>
      <c r="K896" s="18" t="str">
        <f aca="false">IF(COUNT($F896:$J896)=0,"",SUM($F896:$J896))</f>
        <v/>
      </c>
      <c r="L896" s="18" t="str">
        <f aca="false">IF(COUNT($F896:$J896)=0,"",MAX($F896:$J896))</f>
        <v/>
      </c>
      <c r="M896" s="18" t="str">
        <f aca="false">IFERROR(IF(OR($C896="",COUNT($F896:$J896)&lt;3),"",IF(N(INDEX(Lists!$C$2:$C$40,MATCH($C896,Lists!$A$2:$A$40,0)))=0,"",IF(MIN($F896:$J896)&gt;=INDEX(Lists!$C$2:$C$40,MATCH($C896,Lists!$A$2:$A$40,0)),"LEVEL UP",""))),"")</f>
        <v/>
      </c>
      <c r="N896" s="20"/>
      <c r="O896" s="19"/>
    </row>
    <row r="897" customFormat="false" ht="15" hidden="false" customHeight="false" outlineLevel="0" collapsed="false">
      <c r="A897" s="17"/>
      <c r="B897" s="18" t="str">
        <f aca="false">IF($A897="","",TEXT($A897,"ddd"))</f>
        <v/>
      </c>
      <c r="C897" s="19"/>
      <c r="D897" s="19"/>
      <c r="E897" s="18" t="str">
        <f aca="false">IF($C897="","",IFERROR(INDEX(Lists!$B$2:$B$40,MATCH($C897,Lists!$A$2:$A$40,0)),""))</f>
        <v/>
      </c>
      <c r="F897" s="20"/>
      <c r="G897" s="20"/>
      <c r="H897" s="20"/>
      <c r="I897" s="20"/>
      <c r="J897" s="20"/>
      <c r="K897" s="18" t="str">
        <f aca="false">IF(COUNT($F897:$J897)=0,"",SUM($F897:$J897))</f>
        <v/>
      </c>
      <c r="L897" s="18" t="str">
        <f aca="false">IF(COUNT($F897:$J897)=0,"",MAX($F897:$J897))</f>
        <v/>
      </c>
      <c r="M897" s="18" t="str">
        <f aca="false">IFERROR(IF(OR($C897="",COUNT($F897:$J897)&lt;3),"",IF(N(INDEX(Lists!$C$2:$C$40,MATCH($C897,Lists!$A$2:$A$40,0)))=0,"",IF(MIN($F897:$J897)&gt;=INDEX(Lists!$C$2:$C$40,MATCH($C897,Lists!$A$2:$A$40,0)),"LEVEL UP",""))),"")</f>
        <v/>
      </c>
      <c r="N897" s="20"/>
      <c r="O897" s="19"/>
    </row>
    <row r="898" customFormat="false" ht="15" hidden="false" customHeight="false" outlineLevel="0" collapsed="false">
      <c r="A898" s="17"/>
      <c r="B898" s="18" t="str">
        <f aca="false">IF($A898="","",TEXT($A898,"ddd"))</f>
        <v/>
      </c>
      <c r="C898" s="19"/>
      <c r="D898" s="19"/>
      <c r="E898" s="18" t="str">
        <f aca="false">IF($C898="","",IFERROR(INDEX(Lists!$B$2:$B$40,MATCH($C898,Lists!$A$2:$A$40,0)),""))</f>
        <v/>
      </c>
      <c r="F898" s="20"/>
      <c r="G898" s="20"/>
      <c r="H898" s="20"/>
      <c r="I898" s="20"/>
      <c r="J898" s="20"/>
      <c r="K898" s="18" t="str">
        <f aca="false">IF(COUNT($F898:$J898)=0,"",SUM($F898:$J898))</f>
        <v/>
      </c>
      <c r="L898" s="18" t="str">
        <f aca="false">IF(COUNT($F898:$J898)=0,"",MAX($F898:$J898))</f>
        <v/>
      </c>
      <c r="M898" s="18" t="str">
        <f aca="false">IFERROR(IF(OR($C898="",COUNT($F898:$J898)&lt;3),"",IF(N(INDEX(Lists!$C$2:$C$40,MATCH($C898,Lists!$A$2:$A$40,0)))=0,"",IF(MIN($F898:$J898)&gt;=INDEX(Lists!$C$2:$C$40,MATCH($C898,Lists!$A$2:$A$40,0)),"LEVEL UP",""))),"")</f>
        <v/>
      </c>
      <c r="N898" s="20"/>
      <c r="O898" s="19"/>
    </row>
    <row r="899" customFormat="false" ht="15" hidden="false" customHeight="false" outlineLevel="0" collapsed="false">
      <c r="A899" s="17"/>
      <c r="B899" s="18" t="str">
        <f aca="false">IF($A899="","",TEXT($A899,"ddd"))</f>
        <v/>
      </c>
      <c r="C899" s="19"/>
      <c r="D899" s="19"/>
      <c r="E899" s="18" t="str">
        <f aca="false">IF($C899="","",IFERROR(INDEX(Lists!$B$2:$B$40,MATCH($C899,Lists!$A$2:$A$40,0)),""))</f>
        <v/>
      </c>
      <c r="F899" s="20"/>
      <c r="G899" s="20"/>
      <c r="H899" s="20"/>
      <c r="I899" s="20"/>
      <c r="J899" s="20"/>
      <c r="K899" s="18" t="str">
        <f aca="false">IF(COUNT($F899:$J899)=0,"",SUM($F899:$J899))</f>
        <v/>
      </c>
      <c r="L899" s="18" t="str">
        <f aca="false">IF(COUNT($F899:$J899)=0,"",MAX($F899:$J899))</f>
        <v/>
      </c>
      <c r="M899" s="18" t="str">
        <f aca="false">IFERROR(IF(OR($C899="",COUNT($F899:$J899)&lt;3),"",IF(N(INDEX(Lists!$C$2:$C$40,MATCH($C899,Lists!$A$2:$A$40,0)))=0,"",IF(MIN($F899:$J899)&gt;=INDEX(Lists!$C$2:$C$40,MATCH($C899,Lists!$A$2:$A$40,0)),"LEVEL UP",""))),"")</f>
        <v/>
      </c>
      <c r="N899" s="20"/>
      <c r="O899" s="19"/>
    </row>
    <row r="900" customFormat="false" ht="15" hidden="false" customHeight="false" outlineLevel="0" collapsed="false">
      <c r="A900" s="17"/>
      <c r="B900" s="18" t="str">
        <f aca="false">IF($A900="","",TEXT($A900,"ddd"))</f>
        <v/>
      </c>
      <c r="C900" s="19"/>
      <c r="D900" s="19"/>
      <c r="E900" s="18" t="str">
        <f aca="false">IF($C900="","",IFERROR(INDEX(Lists!$B$2:$B$40,MATCH($C900,Lists!$A$2:$A$40,0)),""))</f>
        <v/>
      </c>
      <c r="F900" s="20"/>
      <c r="G900" s="20"/>
      <c r="H900" s="20"/>
      <c r="I900" s="20"/>
      <c r="J900" s="20"/>
      <c r="K900" s="18" t="str">
        <f aca="false">IF(COUNT($F900:$J900)=0,"",SUM($F900:$J900))</f>
        <v/>
      </c>
      <c r="L900" s="18" t="str">
        <f aca="false">IF(COUNT($F900:$J900)=0,"",MAX($F900:$J900))</f>
        <v/>
      </c>
      <c r="M900" s="18" t="str">
        <f aca="false">IFERROR(IF(OR($C900="",COUNT($F900:$J900)&lt;3),"",IF(N(INDEX(Lists!$C$2:$C$40,MATCH($C900,Lists!$A$2:$A$40,0)))=0,"",IF(MIN($F900:$J900)&gt;=INDEX(Lists!$C$2:$C$40,MATCH($C900,Lists!$A$2:$A$40,0)),"LEVEL UP",""))),"")</f>
        <v/>
      </c>
      <c r="N900" s="20"/>
      <c r="O900" s="19"/>
    </row>
    <row r="901" customFormat="false" ht="15" hidden="false" customHeight="false" outlineLevel="0" collapsed="false">
      <c r="A901" s="17"/>
      <c r="B901" s="18" t="str">
        <f aca="false">IF($A901="","",TEXT($A901,"ddd"))</f>
        <v/>
      </c>
      <c r="C901" s="19"/>
      <c r="D901" s="19"/>
      <c r="E901" s="18" t="str">
        <f aca="false">IF($C901="","",IFERROR(INDEX(Lists!$B$2:$B$40,MATCH($C901,Lists!$A$2:$A$40,0)),""))</f>
        <v/>
      </c>
      <c r="F901" s="20"/>
      <c r="G901" s="20"/>
      <c r="H901" s="20"/>
      <c r="I901" s="20"/>
      <c r="J901" s="20"/>
      <c r="K901" s="18" t="str">
        <f aca="false">IF(COUNT($F901:$J901)=0,"",SUM($F901:$J901))</f>
        <v/>
      </c>
      <c r="L901" s="18" t="str">
        <f aca="false">IF(COUNT($F901:$J901)=0,"",MAX($F901:$J901))</f>
        <v/>
      </c>
      <c r="M901" s="18" t="str">
        <f aca="false">IFERROR(IF(OR($C901="",COUNT($F901:$J901)&lt;3),"",IF(N(INDEX(Lists!$C$2:$C$40,MATCH($C901,Lists!$A$2:$A$40,0)))=0,"",IF(MIN($F901:$J901)&gt;=INDEX(Lists!$C$2:$C$40,MATCH($C901,Lists!$A$2:$A$40,0)),"LEVEL UP",""))),"")</f>
        <v/>
      </c>
      <c r="N901" s="20"/>
      <c r="O901" s="19"/>
    </row>
    <row r="902" customFormat="false" ht="15" hidden="false" customHeight="false" outlineLevel="0" collapsed="false">
      <c r="A902" s="17"/>
      <c r="B902" s="18" t="str">
        <f aca="false">IF($A902="","",TEXT($A902,"ddd"))</f>
        <v/>
      </c>
      <c r="C902" s="19"/>
      <c r="D902" s="19"/>
      <c r="E902" s="18" t="str">
        <f aca="false">IF($C902="","",IFERROR(INDEX(Lists!$B$2:$B$40,MATCH($C902,Lists!$A$2:$A$40,0)),""))</f>
        <v/>
      </c>
      <c r="F902" s="20"/>
      <c r="G902" s="20"/>
      <c r="H902" s="20"/>
      <c r="I902" s="20"/>
      <c r="J902" s="20"/>
      <c r="K902" s="18" t="str">
        <f aca="false">IF(COUNT($F902:$J902)=0,"",SUM($F902:$J902))</f>
        <v/>
      </c>
      <c r="L902" s="18" t="str">
        <f aca="false">IF(COUNT($F902:$J902)=0,"",MAX($F902:$J902))</f>
        <v/>
      </c>
      <c r="M902" s="18" t="str">
        <f aca="false">IFERROR(IF(OR($C902="",COUNT($F902:$J902)&lt;3),"",IF(N(INDEX(Lists!$C$2:$C$40,MATCH($C902,Lists!$A$2:$A$40,0)))=0,"",IF(MIN($F902:$J902)&gt;=INDEX(Lists!$C$2:$C$40,MATCH($C902,Lists!$A$2:$A$40,0)),"LEVEL UP",""))),"")</f>
        <v/>
      </c>
      <c r="N902" s="20"/>
      <c r="O902" s="19"/>
    </row>
    <row r="903" customFormat="false" ht="15" hidden="false" customHeight="false" outlineLevel="0" collapsed="false">
      <c r="A903" s="17"/>
      <c r="B903" s="18" t="str">
        <f aca="false">IF($A903="","",TEXT($A903,"ddd"))</f>
        <v/>
      </c>
      <c r="C903" s="19"/>
      <c r="D903" s="19"/>
      <c r="E903" s="18" t="str">
        <f aca="false">IF($C903="","",IFERROR(INDEX(Lists!$B$2:$B$40,MATCH($C903,Lists!$A$2:$A$40,0)),""))</f>
        <v/>
      </c>
      <c r="F903" s="20"/>
      <c r="G903" s="20"/>
      <c r="H903" s="20"/>
      <c r="I903" s="20"/>
      <c r="J903" s="20"/>
      <c r="K903" s="18" t="str">
        <f aca="false">IF(COUNT($F903:$J903)=0,"",SUM($F903:$J903))</f>
        <v/>
      </c>
      <c r="L903" s="18" t="str">
        <f aca="false">IF(COUNT($F903:$J903)=0,"",MAX($F903:$J903))</f>
        <v/>
      </c>
      <c r="M903" s="18" t="str">
        <f aca="false">IFERROR(IF(OR($C903="",COUNT($F903:$J903)&lt;3),"",IF(N(INDEX(Lists!$C$2:$C$40,MATCH($C903,Lists!$A$2:$A$40,0)))=0,"",IF(MIN($F903:$J903)&gt;=INDEX(Lists!$C$2:$C$40,MATCH($C903,Lists!$A$2:$A$40,0)),"LEVEL UP",""))),"")</f>
        <v/>
      </c>
      <c r="N903" s="20"/>
      <c r="O903" s="19"/>
    </row>
    <row r="904" customFormat="false" ht="15" hidden="false" customHeight="false" outlineLevel="0" collapsed="false">
      <c r="A904" s="17"/>
      <c r="B904" s="18" t="str">
        <f aca="false">IF($A904="","",TEXT($A904,"ddd"))</f>
        <v/>
      </c>
      <c r="C904" s="19"/>
      <c r="D904" s="19"/>
      <c r="E904" s="18" t="str">
        <f aca="false">IF($C904="","",IFERROR(INDEX(Lists!$B$2:$B$40,MATCH($C904,Lists!$A$2:$A$40,0)),""))</f>
        <v/>
      </c>
      <c r="F904" s="20"/>
      <c r="G904" s="20"/>
      <c r="H904" s="20"/>
      <c r="I904" s="20"/>
      <c r="J904" s="20"/>
      <c r="K904" s="18" t="str">
        <f aca="false">IF(COUNT($F904:$J904)=0,"",SUM($F904:$J904))</f>
        <v/>
      </c>
      <c r="L904" s="18" t="str">
        <f aca="false">IF(COUNT($F904:$J904)=0,"",MAX($F904:$J904))</f>
        <v/>
      </c>
      <c r="M904" s="18" t="str">
        <f aca="false">IFERROR(IF(OR($C904="",COUNT($F904:$J904)&lt;3),"",IF(N(INDEX(Lists!$C$2:$C$40,MATCH($C904,Lists!$A$2:$A$40,0)))=0,"",IF(MIN($F904:$J904)&gt;=INDEX(Lists!$C$2:$C$40,MATCH($C904,Lists!$A$2:$A$40,0)),"LEVEL UP",""))),"")</f>
        <v/>
      </c>
      <c r="N904" s="20"/>
      <c r="O904" s="19"/>
    </row>
    <row r="905" customFormat="false" ht="15" hidden="false" customHeight="false" outlineLevel="0" collapsed="false">
      <c r="A905" s="17"/>
      <c r="B905" s="18" t="str">
        <f aca="false">IF($A905="","",TEXT($A905,"ddd"))</f>
        <v/>
      </c>
      <c r="C905" s="19"/>
      <c r="D905" s="19"/>
      <c r="E905" s="18" t="str">
        <f aca="false">IF($C905="","",IFERROR(INDEX(Lists!$B$2:$B$40,MATCH($C905,Lists!$A$2:$A$40,0)),""))</f>
        <v/>
      </c>
      <c r="F905" s="20"/>
      <c r="G905" s="20"/>
      <c r="H905" s="20"/>
      <c r="I905" s="20"/>
      <c r="J905" s="20"/>
      <c r="K905" s="18" t="str">
        <f aca="false">IF(COUNT($F905:$J905)=0,"",SUM($F905:$J905))</f>
        <v/>
      </c>
      <c r="L905" s="18" t="str">
        <f aca="false">IF(COUNT($F905:$J905)=0,"",MAX($F905:$J905))</f>
        <v/>
      </c>
      <c r="M905" s="18" t="str">
        <f aca="false">IFERROR(IF(OR($C905="",COUNT($F905:$J905)&lt;3),"",IF(N(INDEX(Lists!$C$2:$C$40,MATCH($C905,Lists!$A$2:$A$40,0)))=0,"",IF(MIN($F905:$J905)&gt;=INDEX(Lists!$C$2:$C$40,MATCH($C905,Lists!$A$2:$A$40,0)),"LEVEL UP",""))),"")</f>
        <v/>
      </c>
      <c r="N905" s="20"/>
      <c r="O905" s="19"/>
    </row>
    <row r="906" customFormat="false" ht="15" hidden="false" customHeight="false" outlineLevel="0" collapsed="false">
      <c r="A906" s="17"/>
      <c r="B906" s="18" t="str">
        <f aca="false">IF($A906="","",TEXT($A906,"ddd"))</f>
        <v/>
      </c>
      <c r="C906" s="19"/>
      <c r="D906" s="19"/>
      <c r="E906" s="18" t="str">
        <f aca="false">IF($C906="","",IFERROR(INDEX(Lists!$B$2:$B$40,MATCH($C906,Lists!$A$2:$A$40,0)),""))</f>
        <v/>
      </c>
      <c r="F906" s="20"/>
      <c r="G906" s="20"/>
      <c r="H906" s="20"/>
      <c r="I906" s="20"/>
      <c r="J906" s="20"/>
      <c r="K906" s="18" t="str">
        <f aca="false">IF(COUNT($F906:$J906)=0,"",SUM($F906:$J906))</f>
        <v/>
      </c>
      <c r="L906" s="18" t="str">
        <f aca="false">IF(COUNT($F906:$J906)=0,"",MAX($F906:$J906))</f>
        <v/>
      </c>
      <c r="M906" s="18" t="str">
        <f aca="false">IFERROR(IF(OR($C906="",COUNT($F906:$J906)&lt;3),"",IF(N(INDEX(Lists!$C$2:$C$40,MATCH($C906,Lists!$A$2:$A$40,0)))=0,"",IF(MIN($F906:$J906)&gt;=INDEX(Lists!$C$2:$C$40,MATCH($C906,Lists!$A$2:$A$40,0)),"LEVEL UP",""))),"")</f>
        <v/>
      </c>
      <c r="N906" s="20"/>
      <c r="O906" s="19"/>
    </row>
    <row r="907" customFormat="false" ht="15" hidden="false" customHeight="false" outlineLevel="0" collapsed="false">
      <c r="A907" s="17"/>
      <c r="B907" s="18" t="str">
        <f aca="false">IF($A907="","",TEXT($A907,"ddd"))</f>
        <v/>
      </c>
      <c r="C907" s="19"/>
      <c r="D907" s="19"/>
      <c r="E907" s="18" t="str">
        <f aca="false">IF($C907="","",IFERROR(INDEX(Lists!$B$2:$B$40,MATCH($C907,Lists!$A$2:$A$40,0)),""))</f>
        <v/>
      </c>
      <c r="F907" s="20"/>
      <c r="G907" s="20"/>
      <c r="H907" s="20"/>
      <c r="I907" s="20"/>
      <c r="J907" s="20"/>
      <c r="K907" s="18" t="str">
        <f aca="false">IF(COUNT($F907:$J907)=0,"",SUM($F907:$J907))</f>
        <v/>
      </c>
      <c r="L907" s="18" t="str">
        <f aca="false">IF(COUNT($F907:$J907)=0,"",MAX($F907:$J907))</f>
        <v/>
      </c>
      <c r="M907" s="18" t="str">
        <f aca="false">IFERROR(IF(OR($C907="",COUNT($F907:$J907)&lt;3),"",IF(N(INDEX(Lists!$C$2:$C$40,MATCH($C907,Lists!$A$2:$A$40,0)))=0,"",IF(MIN($F907:$J907)&gt;=INDEX(Lists!$C$2:$C$40,MATCH($C907,Lists!$A$2:$A$40,0)),"LEVEL UP",""))),"")</f>
        <v/>
      </c>
      <c r="N907" s="20"/>
      <c r="O907" s="19"/>
    </row>
    <row r="908" customFormat="false" ht="15" hidden="false" customHeight="false" outlineLevel="0" collapsed="false">
      <c r="A908" s="17"/>
      <c r="B908" s="18" t="str">
        <f aca="false">IF($A908="","",TEXT($A908,"ddd"))</f>
        <v/>
      </c>
      <c r="C908" s="19"/>
      <c r="D908" s="19"/>
      <c r="E908" s="18" t="str">
        <f aca="false">IF($C908="","",IFERROR(INDEX(Lists!$B$2:$B$40,MATCH($C908,Lists!$A$2:$A$40,0)),""))</f>
        <v/>
      </c>
      <c r="F908" s="20"/>
      <c r="G908" s="20"/>
      <c r="H908" s="20"/>
      <c r="I908" s="20"/>
      <c r="J908" s="20"/>
      <c r="K908" s="18" t="str">
        <f aca="false">IF(COUNT($F908:$J908)=0,"",SUM($F908:$J908))</f>
        <v/>
      </c>
      <c r="L908" s="18" t="str">
        <f aca="false">IF(COUNT($F908:$J908)=0,"",MAX($F908:$J908))</f>
        <v/>
      </c>
      <c r="M908" s="18" t="str">
        <f aca="false">IFERROR(IF(OR($C908="",COUNT($F908:$J908)&lt;3),"",IF(N(INDEX(Lists!$C$2:$C$40,MATCH($C908,Lists!$A$2:$A$40,0)))=0,"",IF(MIN($F908:$J908)&gt;=INDEX(Lists!$C$2:$C$40,MATCH($C908,Lists!$A$2:$A$40,0)),"LEVEL UP",""))),"")</f>
        <v/>
      </c>
      <c r="N908" s="20"/>
      <c r="O908" s="19"/>
    </row>
    <row r="909" customFormat="false" ht="15" hidden="false" customHeight="false" outlineLevel="0" collapsed="false">
      <c r="A909" s="17"/>
      <c r="B909" s="18" t="str">
        <f aca="false">IF($A909="","",TEXT($A909,"ddd"))</f>
        <v/>
      </c>
      <c r="C909" s="19"/>
      <c r="D909" s="19"/>
      <c r="E909" s="18" t="str">
        <f aca="false">IF($C909="","",IFERROR(INDEX(Lists!$B$2:$B$40,MATCH($C909,Lists!$A$2:$A$40,0)),""))</f>
        <v/>
      </c>
      <c r="F909" s="20"/>
      <c r="G909" s="20"/>
      <c r="H909" s="20"/>
      <c r="I909" s="20"/>
      <c r="J909" s="20"/>
      <c r="K909" s="18" t="str">
        <f aca="false">IF(COUNT($F909:$J909)=0,"",SUM($F909:$J909))</f>
        <v/>
      </c>
      <c r="L909" s="18" t="str">
        <f aca="false">IF(COUNT($F909:$J909)=0,"",MAX($F909:$J909))</f>
        <v/>
      </c>
      <c r="M909" s="18" t="str">
        <f aca="false">IFERROR(IF(OR($C909="",COUNT($F909:$J909)&lt;3),"",IF(N(INDEX(Lists!$C$2:$C$40,MATCH($C909,Lists!$A$2:$A$40,0)))=0,"",IF(MIN($F909:$J909)&gt;=INDEX(Lists!$C$2:$C$40,MATCH($C909,Lists!$A$2:$A$40,0)),"LEVEL UP",""))),"")</f>
        <v/>
      </c>
      <c r="N909" s="20"/>
      <c r="O909" s="19"/>
    </row>
    <row r="910" customFormat="false" ht="15" hidden="false" customHeight="false" outlineLevel="0" collapsed="false">
      <c r="A910" s="17"/>
      <c r="B910" s="18" t="str">
        <f aca="false">IF($A910="","",TEXT($A910,"ddd"))</f>
        <v/>
      </c>
      <c r="C910" s="19"/>
      <c r="D910" s="19"/>
      <c r="E910" s="18" t="str">
        <f aca="false">IF($C910="","",IFERROR(INDEX(Lists!$B$2:$B$40,MATCH($C910,Lists!$A$2:$A$40,0)),""))</f>
        <v/>
      </c>
      <c r="F910" s="20"/>
      <c r="G910" s="20"/>
      <c r="H910" s="20"/>
      <c r="I910" s="20"/>
      <c r="J910" s="20"/>
      <c r="K910" s="18" t="str">
        <f aca="false">IF(COUNT($F910:$J910)=0,"",SUM($F910:$J910))</f>
        <v/>
      </c>
      <c r="L910" s="18" t="str">
        <f aca="false">IF(COUNT($F910:$J910)=0,"",MAX($F910:$J910))</f>
        <v/>
      </c>
      <c r="M910" s="18" t="str">
        <f aca="false">IFERROR(IF(OR($C910="",COUNT($F910:$J910)&lt;3),"",IF(N(INDEX(Lists!$C$2:$C$40,MATCH($C910,Lists!$A$2:$A$40,0)))=0,"",IF(MIN($F910:$J910)&gt;=INDEX(Lists!$C$2:$C$40,MATCH($C910,Lists!$A$2:$A$40,0)),"LEVEL UP",""))),"")</f>
        <v/>
      </c>
      <c r="N910" s="20"/>
      <c r="O910" s="19"/>
    </row>
    <row r="911" customFormat="false" ht="15" hidden="false" customHeight="false" outlineLevel="0" collapsed="false">
      <c r="A911" s="17"/>
      <c r="B911" s="18" t="str">
        <f aca="false">IF($A911="","",TEXT($A911,"ddd"))</f>
        <v/>
      </c>
      <c r="C911" s="19"/>
      <c r="D911" s="19"/>
      <c r="E911" s="18" t="str">
        <f aca="false">IF($C911="","",IFERROR(INDEX(Lists!$B$2:$B$40,MATCH($C911,Lists!$A$2:$A$40,0)),""))</f>
        <v/>
      </c>
      <c r="F911" s="20"/>
      <c r="G911" s="20"/>
      <c r="H911" s="20"/>
      <c r="I911" s="20"/>
      <c r="J911" s="20"/>
      <c r="K911" s="18" t="str">
        <f aca="false">IF(COUNT($F911:$J911)=0,"",SUM($F911:$J911))</f>
        <v/>
      </c>
      <c r="L911" s="18" t="str">
        <f aca="false">IF(COUNT($F911:$J911)=0,"",MAX($F911:$J911))</f>
        <v/>
      </c>
      <c r="M911" s="18" t="str">
        <f aca="false">IFERROR(IF(OR($C911="",COUNT($F911:$J911)&lt;3),"",IF(N(INDEX(Lists!$C$2:$C$40,MATCH($C911,Lists!$A$2:$A$40,0)))=0,"",IF(MIN($F911:$J911)&gt;=INDEX(Lists!$C$2:$C$40,MATCH($C911,Lists!$A$2:$A$40,0)),"LEVEL UP",""))),"")</f>
        <v/>
      </c>
      <c r="N911" s="20"/>
      <c r="O911" s="19"/>
    </row>
    <row r="912" customFormat="false" ht="15" hidden="false" customHeight="false" outlineLevel="0" collapsed="false">
      <c r="A912" s="17"/>
      <c r="B912" s="18" t="str">
        <f aca="false">IF($A912="","",TEXT($A912,"ddd"))</f>
        <v/>
      </c>
      <c r="C912" s="19"/>
      <c r="D912" s="19"/>
      <c r="E912" s="18" t="str">
        <f aca="false">IF($C912="","",IFERROR(INDEX(Lists!$B$2:$B$40,MATCH($C912,Lists!$A$2:$A$40,0)),""))</f>
        <v/>
      </c>
      <c r="F912" s="20"/>
      <c r="G912" s="20"/>
      <c r="H912" s="20"/>
      <c r="I912" s="20"/>
      <c r="J912" s="20"/>
      <c r="K912" s="18" t="str">
        <f aca="false">IF(COUNT($F912:$J912)=0,"",SUM($F912:$J912))</f>
        <v/>
      </c>
      <c r="L912" s="18" t="str">
        <f aca="false">IF(COUNT($F912:$J912)=0,"",MAX($F912:$J912))</f>
        <v/>
      </c>
      <c r="M912" s="18" t="str">
        <f aca="false">IFERROR(IF(OR($C912="",COUNT($F912:$J912)&lt;3),"",IF(N(INDEX(Lists!$C$2:$C$40,MATCH($C912,Lists!$A$2:$A$40,0)))=0,"",IF(MIN($F912:$J912)&gt;=INDEX(Lists!$C$2:$C$40,MATCH($C912,Lists!$A$2:$A$40,0)),"LEVEL UP",""))),"")</f>
        <v/>
      </c>
      <c r="N912" s="20"/>
      <c r="O912" s="19"/>
    </row>
    <row r="913" customFormat="false" ht="15" hidden="false" customHeight="false" outlineLevel="0" collapsed="false">
      <c r="A913" s="17"/>
      <c r="B913" s="18" t="str">
        <f aca="false">IF($A913="","",TEXT($A913,"ddd"))</f>
        <v/>
      </c>
      <c r="C913" s="19"/>
      <c r="D913" s="19"/>
      <c r="E913" s="18" t="str">
        <f aca="false">IF($C913="","",IFERROR(INDEX(Lists!$B$2:$B$40,MATCH($C913,Lists!$A$2:$A$40,0)),""))</f>
        <v/>
      </c>
      <c r="F913" s="20"/>
      <c r="G913" s="20"/>
      <c r="H913" s="20"/>
      <c r="I913" s="20"/>
      <c r="J913" s="20"/>
      <c r="K913" s="18" t="str">
        <f aca="false">IF(COUNT($F913:$J913)=0,"",SUM($F913:$J913))</f>
        <v/>
      </c>
      <c r="L913" s="18" t="str">
        <f aca="false">IF(COUNT($F913:$J913)=0,"",MAX($F913:$J913))</f>
        <v/>
      </c>
      <c r="M913" s="18" t="str">
        <f aca="false">IFERROR(IF(OR($C913="",COUNT($F913:$J913)&lt;3),"",IF(N(INDEX(Lists!$C$2:$C$40,MATCH($C913,Lists!$A$2:$A$40,0)))=0,"",IF(MIN($F913:$J913)&gt;=INDEX(Lists!$C$2:$C$40,MATCH($C913,Lists!$A$2:$A$40,0)),"LEVEL UP",""))),"")</f>
        <v/>
      </c>
      <c r="N913" s="20"/>
      <c r="O913" s="19"/>
    </row>
    <row r="914" customFormat="false" ht="15" hidden="false" customHeight="false" outlineLevel="0" collapsed="false">
      <c r="A914" s="17"/>
      <c r="B914" s="18" t="str">
        <f aca="false">IF($A914="","",TEXT($A914,"ddd"))</f>
        <v/>
      </c>
      <c r="C914" s="19"/>
      <c r="D914" s="19"/>
      <c r="E914" s="18" t="str">
        <f aca="false">IF($C914="","",IFERROR(INDEX(Lists!$B$2:$B$40,MATCH($C914,Lists!$A$2:$A$40,0)),""))</f>
        <v/>
      </c>
      <c r="F914" s="20"/>
      <c r="G914" s="20"/>
      <c r="H914" s="20"/>
      <c r="I914" s="20"/>
      <c r="J914" s="20"/>
      <c r="K914" s="18" t="str">
        <f aca="false">IF(COUNT($F914:$J914)=0,"",SUM($F914:$J914))</f>
        <v/>
      </c>
      <c r="L914" s="18" t="str">
        <f aca="false">IF(COUNT($F914:$J914)=0,"",MAX($F914:$J914))</f>
        <v/>
      </c>
      <c r="M914" s="18" t="str">
        <f aca="false">IFERROR(IF(OR($C914="",COUNT($F914:$J914)&lt;3),"",IF(N(INDEX(Lists!$C$2:$C$40,MATCH($C914,Lists!$A$2:$A$40,0)))=0,"",IF(MIN($F914:$J914)&gt;=INDEX(Lists!$C$2:$C$40,MATCH($C914,Lists!$A$2:$A$40,0)),"LEVEL UP",""))),"")</f>
        <v/>
      </c>
      <c r="N914" s="20"/>
      <c r="O914" s="19"/>
    </row>
    <row r="915" customFormat="false" ht="15" hidden="false" customHeight="false" outlineLevel="0" collapsed="false">
      <c r="A915" s="17"/>
      <c r="B915" s="18" t="str">
        <f aca="false">IF($A915="","",TEXT($A915,"ddd"))</f>
        <v/>
      </c>
      <c r="C915" s="19"/>
      <c r="D915" s="19"/>
      <c r="E915" s="18" t="str">
        <f aca="false">IF($C915="","",IFERROR(INDEX(Lists!$B$2:$B$40,MATCH($C915,Lists!$A$2:$A$40,0)),""))</f>
        <v/>
      </c>
      <c r="F915" s="20"/>
      <c r="G915" s="20"/>
      <c r="H915" s="20"/>
      <c r="I915" s="20"/>
      <c r="J915" s="20"/>
      <c r="K915" s="18" t="str">
        <f aca="false">IF(COUNT($F915:$J915)=0,"",SUM($F915:$J915))</f>
        <v/>
      </c>
      <c r="L915" s="18" t="str">
        <f aca="false">IF(COUNT($F915:$J915)=0,"",MAX($F915:$J915))</f>
        <v/>
      </c>
      <c r="M915" s="18" t="str">
        <f aca="false">IFERROR(IF(OR($C915="",COUNT($F915:$J915)&lt;3),"",IF(N(INDEX(Lists!$C$2:$C$40,MATCH($C915,Lists!$A$2:$A$40,0)))=0,"",IF(MIN($F915:$J915)&gt;=INDEX(Lists!$C$2:$C$40,MATCH($C915,Lists!$A$2:$A$40,0)),"LEVEL UP",""))),"")</f>
        <v/>
      </c>
      <c r="N915" s="20"/>
      <c r="O915" s="19"/>
    </row>
    <row r="916" customFormat="false" ht="15" hidden="false" customHeight="false" outlineLevel="0" collapsed="false">
      <c r="A916" s="17"/>
      <c r="B916" s="18" t="str">
        <f aca="false">IF($A916="","",TEXT($A916,"ddd"))</f>
        <v/>
      </c>
      <c r="C916" s="19"/>
      <c r="D916" s="19"/>
      <c r="E916" s="18" t="str">
        <f aca="false">IF($C916="","",IFERROR(INDEX(Lists!$B$2:$B$40,MATCH($C916,Lists!$A$2:$A$40,0)),""))</f>
        <v/>
      </c>
      <c r="F916" s="20"/>
      <c r="G916" s="20"/>
      <c r="H916" s="20"/>
      <c r="I916" s="20"/>
      <c r="J916" s="20"/>
      <c r="K916" s="18" t="str">
        <f aca="false">IF(COUNT($F916:$J916)=0,"",SUM($F916:$J916))</f>
        <v/>
      </c>
      <c r="L916" s="18" t="str">
        <f aca="false">IF(COUNT($F916:$J916)=0,"",MAX($F916:$J916))</f>
        <v/>
      </c>
      <c r="M916" s="18" t="str">
        <f aca="false">IFERROR(IF(OR($C916="",COUNT($F916:$J916)&lt;3),"",IF(N(INDEX(Lists!$C$2:$C$40,MATCH($C916,Lists!$A$2:$A$40,0)))=0,"",IF(MIN($F916:$J916)&gt;=INDEX(Lists!$C$2:$C$40,MATCH($C916,Lists!$A$2:$A$40,0)),"LEVEL UP",""))),"")</f>
        <v/>
      </c>
      <c r="N916" s="20"/>
      <c r="O916" s="19"/>
    </row>
    <row r="917" customFormat="false" ht="15" hidden="false" customHeight="false" outlineLevel="0" collapsed="false">
      <c r="A917" s="17"/>
      <c r="B917" s="18" t="str">
        <f aca="false">IF($A917="","",TEXT($A917,"ddd"))</f>
        <v/>
      </c>
      <c r="C917" s="19"/>
      <c r="D917" s="19"/>
      <c r="E917" s="18" t="str">
        <f aca="false">IF($C917="","",IFERROR(INDEX(Lists!$B$2:$B$40,MATCH($C917,Lists!$A$2:$A$40,0)),""))</f>
        <v/>
      </c>
      <c r="F917" s="20"/>
      <c r="G917" s="20"/>
      <c r="H917" s="20"/>
      <c r="I917" s="20"/>
      <c r="J917" s="20"/>
      <c r="K917" s="18" t="str">
        <f aca="false">IF(COUNT($F917:$J917)=0,"",SUM($F917:$J917))</f>
        <v/>
      </c>
      <c r="L917" s="18" t="str">
        <f aca="false">IF(COUNT($F917:$J917)=0,"",MAX($F917:$J917))</f>
        <v/>
      </c>
      <c r="M917" s="18" t="str">
        <f aca="false">IFERROR(IF(OR($C917="",COUNT($F917:$J917)&lt;3),"",IF(N(INDEX(Lists!$C$2:$C$40,MATCH($C917,Lists!$A$2:$A$40,0)))=0,"",IF(MIN($F917:$J917)&gt;=INDEX(Lists!$C$2:$C$40,MATCH($C917,Lists!$A$2:$A$40,0)),"LEVEL UP",""))),"")</f>
        <v/>
      </c>
      <c r="N917" s="20"/>
      <c r="O917" s="19"/>
    </row>
    <row r="918" customFormat="false" ht="15" hidden="false" customHeight="false" outlineLevel="0" collapsed="false">
      <c r="A918" s="17"/>
      <c r="B918" s="18" t="str">
        <f aca="false">IF($A918="","",TEXT($A918,"ddd"))</f>
        <v/>
      </c>
      <c r="C918" s="19"/>
      <c r="D918" s="19"/>
      <c r="E918" s="18" t="str">
        <f aca="false">IF($C918="","",IFERROR(INDEX(Lists!$B$2:$B$40,MATCH($C918,Lists!$A$2:$A$40,0)),""))</f>
        <v/>
      </c>
      <c r="F918" s="20"/>
      <c r="G918" s="20"/>
      <c r="H918" s="20"/>
      <c r="I918" s="20"/>
      <c r="J918" s="20"/>
      <c r="K918" s="18" t="str">
        <f aca="false">IF(COUNT($F918:$J918)=0,"",SUM($F918:$J918))</f>
        <v/>
      </c>
      <c r="L918" s="18" t="str">
        <f aca="false">IF(COUNT($F918:$J918)=0,"",MAX($F918:$J918))</f>
        <v/>
      </c>
      <c r="M918" s="18" t="str">
        <f aca="false">IFERROR(IF(OR($C918="",COUNT($F918:$J918)&lt;3),"",IF(N(INDEX(Lists!$C$2:$C$40,MATCH($C918,Lists!$A$2:$A$40,0)))=0,"",IF(MIN($F918:$J918)&gt;=INDEX(Lists!$C$2:$C$40,MATCH($C918,Lists!$A$2:$A$40,0)),"LEVEL UP",""))),"")</f>
        <v/>
      </c>
      <c r="N918" s="20"/>
      <c r="O918" s="19"/>
    </row>
    <row r="919" customFormat="false" ht="15" hidden="false" customHeight="false" outlineLevel="0" collapsed="false">
      <c r="A919" s="17"/>
      <c r="B919" s="18" t="str">
        <f aca="false">IF($A919="","",TEXT($A919,"ddd"))</f>
        <v/>
      </c>
      <c r="C919" s="19"/>
      <c r="D919" s="19"/>
      <c r="E919" s="18" t="str">
        <f aca="false">IF($C919="","",IFERROR(INDEX(Lists!$B$2:$B$40,MATCH($C919,Lists!$A$2:$A$40,0)),""))</f>
        <v/>
      </c>
      <c r="F919" s="20"/>
      <c r="G919" s="20"/>
      <c r="H919" s="20"/>
      <c r="I919" s="20"/>
      <c r="J919" s="20"/>
      <c r="K919" s="18" t="str">
        <f aca="false">IF(COUNT($F919:$J919)=0,"",SUM($F919:$J919))</f>
        <v/>
      </c>
      <c r="L919" s="18" t="str">
        <f aca="false">IF(COUNT($F919:$J919)=0,"",MAX($F919:$J919))</f>
        <v/>
      </c>
      <c r="M919" s="18" t="str">
        <f aca="false">IFERROR(IF(OR($C919="",COUNT($F919:$J919)&lt;3),"",IF(N(INDEX(Lists!$C$2:$C$40,MATCH($C919,Lists!$A$2:$A$40,0)))=0,"",IF(MIN($F919:$J919)&gt;=INDEX(Lists!$C$2:$C$40,MATCH($C919,Lists!$A$2:$A$40,0)),"LEVEL UP",""))),"")</f>
        <v/>
      </c>
      <c r="N919" s="20"/>
      <c r="O919" s="19"/>
    </row>
    <row r="920" customFormat="false" ht="15" hidden="false" customHeight="false" outlineLevel="0" collapsed="false">
      <c r="A920" s="17"/>
      <c r="B920" s="18" t="str">
        <f aca="false">IF($A920="","",TEXT($A920,"ddd"))</f>
        <v/>
      </c>
      <c r="C920" s="19"/>
      <c r="D920" s="19"/>
      <c r="E920" s="18" t="str">
        <f aca="false">IF($C920="","",IFERROR(INDEX(Lists!$B$2:$B$40,MATCH($C920,Lists!$A$2:$A$40,0)),""))</f>
        <v/>
      </c>
      <c r="F920" s="20"/>
      <c r="G920" s="20"/>
      <c r="H920" s="20"/>
      <c r="I920" s="20"/>
      <c r="J920" s="20"/>
      <c r="K920" s="18" t="str">
        <f aca="false">IF(COUNT($F920:$J920)=0,"",SUM($F920:$J920))</f>
        <v/>
      </c>
      <c r="L920" s="18" t="str">
        <f aca="false">IF(COUNT($F920:$J920)=0,"",MAX($F920:$J920))</f>
        <v/>
      </c>
      <c r="M920" s="18" t="str">
        <f aca="false">IFERROR(IF(OR($C920="",COUNT($F920:$J920)&lt;3),"",IF(N(INDEX(Lists!$C$2:$C$40,MATCH($C920,Lists!$A$2:$A$40,0)))=0,"",IF(MIN($F920:$J920)&gt;=INDEX(Lists!$C$2:$C$40,MATCH($C920,Lists!$A$2:$A$40,0)),"LEVEL UP",""))),"")</f>
        <v/>
      </c>
      <c r="N920" s="20"/>
      <c r="O920" s="19"/>
    </row>
    <row r="921" customFormat="false" ht="15" hidden="false" customHeight="false" outlineLevel="0" collapsed="false">
      <c r="A921" s="17"/>
      <c r="B921" s="18" t="str">
        <f aca="false">IF($A921="","",TEXT($A921,"ddd"))</f>
        <v/>
      </c>
      <c r="C921" s="19"/>
      <c r="D921" s="19"/>
      <c r="E921" s="18" t="str">
        <f aca="false">IF($C921="","",IFERROR(INDEX(Lists!$B$2:$B$40,MATCH($C921,Lists!$A$2:$A$40,0)),""))</f>
        <v/>
      </c>
      <c r="F921" s="20"/>
      <c r="G921" s="20"/>
      <c r="H921" s="20"/>
      <c r="I921" s="20"/>
      <c r="J921" s="20"/>
      <c r="K921" s="18" t="str">
        <f aca="false">IF(COUNT($F921:$J921)=0,"",SUM($F921:$J921))</f>
        <v/>
      </c>
      <c r="L921" s="18" t="str">
        <f aca="false">IF(COUNT($F921:$J921)=0,"",MAX($F921:$J921))</f>
        <v/>
      </c>
      <c r="M921" s="18" t="str">
        <f aca="false">IFERROR(IF(OR($C921="",COUNT($F921:$J921)&lt;3),"",IF(N(INDEX(Lists!$C$2:$C$40,MATCH($C921,Lists!$A$2:$A$40,0)))=0,"",IF(MIN($F921:$J921)&gt;=INDEX(Lists!$C$2:$C$40,MATCH($C921,Lists!$A$2:$A$40,0)),"LEVEL UP",""))),"")</f>
        <v/>
      </c>
      <c r="N921" s="20"/>
      <c r="O921" s="19"/>
    </row>
    <row r="922" customFormat="false" ht="15" hidden="false" customHeight="false" outlineLevel="0" collapsed="false">
      <c r="A922" s="17"/>
      <c r="B922" s="18" t="str">
        <f aca="false">IF($A922="","",TEXT($A922,"ddd"))</f>
        <v/>
      </c>
      <c r="C922" s="19"/>
      <c r="D922" s="19"/>
      <c r="E922" s="18" t="str">
        <f aca="false">IF($C922="","",IFERROR(INDEX(Lists!$B$2:$B$40,MATCH($C922,Lists!$A$2:$A$40,0)),""))</f>
        <v/>
      </c>
      <c r="F922" s="20"/>
      <c r="G922" s="20"/>
      <c r="H922" s="20"/>
      <c r="I922" s="20"/>
      <c r="J922" s="20"/>
      <c r="K922" s="18" t="str">
        <f aca="false">IF(COUNT($F922:$J922)=0,"",SUM($F922:$J922))</f>
        <v/>
      </c>
      <c r="L922" s="18" t="str">
        <f aca="false">IF(COUNT($F922:$J922)=0,"",MAX($F922:$J922))</f>
        <v/>
      </c>
      <c r="M922" s="18" t="str">
        <f aca="false">IFERROR(IF(OR($C922="",COUNT($F922:$J922)&lt;3),"",IF(N(INDEX(Lists!$C$2:$C$40,MATCH($C922,Lists!$A$2:$A$40,0)))=0,"",IF(MIN($F922:$J922)&gt;=INDEX(Lists!$C$2:$C$40,MATCH($C922,Lists!$A$2:$A$40,0)),"LEVEL UP",""))),"")</f>
        <v/>
      </c>
      <c r="N922" s="20"/>
      <c r="O922" s="19"/>
    </row>
    <row r="923" customFormat="false" ht="15" hidden="false" customHeight="false" outlineLevel="0" collapsed="false">
      <c r="A923" s="17"/>
      <c r="B923" s="18" t="str">
        <f aca="false">IF($A923="","",TEXT($A923,"ddd"))</f>
        <v/>
      </c>
      <c r="C923" s="19"/>
      <c r="D923" s="19"/>
      <c r="E923" s="18" t="str">
        <f aca="false">IF($C923="","",IFERROR(INDEX(Lists!$B$2:$B$40,MATCH($C923,Lists!$A$2:$A$40,0)),""))</f>
        <v/>
      </c>
      <c r="F923" s="20"/>
      <c r="G923" s="20"/>
      <c r="H923" s="20"/>
      <c r="I923" s="20"/>
      <c r="J923" s="20"/>
      <c r="K923" s="18" t="str">
        <f aca="false">IF(COUNT($F923:$J923)=0,"",SUM($F923:$J923))</f>
        <v/>
      </c>
      <c r="L923" s="18" t="str">
        <f aca="false">IF(COUNT($F923:$J923)=0,"",MAX($F923:$J923))</f>
        <v/>
      </c>
      <c r="M923" s="18" t="str">
        <f aca="false">IFERROR(IF(OR($C923="",COUNT($F923:$J923)&lt;3),"",IF(N(INDEX(Lists!$C$2:$C$40,MATCH($C923,Lists!$A$2:$A$40,0)))=0,"",IF(MIN($F923:$J923)&gt;=INDEX(Lists!$C$2:$C$40,MATCH($C923,Lists!$A$2:$A$40,0)),"LEVEL UP",""))),"")</f>
        <v/>
      </c>
      <c r="N923" s="20"/>
      <c r="O923" s="19"/>
    </row>
    <row r="924" customFormat="false" ht="15" hidden="false" customHeight="false" outlineLevel="0" collapsed="false">
      <c r="A924" s="17"/>
      <c r="B924" s="18" t="str">
        <f aca="false">IF($A924="","",TEXT($A924,"ddd"))</f>
        <v/>
      </c>
      <c r="C924" s="19"/>
      <c r="D924" s="19"/>
      <c r="E924" s="18" t="str">
        <f aca="false">IF($C924="","",IFERROR(INDEX(Lists!$B$2:$B$40,MATCH($C924,Lists!$A$2:$A$40,0)),""))</f>
        <v/>
      </c>
      <c r="F924" s="20"/>
      <c r="G924" s="20"/>
      <c r="H924" s="20"/>
      <c r="I924" s="20"/>
      <c r="J924" s="20"/>
      <c r="K924" s="18" t="str">
        <f aca="false">IF(COUNT($F924:$J924)=0,"",SUM($F924:$J924))</f>
        <v/>
      </c>
      <c r="L924" s="18" t="str">
        <f aca="false">IF(COUNT($F924:$J924)=0,"",MAX($F924:$J924))</f>
        <v/>
      </c>
      <c r="M924" s="18" t="str">
        <f aca="false">IFERROR(IF(OR($C924="",COUNT($F924:$J924)&lt;3),"",IF(N(INDEX(Lists!$C$2:$C$40,MATCH($C924,Lists!$A$2:$A$40,0)))=0,"",IF(MIN($F924:$J924)&gt;=INDEX(Lists!$C$2:$C$40,MATCH($C924,Lists!$A$2:$A$40,0)),"LEVEL UP",""))),"")</f>
        <v/>
      </c>
      <c r="N924" s="20"/>
      <c r="O924" s="19"/>
    </row>
    <row r="925" customFormat="false" ht="15" hidden="false" customHeight="false" outlineLevel="0" collapsed="false">
      <c r="A925" s="17"/>
      <c r="B925" s="18" t="str">
        <f aca="false">IF($A925="","",TEXT($A925,"ddd"))</f>
        <v/>
      </c>
      <c r="C925" s="19"/>
      <c r="D925" s="19"/>
      <c r="E925" s="18" t="str">
        <f aca="false">IF($C925="","",IFERROR(INDEX(Lists!$B$2:$B$40,MATCH($C925,Lists!$A$2:$A$40,0)),""))</f>
        <v/>
      </c>
      <c r="F925" s="20"/>
      <c r="G925" s="20"/>
      <c r="H925" s="20"/>
      <c r="I925" s="20"/>
      <c r="J925" s="20"/>
      <c r="K925" s="18" t="str">
        <f aca="false">IF(COUNT($F925:$J925)=0,"",SUM($F925:$J925))</f>
        <v/>
      </c>
      <c r="L925" s="18" t="str">
        <f aca="false">IF(COUNT($F925:$J925)=0,"",MAX($F925:$J925))</f>
        <v/>
      </c>
      <c r="M925" s="18" t="str">
        <f aca="false">IFERROR(IF(OR($C925="",COUNT($F925:$J925)&lt;3),"",IF(N(INDEX(Lists!$C$2:$C$40,MATCH($C925,Lists!$A$2:$A$40,0)))=0,"",IF(MIN($F925:$J925)&gt;=INDEX(Lists!$C$2:$C$40,MATCH($C925,Lists!$A$2:$A$40,0)),"LEVEL UP",""))),"")</f>
        <v/>
      </c>
      <c r="N925" s="20"/>
      <c r="O925" s="19"/>
    </row>
    <row r="926" customFormat="false" ht="15" hidden="false" customHeight="false" outlineLevel="0" collapsed="false">
      <c r="A926" s="17"/>
      <c r="B926" s="18" t="str">
        <f aca="false">IF($A926="","",TEXT($A926,"ddd"))</f>
        <v/>
      </c>
      <c r="C926" s="19"/>
      <c r="D926" s="19"/>
      <c r="E926" s="18" t="str">
        <f aca="false">IF($C926="","",IFERROR(INDEX(Lists!$B$2:$B$40,MATCH($C926,Lists!$A$2:$A$40,0)),""))</f>
        <v/>
      </c>
      <c r="F926" s="20"/>
      <c r="G926" s="20"/>
      <c r="H926" s="20"/>
      <c r="I926" s="20"/>
      <c r="J926" s="20"/>
      <c r="K926" s="18" t="str">
        <f aca="false">IF(COUNT($F926:$J926)=0,"",SUM($F926:$J926))</f>
        <v/>
      </c>
      <c r="L926" s="18" t="str">
        <f aca="false">IF(COUNT($F926:$J926)=0,"",MAX($F926:$J926))</f>
        <v/>
      </c>
      <c r="M926" s="18" t="str">
        <f aca="false">IFERROR(IF(OR($C926="",COUNT($F926:$J926)&lt;3),"",IF(N(INDEX(Lists!$C$2:$C$40,MATCH($C926,Lists!$A$2:$A$40,0)))=0,"",IF(MIN($F926:$J926)&gt;=INDEX(Lists!$C$2:$C$40,MATCH($C926,Lists!$A$2:$A$40,0)),"LEVEL UP",""))),"")</f>
        <v/>
      </c>
      <c r="N926" s="20"/>
      <c r="O926" s="19"/>
    </row>
    <row r="927" customFormat="false" ht="15" hidden="false" customHeight="false" outlineLevel="0" collapsed="false">
      <c r="A927" s="17"/>
      <c r="B927" s="18" t="str">
        <f aca="false">IF($A927="","",TEXT($A927,"ddd"))</f>
        <v/>
      </c>
      <c r="C927" s="19"/>
      <c r="D927" s="19"/>
      <c r="E927" s="18" t="str">
        <f aca="false">IF($C927="","",IFERROR(INDEX(Lists!$B$2:$B$40,MATCH($C927,Lists!$A$2:$A$40,0)),""))</f>
        <v/>
      </c>
      <c r="F927" s="20"/>
      <c r="G927" s="20"/>
      <c r="H927" s="20"/>
      <c r="I927" s="20"/>
      <c r="J927" s="20"/>
      <c r="K927" s="18" t="str">
        <f aca="false">IF(COUNT($F927:$J927)=0,"",SUM($F927:$J927))</f>
        <v/>
      </c>
      <c r="L927" s="18" t="str">
        <f aca="false">IF(COUNT($F927:$J927)=0,"",MAX($F927:$J927))</f>
        <v/>
      </c>
      <c r="M927" s="18" t="str">
        <f aca="false">IFERROR(IF(OR($C927="",COUNT($F927:$J927)&lt;3),"",IF(N(INDEX(Lists!$C$2:$C$40,MATCH($C927,Lists!$A$2:$A$40,0)))=0,"",IF(MIN($F927:$J927)&gt;=INDEX(Lists!$C$2:$C$40,MATCH($C927,Lists!$A$2:$A$40,0)),"LEVEL UP",""))),"")</f>
        <v/>
      </c>
      <c r="N927" s="20"/>
      <c r="O927" s="19"/>
    </row>
    <row r="928" customFormat="false" ht="15" hidden="false" customHeight="false" outlineLevel="0" collapsed="false">
      <c r="A928" s="17"/>
      <c r="B928" s="18" t="str">
        <f aca="false">IF($A928="","",TEXT($A928,"ddd"))</f>
        <v/>
      </c>
      <c r="C928" s="19"/>
      <c r="D928" s="19"/>
      <c r="E928" s="18" t="str">
        <f aca="false">IF($C928="","",IFERROR(INDEX(Lists!$B$2:$B$40,MATCH($C928,Lists!$A$2:$A$40,0)),""))</f>
        <v/>
      </c>
      <c r="F928" s="20"/>
      <c r="G928" s="20"/>
      <c r="H928" s="20"/>
      <c r="I928" s="20"/>
      <c r="J928" s="20"/>
      <c r="K928" s="18" t="str">
        <f aca="false">IF(COUNT($F928:$J928)=0,"",SUM($F928:$J928))</f>
        <v/>
      </c>
      <c r="L928" s="18" t="str">
        <f aca="false">IF(COUNT($F928:$J928)=0,"",MAX($F928:$J928))</f>
        <v/>
      </c>
      <c r="M928" s="18" t="str">
        <f aca="false">IFERROR(IF(OR($C928="",COUNT($F928:$J928)&lt;3),"",IF(N(INDEX(Lists!$C$2:$C$40,MATCH($C928,Lists!$A$2:$A$40,0)))=0,"",IF(MIN($F928:$J928)&gt;=INDEX(Lists!$C$2:$C$40,MATCH($C928,Lists!$A$2:$A$40,0)),"LEVEL UP",""))),"")</f>
        <v/>
      </c>
      <c r="N928" s="20"/>
      <c r="O928" s="19"/>
    </row>
    <row r="929" customFormat="false" ht="15" hidden="false" customHeight="false" outlineLevel="0" collapsed="false">
      <c r="A929" s="17"/>
      <c r="B929" s="18" t="str">
        <f aca="false">IF($A929="","",TEXT($A929,"ddd"))</f>
        <v/>
      </c>
      <c r="C929" s="19"/>
      <c r="D929" s="19"/>
      <c r="E929" s="18" t="str">
        <f aca="false">IF($C929="","",IFERROR(INDEX(Lists!$B$2:$B$40,MATCH($C929,Lists!$A$2:$A$40,0)),""))</f>
        <v/>
      </c>
      <c r="F929" s="20"/>
      <c r="G929" s="20"/>
      <c r="H929" s="20"/>
      <c r="I929" s="20"/>
      <c r="J929" s="20"/>
      <c r="K929" s="18" t="str">
        <f aca="false">IF(COUNT($F929:$J929)=0,"",SUM($F929:$J929))</f>
        <v/>
      </c>
      <c r="L929" s="18" t="str">
        <f aca="false">IF(COUNT($F929:$J929)=0,"",MAX($F929:$J929))</f>
        <v/>
      </c>
      <c r="M929" s="18" t="str">
        <f aca="false">IFERROR(IF(OR($C929="",COUNT($F929:$J929)&lt;3),"",IF(N(INDEX(Lists!$C$2:$C$40,MATCH($C929,Lists!$A$2:$A$40,0)))=0,"",IF(MIN($F929:$J929)&gt;=INDEX(Lists!$C$2:$C$40,MATCH($C929,Lists!$A$2:$A$40,0)),"LEVEL UP",""))),"")</f>
        <v/>
      </c>
      <c r="N929" s="20"/>
      <c r="O929" s="19"/>
    </row>
    <row r="930" customFormat="false" ht="15" hidden="false" customHeight="false" outlineLevel="0" collapsed="false">
      <c r="A930" s="17"/>
      <c r="B930" s="18" t="str">
        <f aca="false">IF($A930="","",TEXT($A930,"ddd"))</f>
        <v/>
      </c>
      <c r="C930" s="19"/>
      <c r="D930" s="19"/>
      <c r="E930" s="18" t="str">
        <f aca="false">IF($C930="","",IFERROR(INDEX(Lists!$B$2:$B$40,MATCH($C930,Lists!$A$2:$A$40,0)),""))</f>
        <v/>
      </c>
      <c r="F930" s="20"/>
      <c r="G930" s="20"/>
      <c r="H930" s="20"/>
      <c r="I930" s="20"/>
      <c r="J930" s="20"/>
      <c r="K930" s="18" t="str">
        <f aca="false">IF(COUNT($F930:$J930)=0,"",SUM($F930:$J930))</f>
        <v/>
      </c>
      <c r="L930" s="18" t="str">
        <f aca="false">IF(COUNT($F930:$J930)=0,"",MAX($F930:$J930))</f>
        <v/>
      </c>
      <c r="M930" s="18" t="str">
        <f aca="false">IFERROR(IF(OR($C930="",COUNT($F930:$J930)&lt;3),"",IF(N(INDEX(Lists!$C$2:$C$40,MATCH($C930,Lists!$A$2:$A$40,0)))=0,"",IF(MIN($F930:$J930)&gt;=INDEX(Lists!$C$2:$C$40,MATCH($C930,Lists!$A$2:$A$40,0)),"LEVEL UP",""))),"")</f>
        <v/>
      </c>
      <c r="N930" s="20"/>
      <c r="O930" s="19"/>
    </row>
    <row r="931" customFormat="false" ht="15" hidden="false" customHeight="false" outlineLevel="0" collapsed="false">
      <c r="A931" s="17"/>
      <c r="B931" s="18" t="str">
        <f aca="false">IF($A931="","",TEXT($A931,"ddd"))</f>
        <v/>
      </c>
      <c r="C931" s="19"/>
      <c r="D931" s="19"/>
      <c r="E931" s="18" t="str">
        <f aca="false">IF($C931="","",IFERROR(INDEX(Lists!$B$2:$B$40,MATCH($C931,Lists!$A$2:$A$40,0)),""))</f>
        <v/>
      </c>
      <c r="F931" s="20"/>
      <c r="G931" s="20"/>
      <c r="H931" s="20"/>
      <c r="I931" s="20"/>
      <c r="J931" s="20"/>
      <c r="K931" s="18" t="str">
        <f aca="false">IF(COUNT($F931:$J931)=0,"",SUM($F931:$J931))</f>
        <v/>
      </c>
      <c r="L931" s="18" t="str">
        <f aca="false">IF(COUNT($F931:$J931)=0,"",MAX($F931:$J931))</f>
        <v/>
      </c>
      <c r="M931" s="18" t="str">
        <f aca="false">IFERROR(IF(OR($C931="",COUNT($F931:$J931)&lt;3),"",IF(N(INDEX(Lists!$C$2:$C$40,MATCH($C931,Lists!$A$2:$A$40,0)))=0,"",IF(MIN($F931:$J931)&gt;=INDEX(Lists!$C$2:$C$40,MATCH($C931,Lists!$A$2:$A$40,0)),"LEVEL UP",""))),"")</f>
        <v/>
      </c>
      <c r="N931" s="20"/>
      <c r="O931" s="19"/>
    </row>
    <row r="932" customFormat="false" ht="15" hidden="false" customHeight="false" outlineLevel="0" collapsed="false">
      <c r="A932" s="17"/>
      <c r="B932" s="18" t="str">
        <f aca="false">IF($A932="","",TEXT($A932,"ddd"))</f>
        <v/>
      </c>
      <c r="C932" s="19"/>
      <c r="D932" s="19"/>
      <c r="E932" s="18" t="str">
        <f aca="false">IF($C932="","",IFERROR(INDEX(Lists!$B$2:$B$40,MATCH($C932,Lists!$A$2:$A$40,0)),""))</f>
        <v/>
      </c>
      <c r="F932" s="20"/>
      <c r="G932" s="20"/>
      <c r="H932" s="20"/>
      <c r="I932" s="20"/>
      <c r="J932" s="20"/>
      <c r="K932" s="18" t="str">
        <f aca="false">IF(COUNT($F932:$J932)=0,"",SUM($F932:$J932))</f>
        <v/>
      </c>
      <c r="L932" s="18" t="str">
        <f aca="false">IF(COUNT($F932:$J932)=0,"",MAX($F932:$J932))</f>
        <v/>
      </c>
      <c r="M932" s="18" t="str">
        <f aca="false">IFERROR(IF(OR($C932="",COUNT($F932:$J932)&lt;3),"",IF(N(INDEX(Lists!$C$2:$C$40,MATCH($C932,Lists!$A$2:$A$40,0)))=0,"",IF(MIN($F932:$J932)&gt;=INDEX(Lists!$C$2:$C$40,MATCH($C932,Lists!$A$2:$A$40,0)),"LEVEL UP",""))),"")</f>
        <v/>
      </c>
      <c r="N932" s="20"/>
      <c r="O932" s="19"/>
    </row>
    <row r="933" customFormat="false" ht="15" hidden="false" customHeight="false" outlineLevel="0" collapsed="false">
      <c r="A933" s="17"/>
      <c r="B933" s="18" t="str">
        <f aca="false">IF($A933="","",TEXT($A933,"ddd"))</f>
        <v/>
      </c>
      <c r="C933" s="19"/>
      <c r="D933" s="19"/>
      <c r="E933" s="18" t="str">
        <f aca="false">IF($C933="","",IFERROR(INDEX(Lists!$B$2:$B$40,MATCH($C933,Lists!$A$2:$A$40,0)),""))</f>
        <v/>
      </c>
      <c r="F933" s="20"/>
      <c r="G933" s="20"/>
      <c r="H933" s="20"/>
      <c r="I933" s="20"/>
      <c r="J933" s="20"/>
      <c r="K933" s="18" t="str">
        <f aca="false">IF(COUNT($F933:$J933)=0,"",SUM($F933:$J933))</f>
        <v/>
      </c>
      <c r="L933" s="18" t="str">
        <f aca="false">IF(COUNT($F933:$J933)=0,"",MAX($F933:$J933))</f>
        <v/>
      </c>
      <c r="M933" s="18" t="str">
        <f aca="false">IFERROR(IF(OR($C933="",COUNT($F933:$J933)&lt;3),"",IF(N(INDEX(Lists!$C$2:$C$40,MATCH($C933,Lists!$A$2:$A$40,0)))=0,"",IF(MIN($F933:$J933)&gt;=INDEX(Lists!$C$2:$C$40,MATCH($C933,Lists!$A$2:$A$40,0)),"LEVEL UP",""))),"")</f>
        <v/>
      </c>
      <c r="N933" s="20"/>
      <c r="O933" s="19"/>
    </row>
    <row r="934" customFormat="false" ht="15" hidden="false" customHeight="false" outlineLevel="0" collapsed="false">
      <c r="A934" s="17"/>
      <c r="B934" s="18" t="str">
        <f aca="false">IF($A934="","",TEXT($A934,"ddd"))</f>
        <v/>
      </c>
      <c r="C934" s="19"/>
      <c r="D934" s="19"/>
      <c r="E934" s="18" t="str">
        <f aca="false">IF($C934="","",IFERROR(INDEX(Lists!$B$2:$B$40,MATCH($C934,Lists!$A$2:$A$40,0)),""))</f>
        <v/>
      </c>
      <c r="F934" s="20"/>
      <c r="G934" s="20"/>
      <c r="H934" s="20"/>
      <c r="I934" s="20"/>
      <c r="J934" s="20"/>
      <c r="K934" s="18" t="str">
        <f aca="false">IF(COUNT($F934:$J934)=0,"",SUM($F934:$J934))</f>
        <v/>
      </c>
      <c r="L934" s="18" t="str">
        <f aca="false">IF(COUNT($F934:$J934)=0,"",MAX($F934:$J934))</f>
        <v/>
      </c>
      <c r="M934" s="18" t="str">
        <f aca="false">IFERROR(IF(OR($C934="",COUNT($F934:$J934)&lt;3),"",IF(N(INDEX(Lists!$C$2:$C$40,MATCH($C934,Lists!$A$2:$A$40,0)))=0,"",IF(MIN($F934:$J934)&gt;=INDEX(Lists!$C$2:$C$40,MATCH($C934,Lists!$A$2:$A$40,0)),"LEVEL UP",""))),"")</f>
        <v/>
      </c>
      <c r="N934" s="20"/>
      <c r="O934" s="19"/>
    </row>
    <row r="935" customFormat="false" ht="15" hidden="false" customHeight="false" outlineLevel="0" collapsed="false">
      <c r="A935" s="17"/>
      <c r="B935" s="18" t="str">
        <f aca="false">IF($A935="","",TEXT($A935,"ddd"))</f>
        <v/>
      </c>
      <c r="C935" s="19"/>
      <c r="D935" s="19"/>
      <c r="E935" s="18" t="str">
        <f aca="false">IF($C935="","",IFERROR(INDEX(Lists!$B$2:$B$40,MATCH($C935,Lists!$A$2:$A$40,0)),""))</f>
        <v/>
      </c>
      <c r="F935" s="20"/>
      <c r="G935" s="20"/>
      <c r="H935" s="20"/>
      <c r="I935" s="20"/>
      <c r="J935" s="20"/>
      <c r="K935" s="18" t="str">
        <f aca="false">IF(COUNT($F935:$J935)=0,"",SUM($F935:$J935))</f>
        <v/>
      </c>
      <c r="L935" s="18" t="str">
        <f aca="false">IF(COUNT($F935:$J935)=0,"",MAX($F935:$J935))</f>
        <v/>
      </c>
      <c r="M935" s="18" t="str">
        <f aca="false">IFERROR(IF(OR($C935="",COUNT($F935:$J935)&lt;3),"",IF(N(INDEX(Lists!$C$2:$C$40,MATCH($C935,Lists!$A$2:$A$40,0)))=0,"",IF(MIN($F935:$J935)&gt;=INDEX(Lists!$C$2:$C$40,MATCH($C935,Lists!$A$2:$A$40,0)),"LEVEL UP",""))),"")</f>
        <v/>
      </c>
      <c r="N935" s="20"/>
      <c r="O935" s="19"/>
    </row>
    <row r="936" customFormat="false" ht="15" hidden="false" customHeight="false" outlineLevel="0" collapsed="false">
      <c r="A936" s="17"/>
      <c r="B936" s="18" t="str">
        <f aca="false">IF($A936="","",TEXT($A936,"ddd"))</f>
        <v/>
      </c>
      <c r="C936" s="19"/>
      <c r="D936" s="19"/>
      <c r="E936" s="18" t="str">
        <f aca="false">IF($C936="","",IFERROR(INDEX(Lists!$B$2:$B$40,MATCH($C936,Lists!$A$2:$A$40,0)),""))</f>
        <v/>
      </c>
      <c r="F936" s="20"/>
      <c r="G936" s="20"/>
      <c r="H936" s="20"/>
      <c r="I936" s="20"/>
      <c r="J936" s="20"/>
      <c r="K936" s="18" t="str">
        <f aca="false">IF(COUNT($F936:$J936)=0,"",SUM($F936:$J936))</f>
        <v/>
      </c>
      <c r="L936" s="18" t="str">
        <f aca="false">IF(COUNT($F936:$J936)=0,"",MAX($F936:$J936))</f>
        <v/>
      </c>
      <c r="M936" s="18" t="str">
        <f aca="false">IFERROR(IF(OR($C936="",COUNT($F936:$J936)&lt;3),"",IF(N(INDEX(Lists!$C$2:$C$40,MATCH($C936,Lists!$A$2:$A$40,0)))=0,"",IF(MIN($F936:$J936)&gt;=INDEX(Lists!$C$2:$C$40,MATCH($C936,Lists!$A$2:$A$40,0)),"LEVEL UP",""))),"")</f>
        <v/>
      </c>
      <c r="N936" s="20"/>
      <c r="O936" s="19"/>
    </row>
    <row r="937" customFormat="false" ht="15" hidden="false" customHeight="false" outlineLevel="0" collapsed="false">
      <c r="A937" s="17"/>
      <c r="B937" s="18" t="str">
        <f aca="false">IF($A937="","",TEXT($A937,"ddd"))</f>
        <v/>
      </c>
      <c r="C937" s="19"/>
      <c r="D937" s="19"/>
      <c r="E937" s="18" t="str">
        <f aca="false">IF($C937="","",IFERROR(INDEX(Lists!$B$2:$B$40,MATCH($C937,Lists!$A$2:$A$40,0)),""))</f>
        <v/>
      </c>
      <c r="F937" s="20"/>
      <c r="G937" s="20"/>
      <c r="H937" s="20"/>
      <c r="I937" s="20"/>
      <c r="J937" s="20"/>
      <c r="K937" s="18" t="str">
        <f aca="false">IF(COUNT($F937:$J937)=0,"",SUM($F937:$J937))</f>
        <v/>
      </c>
      <c r="L937" s="18" t="str">
        <f aca="false">IF(COUNT($F937:$J937)=0,"",MAX($F937:$J937))</f>
        <v/>
      </c>
      <c r="M937" s="18" t="str">
        <f aca="false">IFERROR(IF(OR($C937="",COUNT($F937:$J937)&lt;3),"",IF(N(INDEX(Lists!$C$2:$C$40,MATCH($C937,Lists!$A$2:$A$40,0)))=0,"",IF(MIN($F937:$J937)&gt;=INDEX(Lists!$C$2:$C$40,MATCH($C937,Lists!$A$2:$A$40,0)),"LEVEL UP",""))),"")</f>
        <v/>
      </c>
      <c r="N937" s="20"/>
      <c r="O937" s="19"/>
    </row>
    <row r="938" customFormat="false" ht="15" hidden="false" customHeight="false" outlineLevel="0" collapsed="false">
      <c r="A938" s="17"/>
      <c r="B938" s="18" t="str">
        <f aca="false">IF($A938="","",TEXT($A938,"ddd"))</f>
        <v/>
      </c>
      <c r="C938" s="19"/>
      <c r="D938" s="19"/>
      <c r="E938" s="18" t="str">
        <f aca="false">IF($C938="","",IFERROR(INDEX(Lists!$B$2:$B$40,MATCH($C938,Lists!$A$2:$A$40,0)),""))</f>
        <v/>
      </c>
      <c r="F938" s="20"/>
      <c r="G938" s="20"/>
      <c r="H938" s="20"/>
      <c r="I938" s="20"/>
      <c r="J938" s="20"/>
      <c r="K938" s="18" t="str">
        <f aca="false">IF(COUNT($F938:$J938)=0,"",SUM($F938:$J938))</f>
        <v/>
      </c>
      <c r="L938" s="18" t="str">
        <f aca="false">IF(COUNT($F938:$J938)=0,"",MAX($F938:$J938))</f>
        <v/>
      </c>
      <c r="M938" s="18" t="str">
        <f aca="false">IFERROR(IF(OR($C938="",COUNT($F938:$J938)&lt;3),"",IF(N(INDEX(Lists!$C$2:$C$40,MATCH($C938,Lists!$A$2:$A$40,0)))=0,"",IF(MIN($F938:$J938)&gt;=INDEX(Lists!$C$2:$C$40,MATCH($C938,Lists!$A$2:$A$40,0)),"LEVEL UP",""))),"")</f>
        <v/>
      </c>
      <c r="N938" s="20"/>
      <c r="O938" s="19"/>
    </row>
    <row r="939" customFormat="false" ht="15" hidden="false" customHeight="false" outlineLevel="0" collapsed="false">
      <c r="A939" s="17"/>
      <c r="B939" s="18" t="str">
        <f aca="false">IF($A939="","",TEXT($A939,"ddd"))</f>
        <v/>
      </c>
      <c r="C939" s="19"/>
      <c r="D939" s="19"/>
      <c r="E939" s="18" t="str">
        <f aca="false">IF($C939="","",IFERROR(INDEX(Lists!$B$2:$B$40,MATCH($C939,Lists!$A$2:$A$40,0)),""))</f>
        <v/>
      </c>
      <c r="F939" s="20"/>
      <c r="G939" s="20"/>
      <c r="H939" s="20"/>
      <c r="I939" s="20"/>
      <c r="J939" s="20"/>
      <c r="K939" s="18" t="str">
        <f aca="false">IF(COUNT($F939:$J939)=0,"",SUM($F939:$J939))</f>
        <v/>
      </c>
      <c r="L939" s="18" t="str">
        <f aca="false">IF(COUNT($F939:$J939)=0,"",MAX($F939:$J939))</f>
        <v/>
      </c>
      <c r="M939" s="18" t="str">
        <f aca="false">IFERROR(IF(OR($C939="",COUNT($F939:$J939)&lt;3),"",IF(N(INDEX(Lists!$C$2:$C$40,MATCH($C939,Lists!$A$2:$A$40,0)))=0,"",IF(MIN($F939:$J939)&gt;=INDEX(Lists!$C$2:$C$40,MATCH($C939,Lists!$A$2:$A$40,0)),"LEVEL UP",""))),"")</f>
        <v/>
      </c>
      <c r="N939" s="20"/>
      <c r="O939" s="19"/>
    </row>
    <row r="940" customFormat="false" ht="15" hidden="false" customHeight="false" outlineLevel="0" collapsed="false">
      <c r="A940" s="17"/>
      <c r="B940" s="18" t="str">
        <f aca="false">IF($A940="","",TEXT($A940,"ddd"))</f>
        <v/>
      </c>
      <c r="C940" s="19"/>
      <c r="D940" s="19"/>
      <c r="E940" s="18" t="str">
        <f aca="false">IF($C940="","",IFERROR(INDEX(Lists!$B$2:$B$40,MATCH($C940,Lists!$A$2:$A$40,0)),""))</f>
        <v/>
      </c>
      <c r="F940" s="20"/>
      <c r="G940" s="20"/>
      <c r="H940" s="20"/>
      <c r="I940" s="20"/>
      <c r="J940" s="20"/>
      <c r="K940" s="18" t="str">
        <f aca="false">IF(COUNT($F940:$J940)=0,"",SUM($F940:$J940))</f>
        <v/>
      </c>
      <c r="L940" s="18" t="str">
        <f aca="false">IF(COUNT($F940:$J940)=0,"",MAX($F940:$J940))</f>
        <v/>
      </c>
      <c r="M940" s="18" t="str">
        <f aca="false">IFERROR(IF(OR($C940="",COUNT($F940:$J940)&lt;3),"",IF(N(INDEX(Lists!$C$2:$C$40,MATCH($C940,Lists!$A$2:$A$40,0)))=0,"",IF(MIN($F940:$J940)&gt;=INDEX(Lists!$C$2:$C$40,MATCH($C940,Lists!$A$2:$A$40,0)),"LEVEL UP",""))),"")</f>
        <v/>
      </c>
      <c r="N940" s="20"/>
      <c r="O940" s="19"/>
    </row>
    <row r="941" customFormat="false" ht="15" hidden="false" customHeight="false" outlineLevel="0" collapsed="false">
      <c r="A941" s="17"/>
      <c r="B941" s="18" t="str">
        <f aca="false">IF($A941="","",TEXT($A941,"ddd"))</f>
        <v/>
      </c>
      <c r="C941" s="19"/>
      <c r="D941" s="19"/>
      <c r="E941" s="18" t="str">
        <f aca="false">IF($C941="","",IFERROR(INDEX(Lists!$B$2:$B$40,MATCH($C941,Lists!$A$2:$A$40,0)),""))</f>
        <v/>
      </c>
      <c r="F941" s="20"/>
      <c r="G941" s="20"/>
      <c r="H941" s="20"/>
      <c r="I941" s="20"/>
      <c r="J941" s="20"/>
      <c r="K941" s="18" t="str">
        <f aca="false">IF(COUNT($F941:$J941)=0,"",SUM($F941:$J941))</f>
        <v/>
      </c>
      <c r="L941" s="18" t="str">
        <f aca="false">IF(COUNT($F941:$J941)=0,"",MAX($F941:$J941))</f>
        <v/>
      </c>
      <c r="M941" s="18" t="str">
        <f aca="false">IFERROR(IF(OR($C941="",COUNT($F941:$J941)&lt;3),"",IF(N(INDEX(Lists!$C$2:$C$40,MATCH($C941,Lists!$A$2:$A$40,0)))=0,"",IF(MIN($F941:$J941)&gt;=INDEX(Lists!$C$2:$C$40,MATCH($C941,Lists!$A$2:$A$40,0)),"LEVEL UP",""))),"")</f>
        <v/>
      </c>
      <c r="N941" s="20"/>
      <c r="O941" s="19"/>
    </row>
    <row r="942" customFormat="false" ht="15" hidden="false" customHeight="false" outlineLevel="0" collapsed="false">
      <c r="A942" s="17"/>
      <c r="B942" s="18" t="str">
        <f aca="false">IF($A942="","",TEXT($A942,"ddd"))</f>
        <v/>
      </c>
      <c r="C942" s="19"/>
      <c r="D942" s="19"/>
      <c r="E942" s="18" t="str">
        <f aca="false">IF($C942="","",IFERROR(INDEX(Lists!$B$2:$B$40,MATCH($C942,Lists!$A$2:$A$40,0)),""))</f>
        <v/>
      </c>
      <c r="F942" s="20"/>
      <c r="G942" s="20"/>
      <c r="H942" s="20"/>
      <c r="I942" s="20"/>
      <c r="J942" s="20"/>
      <c r="K942" s="18" t="str">
        <f aca="false">IF(COUNT($F942:$J942)=0,"",SUM($F942:$J942))</f>
        <v/>
      </c>
      <c r="L942" s="18" t="str">
        <f aca="false">IF(COUNT($F942:$J942)=0,"",MAX($F942:$J942))</f>
        <v/>
      </c>
      <c r="M942" s="18" t="str">
        <f aca="false">IFERROR(IF(OR($C942="",COUNT($F942:$J942)&lt;3),"",IF(N(INDEX(Lists!$C$2:$C$40,MATCH($C942,Lists!$A$2:$A$40,0)))=0,"",IF(MIN($F942:$J942)&gt;=INDEX(Lists!$C$2:$C$40,MATCH($C942,Lists!$A$2:$A$40,0)),"LEVEL UP",""))),"")</f>
        <v/>
      </c>
      <c r="N942" s="20"/>
      <c r="O942" s="19"/>
    </row>
    <row r="943" customFormat="false" ht="15" hidden="false" customHeight="false" outlineLevel="0" collapsed="false">
      <c r="A943" s="17"/>
      <c r="B943" s="18" t="str">
        <f aca="false">IF($A943="","",TEXT($A943,"ddd"))</f>
        <v/>
      </c>
      <c r="C943" s="19"/>
      <c r="D943" s="19"/>
      <c r="E943" s="18" t="str">
        <f aca="false">IF($C943="","",IFERROR(INDEX(Lists!$B$2:$B$40,MATCH($C943,Lists!$A$2:$A$40,0)),""))</f>
        <v/>
      </c>
      <c r="F943" s="20"/>
      <c r="G943" s="20"/>
      <c r="H943" s="20"/>
      <c r="I943" s="20"/>
      <c r="J943" s="20"/>
      <c r="K943" s="18" t="str">
        <f aca="false">IF(COUNT($F943:$J943)=0,"",SUM($F943:$J943))</f>
        <v/>
      </c>
      <c r="L943" s="18" t="str">
        <f aca="false">IF(COUNT($F943:$J943)=0,"",MAX($F943:$J943))</f>
        <v/>
      </c>
      <c r="M943" s="18" t="str">
        <f aca="false">IFERROR(IF(OR($C943="",COUNT($F943:$J943)&lt;3),"",IF(N(INDEX(Lists!$C$2:$C$40,MATCH($C943,Lists!$A$2:$A$40,0)))=0,"",IF(MIN($F943:$J943)&gt;=INDEX(Lists!$C$2:$C$40,MATCH($C943,Lists!$A$2:$A$40,0)),"LEVEL UP",""))),"")</f>
        <v/>
      </c>
      <c r="N943" s="20"/>
      <c r="O943" s="19"/>
    </row>
    <row r="944" customFormat="false" ht="15" hidden="false" customHeight="false" outlineLevel="0" collapsed="false">
      <c r="A944" s="17"/>
      <c r="B944" s="18" t="str">
        <f aca="false">IF($A944="","",TEXT($A944,"ddd"))</f>
        <v/>
      </c>
      <c r="C944" s="19"/>
      <c r="D944" s="19"/>
      <c r="E944" s="18" t="str">
        <f aca="false">IF($C944="","",IFERROR(INDEX(Lists!$B$2:$B$40,MATCH($C944,Lists!$A$2:$A$40,0)),""))</f>
        <v/>
      </c>
      <c r="F944" s="20"/>
      <c r="G944" s="20"/>
      <c r="H944" s="20"/>
      <c r="I944" s="20"/>
      <c r="J944" s="20"/>
      <c r="K944" s="18" t="str">
        <f aca="false">IF(COUNT($F944:$J944)=0,"",SUM($F944:$J944))</f>
        <v/>
      </c>
      <c r="L944" s="18" t="str">
        <f aca="false">IF(COUNT($F944:$J944)=0,"",MAX($F944:$J944))</f>
        <v/>
      </c>
      <c r="M944" s="18" t="str">
        <f aca="false">IFERROR(IF(OR($C944="",COUNT($F944:$J944)&lt;3),"",IF(N(INDEX(Lists!$C$2:$C$40,MATCH($C944,Lists!$A$2:$A$40,0)))=0,"",IF(MIN($F944:$J944)&gt;=INDEX(Lists!$C$2:$C$40,MATCH($C944,Lists!$A$2:$A$40,0)),"LEVEL UP",""))),"")</f>
        <v/>
      </c>
      <c r="N944" s="20"/>
      <c r="O944" s="19"/>
    </row>
    <row r="945" customFormat="false" ht="15" hidden="false" customHeight="false" outlineLevel="0" collapsed="false">
      <c r="A945" s="17"/>
      <c r="B945" s="18" t="str">
        <f aca="false">IF($A945="","",TEXT($A945,"ddd"))</f>
        <v/>
      </c>
      <c r="C945" s="19"/>
      <c r="D945" s="19"/>
      <c r="E945" s="18" t="str">
        <f aca="false">IF($C945="","",IFERROR(INDEX(Lists!$B$2:$B$40,MATCH($C945,Lists!$A$2:$A$40,0)),""))</f>
        <v/>
      </c>
      <c r="F945" s="20"/>
      <c r="G945" s="20"/>
      <c r="H945" s="20"/>
      <c r="I945" s="20"/>
      <c r="J945" s="20"/>
      <c r="K945" s="18" t="str">
        <f aca="false">IF(COUNT($F945:$J945)=0,"",SUM($F945:$J945))</f>
        <v/>
      </c>
      <c r="L945" s="18" t="str">
        <f aca="false">IF(COUNT($F945:$J945)=0,"",MAX($F945:$J945))</f>
        <v/>
      </c>
      <c r="M945" s="18" t="str">
        <f aca="false">IFERROR(IF(OR($C945="",COUNT($F945:$J945)&lt;3),"",IF(N(INDEX(Lists!$C$2:$C$40,MATCH($C945,Lists!$A$2:$A$40,0)))=0,"",IF(MIN($F945:$J945)&gt;=INDEX(Lists!$C$2:$C$40,MATCH($C945,Lists!$A$2:$A$40,0)),"LEVEL UP",""))),"")</f>
        <v/>
      </c>
      <c r="N945" s="20"/>
      <c r="O945" s="19"/>
    </row>
    <row r="946" customFormat="false" ht="15" hidden="false" customHeight="false" outlineLevel="0" collapsed="false">
      <c r="A946" s="17"/>
      <c r="B946" s="18" t="str">
        <f aca="false">IF($A946="","",TEXT($A946,"ddd"))</f>
        <v/>
      </c>
      <c r="C946" s="19"/>
      <c r="D946" s="19"/>
      <c r="E946" s="18" t="str">
        <f aca="false">IF($C946="","",IFERROR(INDEX(Lists!$B$2:$B$40,MATCH($C946,Lists!$A$2:$A$40,0)),""))</f>
        <v/>
      </c>
      <c r="F946" s="20"/>
      <c r="G946" s="20"/>
      <c r="H946" s="20"/>
      <c r="I946" s="20"/>
      <c r="J946" s="20"/>
      <c r="K946" s="18" t="str">
        <f aca="false">IF(COUNT($F946:$J946)=0,"",SUM($F946:$J946))</f>
        <v/>
      </c>
      <c r="L946" s="18" t="str">
        <f aca="false">IF(COUNT($F946:$J946)=0,"",MAX($F946:$J946))</f>
        <v/>
      </c>
      <c r="M946" s="18" t="str">
        <f aca="false">IFERROR(IF(OR($C946="",COUNT($F946:$J946)&lt;3),"",IF(N(INDEX(Lists!$C$2:$C$40,MATCH($C946,Lists!$A$2:$A$40,0)))=0,"",IF(MIN($F946:$J946)&gt;=INDEX(Lists!$C$2:$C$40,MATCH($C946,Lists!$A$2:$A$40,0)),"LEVEL UP",""))),"")</f>
        <v/>
      </c>
      <c r="N946" s="20"/>
      <c r="O946" s="19"/>
    </row>
    <row r="947" customFormat="false" ht="15" hidden="false" customHeight="false" outlineLevel="0" collapsed="false">
      <c r="A947" s="17"/>
      <c r="B947" s="18" t="str">
        <f aca="false">IF($A947="","",TEXT($A947,"ddd"))</f>
        <v/>
      </c>
      <c r="C947" s="19"/>
      <c r="D947" s="19"/>
      <c r="E947" s="18" t="str">
        <f aca="false">IF($C947="","",IFERROR(INDEX(Lists!$B$2:$B$40,MATCH($C947,Lists!$A$2:$A$40,0)),""))</f>
        <v/>
      </c>
      <c r="F947" s="20"/>
      <c r="G947" s="20"/>
      <c r="H947" s="20"/>
      <c r="I947" s="20"/>
      <c r="J947" s="20"/>
      <c r="K947" s="18" t="str">
        <f aca="false">IF(COUNT($F947:$J947)=0,"",SUM($F947:$J947))</f>
        <v/>
      </c>
      <c r="L947" s="18" t="str">
        <f aca="false">IF(COUNT($F947:$J947)=0,"",MAX($F947:$J947))</f>
        <v/>
      </c>
      <c r="M947" s="18" t="str">
        <f aca="false">IFERROR(IF(OR($C947="",COUNT($F947:$J947)&lt;3),"",IF(N(INDEX(Lists!$C$2:$C$40,MATCH($C947,Lists!$A$2:$A$40,0)))=0,"",IF(MIN($F947:$J947)&gt;=INDEX(Lists!$C$2:$C$40,MATCH($C947,Lists!$A$2:$A$40,0)),"LEVEL UP",""))),"")</f>
        <v/>
      </c>
      <c r="N947" s="20"/>
      <c r="O947" s="19"/>
    </row>
    <row r="948" customFormat="false" ht="15" hidden="false" customHeight="false" outlineLevel="0" collapsed="false">
      <c r="A948" s="17"/>
      <c r="B948" s="18" t="str">
        <f aca="false">IF($A948="","",TEXT($A948,"ddd"))</f>
        <v/>
      </c>
      <c r="C948" s="19"/>
      <c r="D948" s="19"/>
      <c r="E948" s="18" t="str">
        <f aca="false">IF($C948="","",IFERROR(INDEX(Lists!$B$2:$B$40,MATCH($C948,Lists!$A$2:$A$40,0)),""))</f>
        <v/>
      </c>
      <c r="F948" s="20"/>
      <c r="G948" s="20"/>
      <c r="H948" s="20"/>
      <c r="I948" s="20"/>
      <c r="J948" s="20"/>
      <c r="K948" s="18" t="str">
        <f aca="false">IF(COUNT($F948:$J948)=0,"",SUM($F948:$J948))</f>
        <v/>
      </c>
      <c r="L948" s="18" t="str">
        <f aca="false">IF(COUNT($F948:$J948)=0,"",MAX($F948:$J948))</f>
        <v/>
      </c>
      <c r="M948" s="18" t="str">
        <f aca="false">IFERROR(IF(OR($C948="",COUNT($F948:$J948)&lt;3),"",IF(N(INDEX(Lists!$C$2:$C$40,MATCH($C948,Lists!$A$2:$A$40,0)))=0,"",IF(MIN($F948:$J948)&gt;=INDEX(Lists!$C$2:$C$40,MATCH($C948,Lists!$A$2:$A$40,0)),"LEVEL UP",""))),"")</f>
        <v/>
      </c>
      <c r="N948" s="20"/>
      <c r="O948" s="19"/>
    </row>
    <row r="949" customFormat="false" ht="15" hidden="false" customHeight="false" outlineLevel="0" collapsed="false">
      <c r="A949" s="17"/>
      <c r="B949" s="18" t="str">
        <f aca="false">IF($A949="","",TEXT($A949,"ddd"))</f>
        <v/>
      </c>
      <c r="C949" s="19"/>
      <c r="D949" s="19"/>
      <c r="E949" s="18" t="str">
        <f aca="false">IF($C949="","",IFERROR(INDEX(Lists!$B$2:$B$40,MATCH($C949,Lists!$A$2:$A$40,0)),""))</f>
        <v/>
      </c>
      <c r="F949" s="20"/>
      <c r="G949" s="20"/>
      <c r="H949" s="20"/>
      <c r="I949" s="20"/>
      <c r="J949" s="20"/>
      <c r="K949" s="18" t="str">
        <f aca="false">IF(COUNT($F949:$J949)=0,"",SUM($F949:$J949))</f>
        <v/>
      </c>
      <c r="L949" s="18" t="str">
        <f aca="false">IF(COUNT($F949:$J949)=0,"",MAX($F949:$J949))</f>
        <v/>
      </c>
      <c r="M949" s="18" t="str">
        <f aca="false">IFERROR(IF(OR($C949="",COUNT($F949:$J949)&lt;3),"",IF(N(INDEX(Lists!$C$2:$C$40,MATCH($C949,Lists!$A$2:$A$40,0)))=0,"",IF(MIN($F949:$J949)&gt;=INDEX(Lists!$C$2:$C$40,MATCH($C949,Lists!$A$2:$A$40,0)),"LEVEL UP",""))),"")</f>
        <v/>
      </c>
      <c r="N949" s="20"/>
      <c r="O949" s="19"/>
    </row>
    <row r="950" customFormat="false" ht="15" hidden="false" customHeight="false" outlineLevel="0" collapsed="false">
      <c r="A950" s="17"/>
      <c r="B950" s="18" t="str">
        <f aca="false">IF($A950="","",TEXT($A950,"ddd"))</f>
        <v/>
      </c>
      <c r="C950" s="19"/>
      <c r="D950" s="19"/>
      <c r="E950" s="18" t="str">
        <f aca="false">IF($C950="","",IFERROR(INDEX(Lists!$B$2:$B$40,MATCH($C950,Lists!$A$2:$A$40,0)),""))</f>
        <v/>
      </c>
      <c r="F950" s="20"/>
      <c r="G950" s="20"/>
      <c r="H950" s="20"/>
      <c r="I950" s="20"/>
      <c r="J950" s="20"/>
      <c r="K950" s="18" t="str">
        <f aca="false">IF(COUNT($F950:$J950)=0,"",SUM($F950:$J950))</f>
        <v/>
      </c>
      <c r="L950" s="18" t="str">
        <f aca="false">IF(COUNT($F950:$J950)=0,"",MAX($F950:$J950))</f>
        <v/>
      </c>
      <c r="M950" s="18" t="str">
        <f aca="false">IFERROR(IF(OR($C950="",COUNT($F950:$J950)&lt;3),"",IF(N(INDEX(Lists!$C$2:$C$40,MATCH($C950,Lists!$A$2:$A$40,0)))=0,"",IF(MIN($F950:$J950)&gt;=INDEX(Lists!$C$2:$C$40,MATCH($C950,Lists!$A$2:$A$40,0)),"LEVEL UP",""))),"")</f>
        <v/>
      </c>
      <c r="N950" s="20"/>
      <c r="O950" s="19"/>
    </row>
    <row r="951" customFormat="false" ht="15" hidden="false" customHeight="false" outlineLevel="0" collapsed="false">
      <c r="A951" s="17"/>
      <c r="B951" s="18" t="str">
        <f aca="false">IF($A951="","",TEXT($A951,"ddd"))</f>
        <v/>
      </c>
      <c r="C951" s="19"/>
      <c r="D951" s="19"/>
      <c r="E951" s="18" t="str">
        <f aca="false">IF($C951="","",IFERROR(INDEX(Lists!$B$2:$B$40,MATCH($C951,Lists!$A$2:$A$40,0)),""))</f>
        <v/>
      </c>
      <c r="F951" s="20"/>
      <c r="G951" s="20"/>
      <c r="H951" s="20"/>
      <c r="I951" s="20"/>
      <c r="J951" s="20"/>
      <c r="K951" s="18" t="str">
        <f aca="false">IF(COUNT($F951:$J951)=0,"",SUM($F951:$J951))</f>
        <v/>
      </c>
      <c r="L951" s="18" t="str">
        <f aca="false">IF(COUNT($F951:$J951)=0,"",MAX($F951:$J951))</f>
        <v/>
      </c>
      <c r="M951" s="18" t="str">
        <f aca="false">IFERROR(IF(OR($C951="",COUNT($F951:$J951)&lt;3),"",IF(N(INDEX(Lists!$C$2:$C$40,MATCH($C951,Lists!$A$2:$A$40,0)))=0,"",IF(MIN($F951:$J951)&gt;=INDEX(Lists!$C$2:$C$40,MATCH($C951,Lists!$A$2:$A$40,0)),"LEVEL UP",""))),"")</f>
        <v/>
      </c>
      <c r="N951" s="20"/>
      <c r="O951" s="19"/>
    </row>
    <row r="952" customFormat="false" ht="15" hidden="false" customHeight="false" outlineLevel="0" collapsed="false">
      <c r="A952" s="17"/>
      <c r="B952" s="18" t="str">
        <f aca="false">IF($A952="","",TEXT($A952,"ddd"))</f>
        <v/>
      </c>
      <c r="C952" s="19"/>
      <c r="D952" s="19"/>
      <c r="E952" s="18" t="str">
        <f aca="false">IF($C952="","",IFERROR(INDEX(Lists!$B$2:$B$40,MATCH($C952,Lists!$A$2:$A$40,0)),""))</f>
        <v/>
      </c>
      <c r="F952" s="20"/>
      <c r="G952" s="20"/>
      <c r="H952" s="20"/>
      <c r="I952" s="20"/>
      <c r="J952" s="20"/>
      <c r="K952" s="18" t="str">
        <f aca="false">IF(COUNT($F952:$J952)=0,"",SUM($F952:$J952))</f>
        <v/>
      </c>
      <c r="L952" s="18" t="str">
        <f aca="false">IF(COUNT($F952:$J952)=0,"",MAX($F952:$J952))</f>
        <v/>
      </c>
      <c r="M952" s="18" t="str">
        <f aca="false">IFERROR(IF(OR($C952="",COUNT($F952:$J952)&lt;3),"",IF(N(INDEX(Lists!$C$2:$C$40,MATCH($C952,Lists!$A$2:$A$40,0)))=0,"",IF(MIN($F952:$J952)&gt;=INDEX(Lists!$C$2:$C$40,MATCH($C952,Lists!$A$2:$A$40,0)),"LEVEL UP",""))),"")</f>
        <v/>
      </c>
      <c r="N952" s="20"/>
      <c r="O952" s="19"/>
    </row>
    <row r="953" customFormat="false" ht="15" hidden="false" customHeight="false" outlineLevel="0" collapsed="false">
      <c r="A953" s="17"/>
      <c r="B953" s="18" t="str">
        <f aca="false">IF($A953="","",TEXT($A953,"ddd"))</f>
        <v/>
      </c>
      <c r="C953" s="19"/>
      <c r="D953" s="19"/>
      <c r="E953" s="18" t="str">
        <f aca="false">IF($C953="","",IFERROR(INDEX(Lists!$B$2:$B$40,MATCH($C953,Lists!$A$2:$A$40,0)),""))</f>
        <v/>
      </c>
      <c r="F953" s="20"/>
      <c r="G953" s="20"/>
      <c r="H953" s="20"/>
      <c r="I953" s="20"/>
      <c r="J953" s="20"/>
      <c r="K953" s="18" t="str">
        <f aca="false">IF(COUNT($F953:$J953)=0,"",SUM($F953:$J953))</f>
        <v/>
      </c>
      <c r="L953" s="18" t="str">
        <f aca="false">IF(COUNT($F953:$J953)=0,"",MAX($F953:$J953))</f>
        <v/>
      </c>
      <c r="M953" s="18" t="str">
        <f aca="false">IFERROR(IF(OR($C953="",COUNT($F953:$J953)&lt;3),"",IF(N(INDEX(Lists!$C$2:$C$40,MATCH($C953,Lists!$A$2:$A$40,0)))=0,"",IF(MIN($F953:$J953)&gt;=INDEX(Lists!$C$2:$C$40,MATCH($C953,Lists!$A$2:$A$40,0)),"LEVEL UP",""))),"")</f>
        <v/>
      </c>
      <c r="N953" s="20"/>
      <c r="O953" s="19"/>
    </row>
    <row r="954" customFormat="false" ht="15" hidden="false" customHeight="false" outlineLevel="0" collapsed="false">
      <c r="A954" s="17"/>
      <c r="B954" s="18" t="str">
        <f aca="false">IF($A954="","",TEXT($A954,"ddd"))</f>
        <v/>
      </c>
      <c r="C954" s="19"/>
      <c r="D954" s="19"/>
      <c r="E954" s="18" t="str">
        <f aca="false">IF($C954="","",IFERROR(INDEX(Lists!$B$2:$B$40,MATCH($C954,Lists!$A$2:$A$40,0)),""))</f>
        <v/>
      </c>
      <c r="F954" s="20"/>
      <c r="G954" s="20"/>
      <c r="H954" s="20"/>
      <c r="I954" s="20"/>
      <c r="J954" s="20"/>
      <c r="K954" s="18" t="str">
        <f aca="false">IF(COUNT($F954:$J954)=0,"",SUM($F954:$J954))</f>
        <v/>
      </c>
      <c r="L954" s="18" t="str">
        <f aca="false">IF(COUNT($F954:$J954)=0,"",MAX($F954:$J954))</f>
        <v/>
      </c>
      <c r="M954" s="18" t="str">
        <f aca="false">IFERROR(IF(OR($C954="",COUNT($F954:$J954)&lt;3),"",IF(N(INDEX(Lists!$C$2:$C$40,MATCH($C954,Lists!$A$2:$A$40,0)))=0,"",IF(MIN($F954:$J954)&gt;=INDEX(Lists!$C$2:$C$40,MATCH($C954,Lists!$A$2:$A$40,0)),"LEVEL UP",""))),"")</f>
        <v/>
      </c>
      <c r="N954" s="20"/>
      <c r="O954" s="19"/>
    </row>
    <row r="955" customFormat="false" ht="15" hidden="false" customHeight="false" outlineLevel="0" collapsed="false">
      <c r="A955" s="17"/>
      <c r="B955" s="18" t="str">
        <f aca="false">IF($A955="","",TEXT($A955,"ddd"))</f>
        <v/>
      </c>
      <c r="C955" s="19"/>
      <c r="D955" s="19"/>
      <c r="E955" s="18" t="str">
        <f aca="false">IF($C955="","",IFERROR(INDEX(Lists!$B$2:$B$40,MATCH($C955,Lists!$A$2:$A$40,0)),""))</f>
        <v/>
      </c>
      <c r="F955" s="20"/>
      <c r="G955" s="20"/>
      <c r="H955" s="20"/>
      <c r="I955" s="20"/>
      <c r="J955" s="20"/>
      <c r="K955" s="18" t="str">
        <f aca="false">IF(COUNT($F955:$J955)=0,"",SUM($F955:$J955))</f>
        <v/>
      </c>
      <c r="L955" s="18" t="str">
        <f aca="false">IF(COUNT($F955:$J955)=0,"",MAX($F955:$J955))</f>
        <v/>
      </c>
      <c r="M955" s="18" t="str">
        <f aca="false">IFERROR(IF(OR($C955="",COUNT($F955:$J955)&lt;3),"",IF(N(INDEX(Lists!$C$2:$C$40,MATCH($C955,Lists!$A$2:$A$40,0)))=0,"",IF(MIN($F955:$J955)&gt;=INDEX(Lists!$C$2:$C$40,MATCH($C955,Lists!$A$2:$A$40,0)),"LEVEL UP",""))),"")</f>
        <v/>
      </c>
      <c r="N955" s="20"/>
      <c r="O955" s="19"/>
    </row>
    <row r="956" customFormat="false" ht="15" hidden="false" customHeight="false" outlineLevel="0" collapsed="false">
      <c r="A956" s="17"/>
      <c r="B956" s="18" t="str">
        <f aca="false">IF($A956="","",TEXT($A956,"ddd"))</f>
        <v/>
      </c>
      <c r="C956" s="19"/>
      <c r="D956" s="19"/>
      <c r="E956" s="18" t="str">
        <f aca="false">IF($C956="","",IFERROR(INDEX(Lists!$B$2:$B$40,MATCH($C956,Lists!$A$2:$A$40,0)),""))</f>
        <v/>
      </c>
      <c r="F956" s="20"/>
      <c r="G956" s="20"/>
      <c r="H956" s="20"/>
      <c r="I956" s="20"/>
      <c r="J956" s="20"/>
      <c r="K956" s="18" t="str">
        <f aca="false">IF(COUNT($F956:$J956)=0,"",SUM($F956:$J956))</f>
        <v/>
      </c>
      <c r="L956" s="18" t="str">
        <f aca="false">IF(COUNT($F956:$J956)=0,"",MAX($F956:$J956))</f>
        <v/>
      </c>
      <c r="M956" s="18" t="str">
        <f aca="false">IFERROR(IF(OR($C956="",COUNT($F956:$J956)&lt;3),"",IF(N(INDEX(Lists!$C$2:$C$40,MATCH($C956,Lists!$A$2:$A$40,0)))=0,"",IF(MIN($F956:$J956)&gt;=INDEX(Lists!$C$2:$C$40,MATCH($C956,Lists!$A$2:$A$40,0)),"LEVEL UP",""))),"")</f>
        <v/>
      </c>
      <c r="N956" s="20"/>
      <c r="O956" s="19"/>
    </row>
    <row r="957" customFormat="false" ht="15" hidden="false" customHeight="false" outlineLevel="0" collapsed="false">
      <c r="A957" s="17"/>
      <c r="B957" s="18" t="str">
        <f aca="false">IF($A957="","",TEXT($A957,"ddd"))</f>
        <v/>
      </c>
      <c r="C957" s="19"/>
      <c r="D957" s="19"/>
      <c r="E957" s="18" t="str">
        <f aca="false">IF($C957="","",IFERROR(INDEX(Lists!$B$2:$B$40,MATCH($C957,Lists!$A$2:$A$40,0)),""))</f>
        <v/>
      </c>
      <c r="F957" s="20"/>
      <c r="G957" s="20"/>
      <c r="H957" s="20"/>
      <c r="I957" s="20"/>
      <c r="J957" s="20"/>
      <c r="K957" s="18" t="str">
        <f aca="false">IF(COUNT($F957:$J957)=0,"",SUM($F957:$J957))</f>
        <v/>
      </c>
      <c r="L957" s="18" t="str">
        <f aca="false">IF(COUNT($F957:$J957)=0,"",MAX($F957:$J957))</f>
        <v/>
      </c>
      <c r="M957" s="18" t="str">
        <f aca="false">IFERROR(IF(OR($C957="",COUNT($F957:$J957)&lt;3),"",IF(N(INDEX(Lists!$C$2:$C$40,MATCH($C957,Lists!$A$2:$A$40,0)))=0,"",IF(MIN($F957:$J957)&gt;=INDEX(Lists!$C$2:$C$40,MATCH($C957,Lists!$A$2:$A$40,0)),"LEVEL UP",""))),"")</f>
        <v/>
      </c>
      <c r="N957" s="20"/>
      <c r="O957" s="19"/>
    </row>
    <row r="958" customFormat="false" ht="15" hidden="false" customHeight="false" outlineLevel="0" collapsed="false">
      <c r="A958" s="17"/>
      <c r="B958" s="18" t="str">
        <f aca="false">IF($A958="","",TEXT($A958,"ddd"))</f>
        <v/>
      </c>
      <c r="C958" s="19"/>
      <c r="D958" s="19"/>
      <c r="E958" s="18" t="str">
        <f aca="false">IF($C958="","",IFERROR(INDEX(Lists!$B$2:$B$40,MATCH($C958,Lists!$A$2:$A$40,0)),""))</f>
        <v/>
      </c>
      <c r="F958" s="20"/>
      <c r="G958" s="20"/>
      <c r="H958" s="20"/>
      <c r="I958" s="20"/>
      <c r="J958" s="20"/>
      <c r="K958" s="18" t="str">
        <f aca="false">IF(COUNT($F958:$J958)=0,"",SUM($F958:$J958))</f>
        <v/>
      </c>
      <c r="L958" s="18" t="str">
        <f aca="false">IF(COUNT($F958:$J958)=0,"",MAX($F958:$J958))</f>
        <v/>
      </c>
      <c r="M958" s="18" t="str">
        <f aca="false">IFERROR(IF(OR($C958="",COUNT($F958:$J958)&lt;3),"",IF(N(INDEX(Lists!$C$2:$C$40,MATCH($C958,Lists!$A$2:$A$40,0)))=0,"",IF(MIN($F958:$J958)&gt;=INDEX(Lists!$C$2:$C$40,MATCH($C958,Lists!$A$2:$A$40,0)),"LEVEL UP",""))),"")</f>
        <v/>
      </c>
      <c r="N958" s="20"/>
      <c r="O958" s="19"/>
    </row>
    <row r="959" customFormat="false" ht="15" hidden="false" customHeight="false" outlineLevel="0" collapsed="false">
      <c r="A959" s="17"/>
      <c r="B959" s="18" t="str">
        <f aca="false">IF($A959="","",TEXT($A959,"ddd"))</f>
        <v/>
      </c>
      <c r="C959" s="19"/>
      <c r="D959" s="19"/>
      <c r="E959" s="18" t="str">
        <f aca="false">IF($C959="","",IFERROR(INDEX(Lists!$B$2:$B$40,MATCH($C959,Lists!$A$2:$A$40,0)),""))</f>
        <v/>
      </c>
      <c r="F959" s="20"/>
      <c r="G959" s="20"/>
      <c r="H959" s="20"/>
      <c r="I959" s="20"/>
      <c r="J959" s="20"/>
      <c r="K959" s="18" t="str">
        <f aca="false">IF(COUNT($F959:$J959)=0,"",SUM($F959:$J959))</f>
        <v/>
      </c>
      <c r="L959" s="18" t="str">
        <f aca="false">IF(COUNT($F959:$J959)=0,"",MAX($F959:$J959))</f>
        <v/>
      </c>
      <c r="M959" s="18" t="str">
        <f aca="false">IFERROR(IF(OR($C959="",COUNT($F959:$J959)&lt;3),"",IF(N(INDEX(Lists!$C$2:$C$40,MATCH($C959,Lists!$A$2:$A$40,0)))=0,"",IF(MIN($F959:$J959)&gt;=INDEX(Lists!$C$2:$C$40,MATCH($C959,Lists!$A$2:$A$40,0)),"LEVEL UP",""))),"")</f>
        <v/>
      </c>
      <c r="N959" s="20"/>
      <c r="O959" s="19"/>
    </row>
    <row r="960" customFormat="false" ht="15" hidden="false" customHeight="false" outlineLevel="0" collapsed="false">
      <c r="A960" s="17"/>
      <c r="B960" s="18" t="str">
        <f aca="false">IF($A960="","",TEXT($A960,"ddd"))</f>
        <v/>
      </c>
      <c r="C960" s="19"/>
      <c r="D960" s="19"/>
      <c r="E960" s="18" t="str">
        <f aca="false">IF($C960="","",IFERROR(INDEX(Lists!$B$2:$B$40,MATCH($C960,Lists!$A$2:$A$40,0)),""))</f>
        <v/>
      </c>
      <c r="F960" s="20"/>
      <c r="G960" s="20"/>
      <c r="H960" s="20"/>
      <c r="I960" s="20"/>
      <c r="J960" s="20"/>
      <c r="K960" s="18" t="str">
        <f aca="false">IF(COUNT($F960:$J960)=0,"",SUM($F960:$J960))</f>
        <v/>
      </c>
      <c r="L960" s="18" t="str">
        <f aca="false">IF(COUNT($F960:$J960)=0,"",MAX($F960:$J960))</f>
        <v/>
      </c>
      <c r="M960" s="18" t="str">
        <f aca="false">IFERROR(IF(OR($C960="",COUNT($F960:$J960)&lt;3),"",IF(N(INDEX(Lists!$C$2:$C$40,MATCH($C960,Lists!$A$2:$A$40,0)))=0,"",IF(MIN($F960:$J960)&gt;=INDEX(Lists!$C$2:$C$40,MATCH($C960,Lists!$A$2:$A$40,0)),"LEVEL UP",""))),"")</f>
        <v/>
      </c>
      <c r="N960" s="20"/>
      <c r="O960" s="19"/>
    </row>
    <row r="961" customFormat="false" ht="15" hidden="false" customHeight="false" outlineLevel="0" collapsed="false">
      <c r="A961" s="17"/>
      <c r="B961" s="18" t="str">
        <f aca="false">IF($A961="","",TEXT($A961,"ddd"))</f>
        <v/>
      </c>
      <c r="C961" s="19"/>
      <c r="D961" s="19"/>
      <c r="E961" s="18" t="str">
        <f aca="false">IF($C961="","",IFERROR(INDEX(Lists!$B$2:$B$40,MATCH($C961,Lists!$A$2:$A$40,0)),""))</f>
        <v/>
      </c>
      <c r="F961" s="20"/>
      <c r="G961" s="20"/>
      <c r="H961" s="20"/>
      <c r="I961" s="20"/>
      <c r="J961" s="20"/>
      <c r="K961" s="18" t="str">
        <f aca="false">IF(COUNT($F961:$J961)=0,"",SUM($F961:$J961))</f>
        <v/>
      </c>
      <c r="L961" s="18" t="str">
        <f aca="false">IF(COUNT($F961:$J961)=0,"",MAX($F961:$J961))</f>
        <v/>
      </c>
      <c r="M961" s="18" t="str">
        <f aca="false">IFERROR(IF(OR($C961="",COUNT($F961:$J961)&lt;3),"",IF(N(INDEX(Lists!$C$2:$C$40,MATCH($C961,Lists!$A$2:$A$40,0)))=0,"",IF(MIN($F961:$J961)&gt;=INDEX(Lists!$C$2:$C$40,MATCH($C961,Lists!$A$2:$A$40,0)),"LEVEL UP",""))),"")</f>
        <v/>
      </c>
      <c r="N961" s="20"/>
      <c r="O961" s="19"/>
    </row>
    <row r="962" customFormat="false" ht="15" hidden="false" customHeight="false" outlineLevel="0" collapsed="false">
      <c r="A962" s="17"/>
      <c r="B962" s="18" t="str">
        <f aca="false">IF($A962="","",TEXT($A962,"ddd"))</f>
        <v/>
      </c>
      <c r="C962" s="19"/>
      <c r="D962" s="19"/>
      <c r="E962" s="18" t="str">
        <f aca="false">IF($C962="","",IFERROR(INDEX(Lists!$B$2:$B$40,MATCH($C962,Lists!$A$2:$A$40,0)),""))</f>
        <v/>
      </c>
      <c r="F962" s="20"/>
      <c r="G962" s="20"/>
      <c r="H962" s="20"/>
      <c r="I962" s="20"/>
      <c r="J962" s="20"/>
      <c r="K962" s="18" t="str">
        <f aca="false">IF(COUNT($F962:$J962)=0,"",SUM($F962:$J962))</f>
        <v/>
      </c>
      <c r="L962" s="18" t="str">
        <f aca="false">IF(COUNT($F962:$J962)=0,"",MAX($F962:$J962))</f>
        <v/>
      </c>
      <c r="M962" s="18" t="str">
        <f aca="false">IFERROR(IF(OR($C962="",COUNT($F962:$J962)&lt;3),"",IF(N(INDEX(Lists!$C$2:$C$40,MATCH($C962,Lists!$A$2:$A$40,0)))=0,"",IF(MIN($F962:$J962)&gt;=INDEX(Lists!$C$2:$C$40,MATCH($C962,Lists!$A$2:$A$40,0)),"LEVEL UP",""))),"")</f>
        <v/>
      </c>
      <c r="N962" s="20"/>
      <c r="O962" s="19"/>
    </row>
    <row r="963" customFormat="false" ht="15" hidden="false" customHeight="false" outlineLevel="0" collapsed="false">
      <c r="A963" s="17"/>
      <c r="B963" s="18" t="str">
        <f aca="false">IF($A963="","",TEXT($A963,"ddd"))</f>
        <v/>
      </c>
      <c r="C963" s="19"/>
      <c r="D963" s="19"/>
      <c r="E963" s="18" t="str">
        <f aca="false">IF($C963="","",IFERROR(INDEX(Lists!$B$2:$B$40,MATCH($C963,Lists!$A$2:$A$40,0)),""))</f>
        <v/>
      </c>
      <c r="F963" s="20"/>
      <c r="G963" s="20"/>
      <c r="H963" s="20"/>
      <c r="I963" s="20"/>
      <c r="J963" s="20"/>
      <c r="K963" s="18" t="str">
        <f aca="false">IF(COUNT($F963:$J963)=0,"",SUM($F963:$J963))</f>
        <v/>
      </c>
      <c r="L963" s="18" t="str">
        <f aca="false">IF(COUNT($F963:$J963)=0,"",MAX($F963:$J963))</f>
        <v/>
      </c>
      <c r="M963" s="18" t="str">
        <f aca="false">IFERROR(IF(OR($C963="",COUNT($F963:$J963)&lt;3),"",IF(N(INDEX(Lists!$C$2:$C$40,MATCH($C963,Lists!$A$2:$A$40,0)))=0,"",IF(MIN($F963:$J963)&gt;=INDEX(Lists!$C$2:$C$40,MATCH($C963,Lists!$A$2:$A$40,0)),"LEVEL UP",""))),"")</f>
        <v/>
      </c>
      <c r="N963" s="20"/>
      <c r="O963" s="19"/>
    </row>
    <row r="964" customFormat="false" ht="15" hidden="false" customHeight="false" outlineLevel="0" collapsed="false">
      <c r="A964" s="17"/>
      <c r="B964" s="18" t="str">
        <f aca="false">IF($A964="","",TEXT($A964,"ddd"))</f>
        <v/>
      </c>
      <c r="C964" s="19"/>
      <c r="D964" s="19"/>
      <c r="E964" s="18" t="str">
        <f aca="false">IF($C964="","",IFERROR(INDEX(Lists!$B$2:$B$40,MATCH($C964,Lists!$A$2:$A$40,0)),""))</f>
        <v/>
      </c>
      <c r="F964" s="20"/>
      <c r="G964" s="20"/>
      <c r="H964" s="20"/>
      <c r="I964" s="20"/>
      <c r="J964" s="20"/>
      <c r="K964" s="18" t="str">
        <f aca="false">IF(COUNT($F964:$J964)=0,"",SUM($F964:$J964))</f>
        <v/>
      </c>
      <c r="L964" s="18" t="str">
        <f aca="false">IF(COUNT($F964:$J964)=0,"",MAX($F964:$J964))</f>
        <v/>
      </c>
      <c r="M964" s="18" t="str">
        <f aca="false">IFERROR(IF(OR($C964="",COUNT($F964:$J964)&lt;3),"",IF(N(INDEX(Lists!$C$2:$C$40,MATCH($C964,Lists!$A$2:$A$40,0)))=0,"",IF(MIN($F964:$J964)&gt;=INDEX(Lists!$C$2:$C$40,MATCH($C964,Lists!$A$2:$A$40,0)),"LEVEL UP",""))),"")</f>
        <v/>
      </c>
      <c r="N964" s="20"/>
      <c r="O964" s="19"/>
    </row>
    <row r="965" customFormat="false" ht="15" hidden="false" customHeight="false" outlineLevel="0" collapsed="false">
      <c r="A965" s="17"/>
      <c r="B965" s="18" t="str">
        <f aca="false">IF($A965="","",TEXT($A965,"ddd"))</f>
        <v/>
      </c>
      <c r="C965" s="19"/>
      <c r="D965" s="19"/>
      <c r="E965" s="18" t="str">
        <f aca="false">IF($C965="","",IFERROR(INDEX(Lists!$B$2:$B$40,MATCH($C965,Lists!$A$2:$A$40,0)),""))</f>
        <v/>
      </c>
      <c r="F965" s="20"/>
      <c r="G965" s="20"/>
      <c r="H965" s="20"/>
      <c r="I965" s="20"/>
      <c r="J965" s="20"/>
      <c r="K965" s="18" t="str">
        <f aca="false">IF(COUNT($F965:$J965)=0,"",SUM($F965:$J965))</f>
        <v/>
      </c>
      <c r="L965" s="18" t="str">
        <f aca="false">IF(COUNT($F965:$J965)=0,"",MAX($F965:$J965))</f>
        <v/>
      </c>
      <c r="M965" s="18" t="str">
        <f aca="false">IFERROR(IF(OR($C965="",COUNT($F965:$J965)&lt;3),"",IF(N(INDEX(Lists!$C$2:$C$40,MATCH($C965,Lists!$A$2:$A$40,0)))=0,"",IF(MIN($F965:$J965)&gt;=INDEX(Lists!$C$2:$C$40,MATCH($C965,Lists!$A$2:$A$40,0)),"LEVEL UP",""))),"")</f>
        <v/>
      </c>
      <c r="N965" s="20"/>
      <c r="O965" s="19"/>
    </row>
    <row r="966" customFormat="false" ht="15" hidden="false" customHeight="false" outlineLevel="0" collapsed="false">
      <c r="A966" s="17"/>
      <c r="B966" s="18" t="str">
        <f aca="false">IF($A966="","",TEXT($A966,"ddd"))</f>
        <v/>
      </c>
      <c r="C966" s="19"/>
      <c r="D966" s="19"/>
      <c r="E966" s="18" t="str">
        <f aca="false">IF($C966="","",IFERROR(INDEX(Lists!$B$2:$B$40,MATCH($C966,Lists!$A$2:$A$40,0)),""))</f>
        <v/>
      </c>
      <c r="F966" s="20"/>
      <c r="G966" s="20"/>
      <c r="H966" s="20"/>
      <c r="I966" s="20"/>
      <c r="J966" s="20"/>
      <c r="K966" s="18" t="str">
        <f aca="false">IF(COUNT($F966:$J966)=0,"",SUM($F966:$J966))</f>
        <v/>
      </c>
      <c r="L966" s="18" t="str">
        <f aca="false">IF(COUNT($F966:$J966)=0,"",MAX($F966:$J966))</f>
        <v/>
      </c>
      <c r="M966" s="18" t="str">
        <f aca="false">IFERROR(IF(OR($C966="",COUNT($F966:$J966)&lt;3),"",IF(N(INDEX(Lists!$C$2:$C$40,MATCH($C966,Lists!$A$2:$A$40,0)))=0,"",IF(MIN($F966:$J966)&gt;=INDEX(Lists!$C$2:$C$40,MATCH($C966,Lists!$A$2:$A$40,0)),"LEVEL UP",""))),"")</f>
        <v/>
      </c>
      <c r="N966" s="20"/>
      <c r="O966" s="19"/>
    </row>
    <row r="967" customFormat="false" ht="15" hidden="false" customHeight="false" outlineLevel="0" collapsed="false">
      <c r="A967" s="17"/>
      <c r="B967" s="18" t="str">
        <f aca="false">IF($A967="","",TEXT($A967,"ddd"))</f>
        <v/>
      </c>
      <c r="C967" s="19"/>
      <c r="D967" s="19"/>
      <c r="E967" s="18" t="str">
        <f aca="false">IF($C967="","",IFERROR(INDEX(Lists!$B$2:$B$40,MATCH($C967,Lists!$A$2:$A$40,0)),""))</f>
        <v/>
      </c>
      <c r="F967" s="20"/>
      <c r="G967" s="20"/>
      <c r="H967" s="20"/>
      <c r="I967" s="20"/>
      <c r="J967" s="20"/>
      <c r="K967" s="18" t="str">
        <f aca="false">IF(COUNT($F967:$J967)=0,"",SUM($F967:$J967))</f>
        <v/>
      </c>
      <c r="L967" s="18" t="str">
        <f aca="false">IF(COUNT($F967:$J967)=0,"",MAX($F967:$J967))</f>
        <v/>
      </c>
      <c r="M967" s="18" t="str">
        <f aca="false">IFERROR(IF(OR($C967="",COUNT($F967:$J967)&lt;3),"",IF(N(INDEX(Lists!$C$2:$C$40,MATCH($C967,Lists!$A$2:$A$40,0)))=0,"",IF(MIN($F967:$J967)&gt;=INDEX(Lists!$C$2:$C$40,MATCH($C967,Lists!$A$2:$A$40,0)),"LEVEL UP",""))),"")</f>
        <v/>
      </c>
      <c r="N967" s="20"/>
      <c r="O967" s="19"/>
    </row>
    <row r="968" customFormat="false" ht="15" hidden="false" customHeight="false" outlineLevel="0" collapsed="false">
      <c r="A968" s="17"/>
      <c r="B968" s="18" t="str">
        <f aca="false">IF($A968="","",TEXT($A968,"ddd"))</f>
        <v/>
      </c>
      <c r="C968" s="19"/>
      <c r="D968" s="19"/>
      <c r="E968" s="18" t="str">
        <f aca="false">IF($C968="","",IFERROR(INDEX(Lists!$B$2:$B$40,MATCH($C968,Lists!$A$2:$A$40,0)),""))</f>
        <v/>
      </c>
      <c r="F968" s="20"/>
      <c r="G968" s="20"/>
      <c r="H968" s="20"/>
      <c r="I968" s="20"/>
      <c r="J968" s="20"/>
      <c r="K968" s="18" t="str">
        <f aca="false">IF(COUNT($F968:$J968)=0,"",SUM($F968:$J968))</f>
        <v/>
      </c>
      <c r="L968" s="18" t="str">
        <f aca="false">IF(COUNT($F968:$J968)=0,"",MAX($F968:$J968))</f>
        <v/>
      </c>
      <c r="M968" s="18" t="str">
        <f aca="false">IFERROR(IF(OR($C968="",COUNT($F968:$J968)&lt;3),"",IF(N(INDEX(Lists!$C$2:$C$40,MATCH($C968,Lists!$A$2:$A$40,0)))=0,"",IF(MIN($F968:$J968)&gt;=INDEX(Lists!$C$2:$C$40,MATCH($C968,Lists!$A$2:$A$40,0)),"LEVEL UP",""))),"")</f>
        <v/>
      </c>
      <c r="N968" s="20"/>
      <c r="O968" s="19"/>
    </row>
    <row r="969" customFormat="false" ht="15" hidden="false" customHeight="false" outlineLevel="0" collapsed="false">
      <c r="A969" s="17"/>
      <c r="B969" s="18" t="str">
        <f aca="false">IF($A969="","",TEXT($A969,"ddd"))</f>
        <v/>
      </c>
      <c r="C969" s="19"/>
      <c r="D969" s="19"/>
      <c r="E969" s="18" t="str">
        <f aca="false">IF($C969="","",IFERROR(INDEX(Lists!$B$2:$B$40,MATCH($C969,Lists!$A$2:$A$40,0)),""))</f>
        <v/>
      </c>
      <c r="F969" s="20"/>
      <c r="G969" s="20"/>
      <c r="H969" s="20"/>
      <c r="I969" s="20"/>
      <c r="J969" s="20"/>
      <c r="K969" s="18" t="str">
        <f aca="false">IF(COUNT($F969:$J969)=0,"",SUM($F969:$J969))</f>
        <v/>
      </c>
      <c r="L969" s="18" t="str">
        <f aca="false">IF(COUNT($F969:$J969)=0,"",MAX($F969:$J969))</f>
        <v/>
      </c>
      <c r="M969" s="18" t="str">
        <f aca="false">IFERROR(IF(OR($C969="",COUNT($F969:$J969)&lt;3),"",IF(N(INDEX(Lists!$C$2:$C$40,MATCH($C969,Lists!$A$2:$A$40,0)))=0,"",IF(MIN($F969:$J969)&gt;=INDEX(Lists!$C$2:$C$40,MATCH($C969,Lists!$A$2:$A$40,0)),"LEVEL UP",""))),"")</f>
        <v/>
      </c>
      <c r="N969" s="20"/>
      <c r="O969" s="19"/>
    </row>
    <row r="970" customFormat="false" ht="15" hidden="false" customHeight="false" outlineLevel="0" collapsed="false">
      <c r="A970" s="17"/>
      <c r="B970" s="18" t="str">
        <f aca="false">IF($A970="","",TEXT($A970,"ddd"))</f>
        <v/>
      </c>
      <c r="C970" s="19"/>
      <c r="D970" s="19"/>
      <c r="E970" s="18" t="str">
        <f aca="false">IF($C970="","",IFERROR(INDEX(Lists!$B$2:$B$40,MATCH($C970,Lists!$A$2:$A$40,0)),""))</f>
        <v/>
      </c>
      <c r="F970" s="20"/>
      <c r="G970" s="20"/>
      <c r="H970" s="20"/>
      <c r="I970" s="20"/>
      <c r="J970" s="20"/>
      <c r="K970" s="18" t="str">
        <f aca="false">IF(COUNT($F970:$J970)=0,"",SUM($F970:$J970))</f>
        <v/>
      </c>
      <c r="L970" s="18" t="str">
        <f aca="false">IF(COUNT($F970:$J970)=0,"",MAX($F970:$J970))</f>
        <v/>
      </c>
      <c r="M970" s="18" t="str">
        <f aca="false">IFERROR(IF(OR($C970="",COUNT($F970:$J970)&lt;3),"",IF(N(INDEX(Lists!$C$2:$C$40,MATCH($C970,Lists!$A$2:$A$40,0)))=0,"",IF(MIN($F970:$J970)&gt;=INDEX(Lists!$C$2:$C$40,MATCH($C970,Lists!$A$2:$A$40,0)),"LEVEL UP",""))),"")</f>
        <v/>
      </c>
      <c r="N970" s="20"/>
      <c r="O970" s="19"/>
    </row>
    <row r="971" customFormat="false" ht="15" hidden="false" customHeight="false" outlineLevel="0" collapsed="false">
      <c r="A971" s="17"/>
      <c r="B971" s="18" t="str">
        <f aca="false">IF($A971="","",TEXT($A971,"ddd"))</f>
        <v/>
      </c>
      <c r="C971" s="19"/>
      <c r="D971" s="19"/>
      <c r="E971" s="18" t="str">
        <f aca="false">IF($C971="","",IFERROR(INDEX(Lists!$B$2:$B$40,MATCH($C971,Lists!$A$2:$A$40,0)),""))</f>
        <v/>
      </c>
      <c r="F971" s="20"/>
      <c r="G971" s="20"/>
      <c r="H971" s="20"/>
      <c r="I971" s="20"/>
      <c r="J971" s="20"/>
      <c r="K971" s="18" t="str">
        <f aca="false">IF(COUNT($F971:$J971)=0,"",SUM($F971:$J971))</f>
        <v/>
      </c>
      <c r="L971" s="18" t="str">
        <f aca="false">IF(COUNT($F971:$J971)=0,"",MAX($F971:$J971))</f>
        <v/>
      </c>
      <c r="M971" s="18" t="str">
        <f aca="false">IFERROR(IF(OR($C971="",COUNT($F971:$J971)&lt;3),"",IF(N(INDEX(Lists!$C$2:$C$40,MATCH($C971,Lists!$A$2:$A$40,0)))=0,"",IF(MIN($F971:$J971)&gt;=INDEX(Lists!$C$2:$C$40,MATCH($C971,Lists!$A$2:$A$40,0)),"LEVEL UP",""))),"")</f>
        <v/>
      </c>
      <c r="N971" s="20"/>
      <c r="O971" s="19"/>
    </row>
    <row r="972" customFormat="false" ht="15" hidden="false" customHeight="false" outlineLevel="0" collapsed="false">
      <c r="A972" s="17"/>
      <c r="B972" s="18" t="str">
        <f aca="false">IF($A972="","",TEXT($A972,"ddd"))</f>
        <v/>
      </c>
      <c r="C972" s="19"/>
      <c r="D972" s="19"/>
      <c r="E972" s="18" t="str">
        <f aca="false">IF($C972="","",IFERROR(INDEX(Lists!$B$2:$B$40,MATCH($C972,Lists!$A$2:$A$40,0)),""))</f>
        <v/>
      </c>
      <c r="F972" s="20"/>
      <c r="G972" s="20"/>
      <c r="H972" s="20"/>
      <c r="I972" s="20"/>
      <c r="J972" s="20"/>
      <c r="K972" s="18" t="str">
        <f aca="false">IF(COUNT($F972:$J972)=0,"",SUM($F972:$J972))</f>
        <v/>
      </c>
      <c r="L972" s="18" t="str">
        <f aca="false">IF(COUNT($F972:$J972)=0,"",MAX($F972:$J972))</f>
        <v/>
      </c>
      <c r="M972" s="18" t="str">
        <f aca="false">IFERROR(IF(OR($C972="",COUNT($F972:$J972)&lt;3),"",IF(N(INDEX(Lists!$C$2:$C$40,MATCH($C972,Lists!$A$2:$A$40,0)))=0,"",IF(MIN($F972:$J972)&gt;=INDEX(Lists!$C$2:$C$40,MATCH($C972,Lists!$A$2:$A$40,0)),"LEVEL UP",""))),"")</f>
        <v/>
      </c>
      <c r="N972" s="20"/>
      <c r="O972" s="19"/>
    </row>
    <row r="973" customFormat="false" ht="15" hidden="false" customHeight="false" outlineLevel="0" collapsed="false">
      <c r="A973" s="17"/>
      <c r="B973" s="18" t="str">
        <f aca="false">IF($A973="","",TEXT($A973,"ddd"))</f>
        <v/>
      </c>
      <c r="C973" s="19"/>
      <c r="D973" s="19"/>
      <c r="E973" s="18" t="str">
        <f aca="false">IF($C973="","",IFERROR(INDEX(Lists!$B$2:$B$40,MATCH($C973,Lists!$A$2:$A$40,0)),""))</f>
        <v/>
      </c>
      <c r="F973" s="20"/>
      <c r="G973" s="20"/>
      <c r="H973" s="20"/>
      <c r="I973" s="20"/>
      <c r="J973" s="20"/>
      <c r="K973" s="18" t="str">
        <f aca="false">IF(COUNT($F973:$J973)=0,"",SUM($F973:$J973))</f>
        <v/>
      </c>
      <c r="L973" s="18" t="str">
        <f aca="false">IF(COUNT($F973:$J973)=0,"",MAX($F973:$J973))</f>
        <v/>
      </c>
      <c r="M973" s="18" t="str">
        <f aca="false">IFERROR(IF(OR($C973="",COUNT($F973:$J973)&lt;3),"",IF(N(INDEX(Lists!$C$2:$C$40,MATCH($C973,Lists!$A$2:$A$40,0)))=0,"",IF(MIN($F973:$J973)&gt;=INDEX(Lists!$C$2:$C$40,MATCH($C973,Lists!$A$2:$A$40,0)),"LEVEL UP",""))),"")</f>
        <v/>
      </c>
      <c r="N973" s="20"/>
      <c r="O973" s="19"/>
    </row>
    <row r="974" customFormat="false" ht="15" hidden="false" customHeight="false" outlineLevel="0" collapsed="false">
      <c r="A974" s="17"/>
      <c r="B974" s="18" t="str">
        <f aca="false">IF($A974="","",TEXT($A974,"ddd"))</f>
        <v/>
      </c>
      <c r="C974" s="19"/>
      <c r="D974" s="19"/>
      <c r="E974" s="18" t="str">
        <f aca="false">IF($C974="","",IFERROR(INDEX(Lists!$B$2:$B$40,MATCH($C974,Lists!$A$2:$A$40,0)),""))</f>
        <v/>
      </c>
      <c r="F974" s="20"/>
      <c r="G974" s="20"/>
      <c r="H974" s="20"/>
      <c r="I974" s="20"/>
      <c r="J974" s="20"/>
      <c r="K974" s="18" t="str">
        <f aca="false">IF(COUNT($F974:$J974)=0,"",SUM($F974:$J974))</f>
        <v/>
      </c>
      <c r="L974" s="18" t="str">
        <f aca="false">IF(COUNT($F974:$J974)=0,"",MAX($F974:$J974))</f>
        <v/>
      </c>
      <c r="M974" s="18" t="str">
        <f aca="false">IFERROR(IF(OR($C974="",COUNT($F974:$J974)&lt;3),"",IF(N(INDEX(Lists!$C$2:$C$40,MATCH($C974,Lists!$A$2:$A$40,0)))=0,"",IF(MIN($F974:$J974)&gt;=INDEX(Lists!$C$2:$C$40,MATCH($C974,Lists!$A$2:$A$40,0)),"LEVEL UP",""))),"")</f>
        <v/>
      </c>
      <c r="N974" s="20"/>
      <c r="O974" s="19"/>
    </row>
    <row r="975" customFormat="false" ht="15" hidden="false" customHeight="false" outlineLevel="0" collapsed="false">
      <c r="A975" s="17"/>
      <c r="B975" s="18" t="str">
        <f aca="false">IF($A975="","",TEXT($A975,"ddd"))</f>
        <v/>
      </c>
      <c r="C975" s="19"/>
      <c r="D975" s="19"/>
      <c r="E975" s="18" t="str">
        <f aca="false">IF($C975="","",IFERROR(INDEX(Lists!$B$2:$B$40,MATCH($C975,Lists!$A$2:$A$40,0)),""))</f>
        <v/>
      </c>
      <c r="F975" s="20"/>
      <c r="G975" s="20"/>
      <c r="H975" s="20"/>
      <c r="I975" s="20"/>
      <c r="J975" s="20"/>
      <c r="K975" s="18" t="str">
        <f aca="false">IF(COUNT($F975:$J975)=0,"",SUM($F975:$J975))</f>
        <v/>
      </c>
      <c r="L975" s="18" t="str">
        <f aca="false">IF(COUNT($F975:$J975)=0,"",MAX($F975:$J975))</f>
        <v/>
      </c>
      <c r="M975" s="18" t="str">
        <f aca="false">IFERROR(IF(OR($C975="",COUNT($F975:$J975)&lt;3),"",IF(N(INDEX(Lists!$C$2:$C$40,MATCH($C975,Lists!$A$2:$A$40,0)))=0,"",IF(MIN($F975:$J975)&gt;=INDEX(Lists!$C$2:$C$40,MATCH($C975,Lists!$A$2:$A$40,0)),"LEVEL UP",""))),"")</f>
        <v/>
      </c>
      <c r="N975" s="20"/>
      <c r="O975" s="19"/>
    </row>
    <row r="976" customFormat="false" ht="15" hidden="false" customHeight="false" outlineLevel="0" collapsed="false">
      <c r="A976" s="17"/>
      <c r="B976" s="18" t="str">
        <f aca="false">IF($A976="","",TEXT($A976,"ddd"))</f>
        <v/>
      </c>
      <c r="C976" s="19"/>
      <c r="D976" s="19"/>
      <c r="E976" s="18" t="str">
        <f aca="false">IF($C976="","",IFERROR(INDEX(Lists!$B$2:$B$40,MATCH($C976,Lists!$A$2:$A$40,0)),""))</f>
        <v/>
      </c>
      <c r="F976" s="20"/>
      <c r="G976" s="20"/>
      <c r="H976" s="20"/>
      <c r="I976" s="20"/>
      <c r="J976" s="20"/>
      <c r="K976" s="18" t="str">
        <f aca="false">IF(COUNT($F976:$J976)=0,"",SUM($F976:$J976))</f>
        <v/>
      </c>
      <c r="L976" s="18" t="str">
        <f aca="false">IF(COUNT($F976:$J976)=0,"",MAX($F976:$J976))</f>
        <v/>
      </c>
      <c r="M976" s="18" t="str">
        <f aca="false">IFERROR(IF(OR($C976="",COUNT($F976:$J976)&lt;3),"",IF(N(INDEX(Lists!$C$2:$C$40,MATCH($C976,Lists!$A$2:$A$40,0)))=0,"",IF(MIN($F976:$J976)&gt;=INDEX(Lists!$C$2:$C$40,MATCH($C976,Lists!$A$2:$A$40,0)),"LEVEL UP",""))),"")</f>
        <v/>
      </c>
      <c r="N976" s="20"/>
      <c r="O976" s="19"/>
    </row>
    <row r="977" customFormat="false" ht="15" hidden="false" customHeight="false" outlineLevel="0" collapsed="false">
      <c r="A977" s="17"/>
      <c r="B977" s="18" t="str">
        <f aca="false">IF($A977="","",TEXT($A977,"ddd"))</f>
        <v/>
      </c>
      <c r="C977" s="19"/>
      <c r="D977" s="19"/>
      <c r="E977" s="18" t="str">
        <f aca="false">IF($C977="","",IFERROR(INDEX(Lists!$B$2:$B$40,MATCH($C977,Lists!$A$2:$A$40,0)),""))</f>
        <v/>
      </c>
      <c r="F977" s="20"/>
      <c r="G977" s="20"/>
      <c r="H977" s="20"/>
      <c r="I977" s="20"/>
      <c r="J977" s="20"/>
      <c r="K977" s="18" t="str">
        <f aca="false">IF(COUNT($F977:$J977)=0,"",SUM($F977:$J977))</f>
        <v/>
      </c>
      <c r="L977" s="18" t="str">
        <f aca="false">IF(COUNT($F977:$J977)=0,"",MAX($F977:$J977))</f>
        <v/>
      </c>
      <c r="M977" s="18" t="str">
        <f aca="false">IFERROR(IF(OR($C977="",COUNT($F977:$J977)&lt;3),"",IF(N(INDEX(Lists!$C$2:$C$40,MATCH($C977,Lists!$A$2:$A$40,0)))=0,"",IF(MIN($F977:$J977)&gt;=INDEX(Lists!$C$2:$C$40,MATCH($C977,Lists!$A$2:$A$40,0)),"LEVEL UP",""))),"")</f>
        <v/>
      </c>
      <c r="N977" s="20"/>
      <c r="O977" s="19"/>
    </row>
    <row r="978" customFormat="false" ht="15" hidden="false" customHeight="false" outlineLevel="0" collapsed="false">
      <c r="A978" s="17"/>
      <c r="B978" s="18" t="str">
        <f aca="false">IF($A978="","",TEXT($A978,"ddd"))</f>
        <v/>
      </c>
      <c r="C978" s="19"/>
      <c r="D978" s="19"/>
      <c r="E978" s="18" t="str">
        <f aca="false">IF($C978="","",IFERROR(INDEX(Lists!$B$2:$B$40,MATCH($C978,Lists!$A$2:$A$40,0)),""))</f>
        <v/>
      </c>
      <c r="F978" s="20"/>
      <c r="G978" s="20"/>
      <c r="H978" s="20"/>
      <c r="I978" s="20"/>
      <c r="J978" s="20"/>
      <c r="K978" s="18" t="str">
        <f aca="false">IF(COUNT($F978:$J978)=0,"",SUM($F978:$J978))</f>
        <v/>
      </c>
      <c r="L978" s="18" t="str">
        <f aca="false">IF(COUNT($F978:$J978)=0,"",MAX($F978:$J978))</f>
        <v/>
      </c>
      <c r="M978" s="18" t="str">
        <f aca="false">IFERROR(IF(OR($C978="",COUNT($F978:$J978)&lt;3),"",IF(N(INDEX(Lists!$C$2:$C$40,MATCH($C978,Lists!$A$2:$A$40,0)))=0,"",IF(MIN($F978:$J978)&gt;=INDEX(Lists!$C$2:$C$40,MATCH($C978,Lists!$A$2:$A$40,0)),"LEVEL UP",""))),"")</f>
        <v/>
      </c>
      <c r="N978" s="20"/>
      <c r="O978" s="19"/>
    </row>
    <row r="979" customFormat="false" ht="15" hidden="false" customHeight="false" outlineLevel="0" collapsed="false">
      <c r="A979" s="17"/>
      <c r="B979" s="18" t="str">
        <f aca="false">IF($A979="","",TEXT($A979,"ddd"))</f>
        <v/>
      </c>
      <c r="C979" s="19"/>
      <c r="D979" s="19"/>
      <c r="E979" s="18" t="str">
        <f aca="false">IF($C979="","",IFERROR(INDEX(Lists!$B$2:$B$40,MATCH($C979,Lists!$A$2:$A$40,0)),""))</f>
        <v/>
      </c>
      <c r="F979" s="20"/>
      <c r="G979" s="20"/>
      <c r="H979" s="20"/>
      <c r="I979" s="20"/>
      <c r="J979" s="20"/>
      <c r="K979" s="18" t="str">
        <f aca="false">IF(COUNT($F979:$J979)=0,"",SUM($F979:$J979))</f>
        <v/>
      </c>
      <c r="L979" s="18" t="str">
        <f aca="false">IF(COUNT($F979:$J979)=0,"",MAX($F979:$J979))</f>
        <v/>
      </c>
      <c r="M979" s="18" t="str">
        <f aca="false">IFERROR(IF(OR($C979="",COUNT($F979:$J979)&lt;3),"",IF(N(INDEX(Lists!$C$2:$C$40,MATCH($C979,Lists!$A$2:$A$40,0)))=0,"",IF(MIN($F979:$J979)&gt;=INDEX(Lists!$C$2:$C$40,MATCH($C979,Lists!$A$2:$A$40,0)),"LEVEL UP",""))),"")</f>
        <v/>
      </c>
      <c r="N979" s="20"/>
      <c r="O979" s="19"/>
    </row>
    <row r="980" customFormat="false" ht="15" hidden="false" customHeight="false" outlineLevel="0" collapsed="false">
      <c r="A980" s="17"/>
      <c r="B980" s="18" t="str">
        <f aca="false">IF($A980="","",TEXT($A980,"ddd"))</f>
        <v/>
      </c>
      <c r="C980" s="19"/>
      <c r="D980" s="19"/>
      <c r="E980" s="18" t="str">
        <f aca="false">IF($C980="","",IFERROR(INDEX(Lists!$B$2:$B$40,MATCH($C980,Lists!$A$2:$A$40,0)),""))</f>
        <v/>
      </c>
      <c r="F980" s="20"/>
      <c r="G980" s="20"/>
      <c r="H980" s="20"/>
      <c r="I980" s="20"/>
      <c r="J980" s="20"/>
      <c r="K980" s="18" t="str">
        <f aca="false">IF(COUNT($F980:$J980)=0,"",SUM($F980:$J980))</f>
        <v/>
      </c>
      <c r="L980" s="18" t="str">
        <f aca="false">IF(COUNT($F980:$J980)=0,"",MAX($F980:$J980))</f>
        <v/>
      </c>
      <c r="M980" s="18" t="str">
        <f aca="false">IFERROR(IF(OR($C980="",COUNT($F980:$J980)&lt;3),"",IF(N(INDEX(Lists!$C$2:$C$40,MATCH($C980,Lists!$A$2:$A$40,0)))=0,"",IF(MIN($F980:$J980)&gt;=INDEX(Lists!$C$2:$C$40,MATCH($C980,Lists!$A$2:$A$40,0)),"LEVEL UP",""))),"")</f>
        <v/>
      </c>
      <c r="N980" s="20"/>
      <c r="O980" s="19"/>
    </row>
    <row r="981" customFormat="false" ht="15" hidden="false" customHeight="false" outlineLevel="0" collapsed="false">
      <c r="A981" s="17"/>
      <c r="B981" s="18" t="str">
        <f aca="false">IF($A981="","",TEXT($A981,"ddd"))</f>
        <v/>
      </c>
      <c r="C981" s="19"/>
      <c r="D981" s="19"/>
      <c r="E981" s="18" t="str">
        <f aca="false">IF($C981="","",IFERROR(INDEX(Lists!$B$2:$B$40,MATCH($C981,Lists!$A$2:$A$40,0)),""))</f>
        <v/>
      </c>
      <c r="F981" s="20"/>
      <c r="G981" s="20"/>
      <c r="H981" s="20"/>
      <c r="I981" s="20"/>
      <c r="J981" s="20"/>
      <c r="K981" s="18" t="str">
        <f aca="false">IF(COUNT($F981:$J981)=0,"",SUM($F981:$J981))</f>
        <v/>
      </c>
      <c r="L981" s="18" t="str">
        <f aca="false">IF(COUNT($F981:$J981)=0,"",MAX($F981:$J981))</f>
        <v/>
      </c>
      <c r="M981" s="18" t="str">
        <f aca="false">IFERROR(IF(OR($C981="",COUNT($F981:$J981)&lt;3),"",IF(N(INDEX(Lists!$C$2:$C$40,MATCH($C981,Lists!$A$2:$A$40,0)))=0,"",IF(MIN($F981:$J981)&gt;=INDEX(Lists!$C$2:$C$40,MATCH($C981,Lists!$A$2:$A$40,0)),"LEVEL UP",""))),"")</f>
        <v/>
      </c>
      <c r="N981" s="20"/>
      <c r="O981" s="19"/>
    </row>
    <row r="982" customFormat="false" ht="15" hidden="false" customHeight="false" outlineLevel="0" collapsed="false">
      <c r="A982" s="17"/>
      <c r="B982" s="18" t="str">
        <f aca="false">IF($A982="","",TEXT($A982,"ddd"))</f>
        <v/>
      </c>
      <c r="C982" s="19"/>
      <c r="D982" s="19"/>
      <c r="E982" s="18" t="str">
        <f aca="false">IF($C982="","",IFERROR(INDEX(Lists!$B$2:$B$40,MATCH($C982,Lists!$A$2:$A$40,0)),""))</f>
        <v/>
      </c>
      <c r="F982" s="20"/>
      <c r="G982" s="20"/>
      <c r="H982" s="20"/>
      <c r="I982" s="20"/>
      <c r="J982" s="20"/>
      <c r="K982" s="18" t="str">
        <f aca="false">IF(COUNT($F982:$J982)=0,"",SUM($F982:$J982))</f>
        <v/>
      </c>
      <c r="L982" s="18" t="str">
        <f aca="false">IF(COUNT($F982:$J982)=0,"",MAX($F982:$J982))</f>
        <v/>
      </c>
      <c r="M982" s="18" t="str">
        <f aca="false">IFERROR(IF(OR($C982="",COUNT($F982:$J982)&lt;3),"",IF(N(INDEX(Lists!$C$2:$C$40,MATCH($C982,Lists!$A$2:$A$40,0)))=0,"",IF(MIN($F982:$J982)&gt;=INDEX(Lists!$C$2:$C$40,MATCH($C982,Lists!$A$2:$A$40,0)),"LEVEL UP",""))),"")</f>
        <v/>
      </c>
      <c r="N982" s="20"/>
      <c r="O982" s="19"/>
    </row>
    <row r="983" customFormat="false" ht="15" hidden="false" customHeight="false" outlineLevel="0" collapsed="false">
      <c r="A983" s="17"/>
      <c r="B983" s="18" t="str">
        <f aca="false">IF($A983="","",TEXT($A983,"ddd"))</f>
        <v/>
      </c>
      <c r="C983" s="19"/>
      <c r="D983" s="19"/>
      <c r="E983" s="18" t="str">
        <f aca="false">IF($C983="","",IFERROR(INDEX(Lists!$B$2:$B$40,MATCH($C983,Lists!$A$2:$A$40,0)),""))</f>
        <v/>
      </c>
      <c r="F983" s="20"/>
      <c r="G983" s="20"/>
      <c r="H983" s="20"/>
      <c r="I983" s="20"/>
      <c r="J983" s="20"/>
      <c r="K983" s="18" t="str">
        <f aca="false">IF(COUNT($F983:$J983)=0,"",SUM($F983:$J983))</f>
        <v/>
      </c>
      <c r="L983" s="18" t="str">
        <f aca="false">IF(COUNT($F983:$J983)=0,"",MAX($F983:$J983))</f>
        <v/>
      </c>
      <c r="M983" s="18" t="str">
        <f aca="false">IFERROR(IF(OR($C983="",COUNT($F983:$J983)&lt;3),"",IF(N(INDEX(Lists!$C$2:$C$40,MATCH($C983,Lists!$A$2:$A$40,0)))=0,"",IF(MIN($F983:$J983)&gt;=INDEX(Lists!$C$2:$C$40,MATCH($C983,Lists!$A$2:$A$40,0)),"LEVEL UP",""))),"")</f>
        <v/>
      </c>
      <c r="N983" s="20"/>
      <c r="O983" s="19"/>
    </row>
    <row r="984" customFormat="false" ht="15" hidden="false" customHeight="false" outlineLevel="0" collapsed="false">
      <c r="A984" s="17"/>
      <c r="B984" s="18" t="str">
        <f aca="false">IF($A984="","",TEXT($A984,"ddd"))</f>
        <v/>
      </c>
      <c r="C984" s="19"/>
      <c r="D984" s="19"/>
      <c r="E984" s="18" t="str">
        <f aca="false">IF($C984="","",IFERROR(INDEX(Lists!$B$2:$B$40,MATCH($C984,Lists!$A$2:$A$40,0)),""))</f>
        <v/>
      </c>
      <c r="F984" s="20"/>
      <c r="G984" s="20"/>
      <c r="H984" s="20"/>
      <c r="I984" s="20"/>
      <c r="J984" s="20"/>
      <c r="K984" s="18" t="str">
        <f aca="false">IF(COUNT($F984:$J984)=0,"",SUM($F984:$J984))</f>
        <v/>
      </c>
      <c r="L984" s="18" t="str">
        <f aca="false">IF(COUNT($F984:$J984)=0,"",MAX($F984:$J984))</f>
        <v/>
      </c>
      <c r="M984" s="18" t="str">
        <f aca="false">IFERROR(IF(OR($C984="",COUNT($F984:$J984)&lt;3),"",IF(N(INDEX(Lists!$C$2:$C$40,MATCH($C984,Lists!$A$2:$A$40,0)))=0,"",IF(MIN($F984:$J984)&gt;=INDEX(Lists!$C$2:$C$40,MATCH($C984,Lists!$A$2:$A$40,0)),"LEVEL UP",""))),"")</f>
        <v/>
      </c>
      <c r="N984" s="20"/>
      <c r="O984" s="19"/>
    </row>
    <row r="985" customFormat="false" ht="15" hidden="false" customHeight="false" outlineLevel="0" collapsed="false">
      <c r="A985" s="17"/>
      <c r="B985" s="18" t="str">
        <f aca="false">IF($A985="","",TEXT($A985,"ddd"))</f>
        <v/>
      </c>
      <c r="C985" s="19"/>
      <c r="D985" s="19"/>
      <c r="E985" s="18" t="str">
        <f aca="false">IF($C985="","",IFERROR(INDEX(Lists!$B$2:$B$40,MATCH($C985,Lists!$A$2:$A$40,0)),""))</f>
        <v/>
      </c>
      <c r="F985" s="20"/>
      <c r="G985" s="20"/>
      <c r="H985" s="20"/>
      <c r="I985" s="20"/>
      <c r="J985" s="20"/>
      <c r="K985" s="18" t="str">
        <f aca="false">IF(COUNT($F985:$J985)=0,"",SUM($F985:$J985))</f>
        <v/>
      </c>
      <c r="L985" s="18" t="str">
        <f aca="false">IF(COUNT($F985:$J985)=0,"",MAX($F985:$J985))</f>
        <v/>
      </c>
      <c r="M985" s="18" t="str">
        <f aca="false">IFERROR(IF(OR($C985="",COUNT($F985:$J985)&lt;3),"",IF(N(INDEX(Lists!$C$2:$C$40,MATCH($C985,Lists!$A$2:$A$40,0)))=0,"",IF(MIN($F985:$J985)&gt;=INDEX(Lists!$C$2:$C$40,MATCH($C985,Lists!$A$2:$A$40,0)),"LEVEL UP",""))),"")</f>
        <v/>
      </c>
      <c r="N985" s="20"/>
      <c r="O985" s="19"/>
    </row>
    <row r="986" customFormat="false" ht="15" hidden="false" customHeight="false" outlineLevel="0" collapsed="false">
      <c r="A986" s="17"/>
      <c r="B986" s="18" t="str">
        <f aca="false">IF($A986="","",TEXT($A986,"ddd"))</f>
        <v/>
      </c>
      <c r="C986" s="19"/>
      <c r="D986" s="19"/>
      <c r="E986" s="18" t="str">
        <f aca="false">IF($C986="","",IFERROR(INDEX(Lists!$B$2:$B$40,MATCH($C986,Lists!$A$2:$A$40,0)),""))</f>
        <v/>
      </c>
      <c r="F986" s="20"/>
      <c r="G986" s="20"/>
      <c r="H986" s="20"/>
      <c r="I986" s="20"/>
      <c r="J986" s="20"/>
      <c r="K986" s="18" t="str">
        <f aca="false">IF(COUNT($F986:$J986)=0,"",SUM($F986:$J986))</f>
        <v/>
      </c>
      <c r="L986" s="18" t="str">
        <f aca="false">IF(COUNT($F986:$J986)=0,"",MAX($F986:$J986))</f>
        <v/>
      </c>
      <c r="M986" s="18" t="str">
        <f aca="false">IFERROR(IF(OR($C986="",COUNT($F986:$J986)&lt;3),"",IF(N(INDEX(Lists!$C$2:$C$40,MATCH($C986,Lists!$A$2:$A$40,0)))=0,"",IF(MIN($F986:$J986)&gt;=INDEX(Lists!$C$2:$C$40,MATCH($C986,Lists!$A$2:$A$40,0)),"LEVEL UP",""))),"")</f>
        <v/>
      </c>
      <c r="N986" s="20"/>
      <c r="O986" s="19"/>
    </row>
    <row r="987" customFormat="false" ht="15" hidden="false" customHeight="false" outlineLevel="0" collapsed="false">
      <c r="A987" s="17"/>
      <c r="B987" s="18" t="str">
        <f aca="false">IF($A987="","",TEXT($A987,"ddd"))</f>
        <v/>
      </c>
      <c r="C987" s="19"/>
      <c r="D987" s="19"/>
      <c r="E987" s="18" t="str">
        <f aca="false">IF($C987="","",IFERROR(INDEX(Lists!$B$2:$B$40,MATCH($C987,Lists!$A$2:$A$40,0)),""))</f>
        <v/>
      </c>
      <c r="F987" s="20"/>
      <c r="G987" s="20"/>
      <c r="H987" s="20"/>
      <c r="I987" s="20"/>
      <c r="J987" s="20"/>
      <c r="K987" s="18" t="str">
        <f aca="false">IF(COUNT($F987:$J987)=0,"",SUM($F987:$J987))</f>
        <v/>
      </c>
      <c r="L987" s="18" t="str">
        <f aca="false">IF(COUNT($F987:$J987)=0,"",MAX($F987:$J987))</f>
        <v/>
      </c>
      <c r="M987" s="18" t="str">
        <f aca="false">IFERROR(IF(OR($C987="",COUNT($F987:$J987)&lt;3),"",IF(N(INDEX(Lists!$C$2:$C$40,MATCH($C987,Lists!$A$2:$A$40,0)))=0,"",IF(MIN($F987:$J987)&gt;=INDEX(Lists!$C$2:$C$40,MATCH($C987,Lists!$A$2:$A$40,0)),"LEVEL UP",""))),"")</f>
        <v/>
      </c>
      <c r="N987" s="20"/>
      <c r="O987" s="19"/>
    </row>
    <row r="988" customFormat="false" ht="15" hidden="false" customHeight="false" outlineLevel="0" collapsed="false">
      <c r="A988" s="17"/>
      <c r="B988" s="18" t="str">
        <f aca="false">IF($A988="","",TEXT($A988,"ddd"))</f>
        <v/>
      </c>
      <c r="C988" s="19"/>
      <c r="D988" s="19"/>
      <c r="E988" s="18" t="str">
        <f aca="false">IF($C988="","",IFERROR(INDEX(Lists!$B$2:$B$40,MATCH($C988,Lists!$A$2:$A$40,0)),""))</f>
        <v/>
      </c>
      <c r="F988" s="20"/>
      <c r="G988" s="20"/>
      <c r="H988" s="20"/>
      <c r="I988" s="20"/>
      <c r="J988" s="20"/>
      <c r="K988" s="18" t="str">
        <f aca="false">IF(COUNT($F988:$J988)=0,"",SUM($F988:$J988))</f>
        <v/>
      </c>
      <c r="L988" s="18" t="str">
        <f aca="false">IF(COUNT($F988:$J988)=0,"",MAX($F988:$J988))</f>
        <v/>
      </c>
      <c r="M988" s="18" t="str">
        <f aca="false">IFERROR(IF(OR($C988="",COUNT($F988:$J988)&lt;3),"",IF(N(INDEX(Lists!$C$2:$C$40,MATCH($C988,Lists!$A$2:$A$40,0)))=0,"",IF(MIN($F988:$J988)&gt;=INDEX(Lists!$C$2:$C$40,MATCH($C988,Lists!$A$2:$A$40,0)),"LEVEL UP",""))),"")</f>
        <v/>
      </c>
      <c r="N988" s="20"/>
      <c r="O988" s="19"/>
    </row>
    <row r="989" customFormat="false" ht="15" hidden="false" customHeight="false" outlineLevel="0" collapsed="false">
      <c r="A989" s="17"/>
      <c r="B989" s="18" t="str">
        <f aca="false">IF($A989="","",TEXT($A989,"ddd"))</f>
        <v/>
      </c>
      <c r="C989" s="19"/>
      <c r="D989" s="19"/>
      <c r="E989" s="18" t="str">
        <f aca="false">IF($C989="","",IFERROR(INDEX(Lists!$B$2:$B$40,MATCH($C989,Lists!$A$2:$A$40,0)),""))</f>
        <v/>
      </c>
      <c r="F989" s="20"/>
      <c r="G989" s="20"/>
      <c r="H989" s="20"/>
      <c r="I989" s="20"/>
      <c r="J989" s="20"/>
      <c r="K989" s="18" t="str">
        <f aca="false">IF(COUNT($F989:$J989)=0,"",SUM($F989:$J989))</f>
        <v/>
      </c>
      <c r="L989" s="18" t="str">
        <f aca="false">IF(COUNT($F989:$J989)=0,"",MAX($F989:$J989))</f>
        <v/>
      </c>
      <c r="M989" s="18" t="str">
        <f aca="false">IFERROR(IF(OR($C989="",COUNT($F989:$J989)&lt;3),"",IF(N(INDEX(Lists!$C$2:$C$40,MATCH($C989,Lists!$A$2:$A$40,0)))=0,"",IF(MIN($F989:$J989)&gt;=INDEX(Lists!$C$2:$C$40,MATCH($C989,Lists!$A$2:$A$40,0)),"LEVEL UP",""))),"")</f>
        <v/>
      </c>
      <c r="N989" s="20"/>
      <c r="O989" s="19"/>
    </row>
    <row r="990" customFormat="false" ht="15" hidden="false" customHeight="false" outlineLevel="0" collapsed="false">
      <c r="A990" s="17"/>
      <c r="B990" s="18" t="str">
        <f aca="false">IF($A990="","",TEXT($A990,"ddd"))</f>
        <v/>
      </c>
      <c r="C990" s="19"/>
      <c r="D990" s="19"/>
      <c r="E990" s="18" t="str">
        <f aca="false">IF($C990="","",IFERROR(INDEX(Lists!$B$2:$B$40,MATCH($C990,Lists!$A$2:$A$40,0)),""))</f>
        <v/>
      </c>
      <c r="F990" s="20"/>
      <c r="G990" s="20"/>
      <c r="H990" s="20"/>
      <c r="I990" s="20"/>
      <c r="J990" s="20"/>
      <c r="K990" s="18" t="str">
        <f aca="false">IF(COUNT($F990:$J990)=0,"",SUM($F990:$J990))</f>
        <v/>
      </c>
      <c r="L990" s="18" t="str">
        <f aca="false">IF(COUNT($F990:$J990)=0,"",MAX($F990:$J990))</f>
        <v/>
      </c>
      <c r="M990" s="18" t="str">
        <f aca="false">IFERROR(IF(OR($C990="",COUNT($F990:$J990)&lt;3),"",IF(N(INDEX(Lists!$C$2:$C$40,MATCH($C990,Lists!$A$2:$A$40,0)))=0,"",IF(MIN($F990:$J990)&gt;=INDEX(Lists!$C$2:$C$40,MATCH($C990,Lists!$A$2:$A$40,0)),"LEVEL UP",""))),"")</f>
        <v/>
      </c>
      <c r="N990" s="20"/>
      <c r="O990" s="19"/>
    </row>
    <row r="991" customFormat="false" ht="15" hidden="false" customHeight="false" outlineLevel="0" collapsed="false">
      <c r="A991" s="17"/>
      <c r="B991" s="18" t="str">
        <f aca="false">IF($A991="","",TEXT($A991,"ddd"))</f>
        <v/>
      </c>
      <c r="C991" s="19"/>
      <c r="D991" s="19"/>
      <c r="E991" s="18" t="str">
        <f aca="false">IF($C991="","",IFERROR(INDEX(Lists!$B$2:$B$40,MATCH($C991,Lists!$A$2:$A$40,0)),""))</f>
        <v/>
      </c>
      <c r="F991" s="20"/>
      <c r="G991" s="20"/>
      <c r="H991" s="20"/>
      <c r="I991" s="20"/>
      <c r="J991" s="20"/>
      <c r="K991" s="18" t="str">
        <f aca="false">IF(COUNT($F991:$J991)=0,"",SUM($F991:$J991))</f>
        <v/>
      </c>
      <c r="L991" s="18" t="str">
        <f aca="false">IF(COUNT($F991:$J991)=0,"",MAX($F991:$J991))</f>
        <v/>
      </c>
      <c r="M991" s="18" t="str">
        <f aca="false">IFERROR(IF(OR($C991="",COUNT($F991:$J991)&lt;3),"",IF(N(INDEX(Lists!$C$2:$C$40,MATCH($C991,Lists!$A$2:$A$40,0)))=0,"",IF(MIN($F991:$J991)&gt;=INDEX(Lists!$C$2:$C$40,MATCH($C991,Lists!$A$2:$A$40,0)),"LEVEL UP",""))),"")</f>
        <v/>
      </c>
      <c r="N991" s="20"/>
      <c r="O991" s="19"/>
    </row>
    <row r="992" customFormat="false" ht="15" hidden="false" customHeight="false" outlineLevel="0" collapsed="false">
      <c r="A992" s="17"/>
      <c r="B992" s="18" t="str">
        <f aca="false">IF($A992="","",TEXT($A992,"ddd"))</f>
        <v/>
      </c>
      <c r="C992" s="19"/>
      <c r="D992" s="19"/>
      <c r="E992" s="18" t="str">
        <f aca="false">IF($C992="","",IFERROR(INDEX(Lists!$B$2:$B$40,MATCH($C992,Lists!$A$2:$A$40,0)),""))</f>
        <v/>
      </c>
      <c r="F992" s="20"/>
      <c r="G992" s="20"/>
      <c r="H992" s="20"/>
      <c r="I992" s="20"/>
      <c r="J992" s="20"/>
      <c r="K992" s="18" t="str">
        <f aca="false">IF(COUNT($F992:$J992)=0,"",SUM($F992:$J992))</f>
        <v/>
      </c>
      <c r="L992" s="18" t="str">
        <f aca="false">IF(COUNT($F992:$J992)=0,"",MAX($F992:$J992))</f>
        <v/>
      </c>
      <c r="M992" s="18" t="str">
        <f aca="false">IFERROR(IF(OR($C992="",COUNT($F992:$J992)&lt;3),"",IF(N(INDEX(Lists!$C$2:$C$40,MATCH($C992,Lists!$A$2:$A$40,0)))=0,"",IF(MIN($F992:$J992)&gt;=INDEX(Lists!$C$2:$C$40,MATCH($C992,Lists!$A$2:$A$40,0)),"LEVEL UP",""))),"")</f>
        <v/>
      </c>
      <c r="N992" s="20"/>
      <c r="O992" s="19"/>
    </row>
    <row r="993" customFormat="false" ht="15" hidden="false" customHeight="false" outlineLevel="0" collapsed="false">
      <c r="A993" s="17"/>
      <c r="B993" s="18" t="str">
        <f aca="false">IF($A993="","",TEXT($A993,"ddd"))</f>
        <v/>
      </c>
      <c r="C993" s="19"/>
      <c r="D993" s="19"/>
      <c r="E993" s="18" t="str">
        <f aca="false">IF($C993="","",IFERROR(INDEX(Lists!$B$2:$B$40,MATCH($C993,Lists!$A$2:$A$40,0)),""))</f>
        <v/>
      </c>
      <c r="F993" s="20"/>
      <c r="G993" s="20"/>
      <c r="H993" s="20"/>
      <c r="I993" s="20"/>
      <c r="J993" s="20"/>
      <c r="K993" s="18" t="str">
        <f aca="false">IF(COUNT($F993:$J993)=0,"",SUM($F993:$J993))</f>
        <v/>
      </c>
      <c r="L993" s="18" t="str">
        <f aca="false">IF(COUNT($F993:$J993)=0,"",MAX($F993:$J993))</f>
        <v/>
      </c>
      <c r="M993" s="18" t="str">
        <f aca="false">IFERROR(IF(OR($C993="",COUNT($F993:$J993)&lt;3),"",IF(N(INDEX(Lists!$C$2:$C$40,MATCH($C993,Lists!$A$2:$A$40,0)))=0,"",IF(MIN($F993:$J993)&gt;=INDEX(Lists!$C$2:$C$40,MATCH($C993,Lists!$A$2:$A$40,0)),"LEVEL UP",""))),"")</f>
        <v/>
      </c>
      <c r="N993" s="20"/>
      <c r="O993" s="19"/>
    </row>
    <row r="994" customFormat="false" ht="15" hidden="false" customHeight="false" outlineLevel="0" collapsed="false">
      <c r="A994" s="17"/>
      <c r="B994" s="18" t="str">
        <f aca="false">IF($A994="","",TEXT($A994,"ddd"))</f>
        <v/>
      </c>
      <c r="C994" s="19"/>
      <c r="D994" s="19"/>
      <c r="E994" s="18" t="str">
        <f aca="false">IF($C994="","",IFERROR(INDEX(Lists!$B$2:$B$40,MATCH($C994,Lists!$A$2:$A$40,0)),""))</f>
        <v/>
      </c>
      <c r="F994" s="20"/>
      <c r="G994" s="20"/>
      <c r="H994" s="20"/>
      <c r="I994" s="20"/>
      <c r="J994" s="20"/>
      <c r="K994" s="18" t="str">
        <f aca="false">IF(COUNT($F994:$J994)=0,"",SUM($F994:$J994))</f>
        <v/>
      </c>
      <c r="L994" s="18" t="str">
        <f aca="false">IF(COUNT($F994:$J994)=0,"",MAX($F994:$J994))</f>
        <v/>
      </c>
      <c r="M994" s="18" t="str">
        <f aca="false">IFERROR(IF(OR($C994="",COUNT($F994:$J994)&lt;3),"",IF(N(INDEX(Lists!$C$2:$C$40,MATCH($C994,Lists!$A$2:$A$40,0)))=0,"",IF(MIN($F994:$J994)&gt;=INDEX(Lists!$C$2:$C$40,MATCH($C994,Lists!$A$2:$A$40,0)),"LEVEL UP",""))),"")</f>
        <v/>
      </c>
      <c r="N994" s="20"/>
      <c r="O994" s="19"/>
    </row>
    <row r="995" customFormat="false" ht="15" hidden="false" customHeight="false" outlineLevel="0" collapsed="false">
      <c r="A995" s="17"/>
      <c r="B995" s="18" t="str">
        <f aca="false">IF($A995="","",TEXT($A995,"ddd"))</f>
        <v/>
      </c>
      <c r="C995" s="19"/>
      <c r="D995" s="19"/>
      <c r="E995" s="18" t="str">
        <f aca="false">IF($C995="","",IFERROR(INDEX(Lists!$B$2:$B$40,MATCH($C995,Lists!$A$2:$A$40,0)),""))</f>
        <v/>
      </c>
      <c r="F995" s="20"/>
      <c r="G995" s="20"/>
      <c r="H995" s="20"/>
      <c r="I995" s="20"/>
      <c r="J995" s="20"/>
      <c r="K995" s="18" t="str">
        <f aca="false">IF(COUNT($F995:$J995)=0,"",SUM($F995:$J995))</f>
        <v/>
      </c>
      <c r="L995" s="18" t="str">
        <f aca="false">IF(COUNT($F995:$J995)=0,"",MAX($F995:$J995))</f>
        <v/>
      </c>
      <c r="M995" s="18" t="str">
        <f aca="false">IFERROR(IF(OR($C995="",COUNT($F995:$J995)&lt;3),"",IF(N(INDEX(Lists!$C$2:$C$40,MATCH($C995,Lists!$A$2:$A$40,0)))=0,"",IF(MIN($F995:$J995)&gt;=INDEX(Lists!$C$2:$C$40,MATCH($C995,Lists!$A$2:$A$40,0)),"LEVEL UP",""))),"")</f>
        <v/>
      </c>
      <c r="N995" s="20"/>
      <c r="O995" s="19"/>
    </row>
    <row r="996" customFormat="false" ht="15" hidden="false" customHeight="false" outlineLevel="0" collapsed="false">
      <c r="A996" s="17"/>
      <c r="B996" s="18" t="str">
        <f aca="false">IF($A996="","",TEXT($A996,"ddd"))</f>
        <v/>
      </c>
      <c r="C996" s="19"/>
      <c r="D996" s="19"/>
      <c r="E996" s="18" t="str">
        <f aca="false">IF($C996="","",IFERROR(INDEX(Lists!$B$2:$B$40,MATCH($C996,Lists!$A$2:$A$40,0)),""))</f>
        <v/>
      </c>
      <c r="F996" s="20"/>
      <c r="G996" s="20"/>
      <c r="H996" s="20"/>
      <c r="I996" s="20"/>
      <c r="J996" s="20"/>
      <c r="K996" s="18" t="str">
        <f aca="false">IF(COUNT($F996:$J996)=0,"",SUM($F996:$J996))</f>
        <v/>
      </c>
      <c r="L996" s="18" t="str">
        <f aca="false">IF(COUNT($F996:$J996)=0,"",MAX($F996:$J996))</f>
        <v/>
      </c>
      <c r="M996" s="18" t="str">
        <f aca="false">IFERROR(IF(OR($C996="",COUNT($F996:$J996)&lt;3),"",IF(N(INDEX(Lists!$C$2:$C$40,MATCH($C996,Lists!$A$2:$A$40,0)))=0,"",IF(MIN($F996:$J996)&gt;=INDEX(Lists!$C$2:$C$40,MATCH($C996,Lists!$A$2:$A$40,0)),"LEVEL UP",""))),"")</f>
        <v/>
      </c>
      <c r="N996" s="20"/>
      <c r="O996" s="19"/>
    </row>
    <row r="997" customFormat="false" ht="15" hidden="false" customHeight="false" outlineLevel="0" collapsed="false">
      <c r="A997" s="17"/>
      <c r="B997" s="18" t="str">
        <f aca="false">IF($A997="","",TEXT($A997,"ddd"))</f>
        <v/>
      </c>
      <c r="C997" s="19"/>
      <c r="D997" s="19"/>
      <c r="E997" s="18" t="str">
        <f aca="false">IF($C997="","",IFERROR(INDEX(Lists!$B$2:$B$40,MATCH($C997,Lists!$A$2:$A$40,0)),""))</f>
        <v/>
      </c>
      <c r="F997" s="20"/>
      <c r="G997" s="20"/>
      <c r="H997" s="20"/>
      <c r="I997" s="20"/>
      <c r="J997" s="20"/>
      <c r="K997" s="18" t="str">
        <f aca="false">IF(COUNT($F997:$J997)=0,"",SUM($F997:$J997))</f>
        <v/>
      </c>
      <c r="L997" s="18" t="str">
        <f aca="false">IF(COUNT($F997:$J997)=0,"",MAX($F997:$J997))</f>
        <v/>
      </c>
      <c r="M997" s="18" t="str">
        <f aca="false">IFERROR(IF(OR($C997="",COUNT($F997:$J997)&lt;3),"",IF(N(INDEX(Lists!$C$2:$C$40,MATCH($C997,Lists!$A$2:$A$40,0)))=0,"",IF(MIN($F997:$J997)&gt;=INDEX(Lists!$C$2:$C$40,MATCH($C997,Lists!$A$2:$A$40,0)),"LEVEL UP",""))),"")</f>
        <v/>
      </c>
      <c r="N997" s="20"/>
      <c r="O997" s="19"/>
    </row>
    <row r="998" customFormat="false" ht="15" hidden="false" customHeight="false" outlineLevel="0" collapsed="false">
      <c r="A998" s="17"/>
      <c r="B998" s="18" t="str">
        <f aca="false">IF($A998="","",TEXT($A998,"ddd"))</f>
        <v/>
      </c>
      <c r="C998" s="19"/>
      <c r="D998" s="19"/>
      <c r="E998" s="18" t="str">
        <f aca="false">IF($C998="","",IFERROR(INDEX(Lists!$B$2:$B$40,MATCH($C998,Lists!$A$2:$A$40,0)),""))</f>
        <v/>
      </c>
      <c r="F998" s="20"/>
      <c r="G998" s="20"/>
      <c r="H998" s="20"/>
      <c r="I998" s="20"/>
      <c r="J998" s="20"/>
      <c r="K998" s="18" t="str">
        <f aca="false">IF(COUNT($F998:$J998)=0,"",SUM($F998:$J998))</f>
        <v/>
      </c>
      <c r="L998" s="18" t="str">
        <f aca="false">IF(COUNT($F998:$J998)=0,"",MAX($F998:$J998))</f>
        <v/>
      </c>
      <c r="M998" s="18" t="str">
        <f aca="false">IFERROR(IF(OR($C998="",COUNT($F998:$J998)&lt;3),"",IF(N(INDEX(Lists!$C$2:$C$40,MATCH($C998,Lists!$A$2:$A$40,0)))=0,"",IF(MIN($F998:$J998)&gt;=INDEX(Lists!$C$2:$C$40,MATCH($C998,Lists!$A$2:$A$40,0)),"LEVEL UP",""))),"")</f>
        <v/>
      </c>
      <c r="N998" s="20"/>
      <c r="O998" s="19"/>
    </row>
    <row r="999" customFormat="false" ht="15" hidden="false" customHeight="false" outlineLevel="0" collapsed="false">
      <c r="A999" s="17"/>
      <c r="B999" s="18" t="str">
        <f aca="false">IF($A999="","",TEXT($A999,"ddd"))</f>
        <v/>
      </c>
      <c r="C999" s="19"/>
      <c r="D999" s="19"/>
      <c r="E999" s="18" t="str">
        <f aca="false">IF($C999="","",IFERROR(INDEX(Lists!$B$2:$B$40,MATCH($C999,Lists!$A$2:$A$40,0)),""))</f>
        <v/>
      </c>
      <c r="F999" s="20"/>
      <c r="G999" s="20"/>
      <c r="H999" s="20"/>
      <c r="I999" s="20"/>
      <c r="J999" s="20"/>
      <c r="K999" s="18" t="str">
        <f aca="false">IF(COUNT($F999:$J999)=0,"",SUM($F999:$J999))</f>
        <v/>
      </c>
      <c r="L999" s="18" t="str">
        <f aca="false">IF(COUNT($F999:$J999)=0,"",MAX($F999:$J999))</f>
        <v/>
      </c>
      <c r="M999" s="18" t="str">
        <f aca="false">IFERROR(IF(OR($C999="",COUNT($F999:$J999)&lt;3),"",IF(N(INDEX(Lists!$C$2:$C$40,MATCH($C999,Lists!$A$2:$A$40,0)))=0,"",IF(MIN($F999:$J999)&gt;=INDEX(Lists!$C$2:$C$40,MATCH($C999,Lists!$A$2:$A$40,0)),"LEVEL UP",""))),"")</f>
        <v/>
      </c>
      <c r="N999" s="20"/>
      <c r="O999" s="19"/>
    </row>
    <row r="1000" customFormat="false" ht="15" hidden="false" customHeight="false" outlineLevel="0" collapsed="false">
      <c r="A1000" s="17"/>
      <c r="B1000" s="18" t="str">
        <f aca="false">IF($A1000="","",TEXT($A1000,"ddd"))</f>
        <v/>
      </c>
      <c r="C1000" s="19"/>
      <c r="D1000" s="19"/>
      <c r="E1000" s="18" t="str">
        <f aca="false">IF($C1000="","",IFERROR(INDEX(Lists!$B$2:$B$40,MATCH($C1000,Lists!$A$2:$A$40,0)),""))</f>
        <v/>
      </c>
      <c r="F1000" s="20"/>
      <c r="G1000" s="20"/>
      <c r="H1000" s="20"/>
      <c r="I1000" s="20"/>
      <c r="J1000" s="20"/>
      <c r="K1000" s="18" t="str">
        <f aca="false">IF(COUNT($F1000:$J1000)=0,"",SUM($F1000:$J1000))</f>
        <v/>
      </c>
      <c r="L1000" s="18" t="str">
        <f aca="false">IF(COUNT($F1000:$J1000)=0,"",MAX($F1000:$J1000))</f>
        <v/>
      </c>
      <c r="M1000" s="18" t="str">
        <f aca="false">IFERROR(IF(OR($C1000="",COUNT($F1000:$J1000)&lt;3),"",IF(N(INDEX(Lists!$C$2:$C$40,MATCH($C1000,Lists!$A$2:$A$40,0)))=0,"",IF(MIN($F1000:$J1000)&gt;=INDEX(Lists!$C$2:$C$40,MATCH($C1000,Lists!$A$2:$A$40,0)),"LEVEL UP",""))),"")</f>
        <v/>
      </c>
      <c r="N1000" s="20"/>
      <c r="O1000" s="19"/>
    </row>
    <row r="1001" customFormat="false" ht="15" hidden="false" customHeight="false" outlineLevel="0" collapsed="false">
      <c r="A1001" s="17"/>
      <c r="B1001" s="18" t="str">
        <f aca="false">IF($A1001="","",TEXT($A1001,"ddd"))</f>
        <v/>
      </c>
      <c r="C1001" s="19"/>
      <c r="D1001" s="19"/>
      <c r="E1001" s="18" t="str">
        <f aca="false">IF($C1001="","",IFERROR(INDEX(Lists!$B$2:$B$40,MATCH($C1001,Lists!$A$2:$A$40,0)),""))</f>
        <v/>
      </c>
      <c r="F1001" s="20"/>
      <c r="G1001" s="20"/>
      <c r="H1001" s="20"/>
      <c r="I1001" s="20"/>
      <c r="J1001" s="20"/>
      <c r="K1001" s="18" t="str">
        <f aca="false">IF(COUNT($F1001:$J1001)=0,"",SUM($F1001:$J1001))</f>
        <v/>
      </c>
      <c r="L1001" s="18" t="str">
        <f aca="false">IF(COUNT($F1001:$J1001)=0,"",MAX($F1001:$J1001))</f>
        <v/>
      </c>
      <c r="M1001" s="18" t="str">
        <f aca="false">IFERROR(IF(OR($C1001="",COUNT($F1001:$J1001)&lt;3),"",IF(N(INDEX(Lists!$C$2:$C$40,MATCH($C1001,Lists!$A$2:$A$40,0)))=0,"",IF(MIN($F1001:$J1001)&gt;=INDEX(Lists!$C$2:$C$40,MATCH($C1001,Lists!$A$2:$A$40,0)),"LEVEL UP",""))),"")</f>
        <v/>
      </c>
      <c r="N1001" s="20"/>
      <c r="O1001" s="19"/>
    </row>
    <row r="1002" customFormat="false" ht="15" hidden="false" customHeight="false" outlineLevel="0" collapsed="false">
      <c r="A1002" s="17"/>
      <c r="B1002" s="18" t="str">
        <f aca="false">IF($A1002="","",TEXT($A1002,"ddd"))</f>
        <v/>
      </c>
      <c r="C1002" s="19"/>
      <c r="D1002" s="19"/>
      <c r="E1002" s="18" t="str">
        <f aca="false">IF($C1002="","",IFERROR(INDEX(Lists!$B$2:$B$40,MATCH($C1002,Lists!$A$2:$A$40,0)),""))</f>
        <v/>
      </c>
      <c r="F1002" s="20"/>
      <c r="G1002" s="20"/>
      <c r="H1002" s="20"/>
      <c r="I1002" s="20"/>
      <c r="J1002" s="20"/>
      <c r="K1002" s="18" t="str">
        <f aca="false">IF(COUNT($F1002:$J1002)=0,"",SUM($F1002:$J1002))</f>
        <v/>
      </c>
      <c r="L1002" s="18" t="str">
        <f aca="false">IF(COUNT($F1002:$J1002)=0,"",MAX($F1002:$J1002))</f>
        <v/>
      </c>
      <c r="M1002" s="18" t="str">
        <f aca="false">IFERROR(IF(OR($C1002="",COUNT($F1002:$J1002)&lt;3),"",IF(N(INDEX(Lists!$C$2:$C$40,MATCH($C1002,Lists!$A$2:$A$40,0)))=0,"",IF(MIN($F1002:$J1002)&gt;=INDEX(Lists!$C$2:$C$40,MATCH($C1002,Lists!$A$2:$A$40,0)),"LEVEL UP",""))),"")</f>
        <v/>
      </c>
      <c r="N1002" s="20"/>
      <c r="O1002" s="19"/>
    </row>
    <row r="1003" customFormat="false" ht="15" hidden="false" customHeight="false" outlineLevel="0" collapsed="false">
      <c r="A1003" s="17"/>
      <c r="B1003" s="18" t="str">
        <f aca="false">IF($A1003="","",TEXT($A1003,"ddd"))</f>
        <v/>
      </c>
      <c r="C1003" s="19"/>
      <c r="D1003" s="19"/>
      <c r="E1003" s="18" t="str">
        <f aca="false">IF($C1003="","",IFERROR(INDEX(Lists!$B$2:$B$40,MATCH($C1003,Lists!$A$2:$A$40,0)),""))</f>
        <v/>
      </c>
      <c r="F1003" s="20"/>
      <c r="G1003" s="20"/>
      <c r="H1003" s="20"/>
      <c r="I1003" s="20"/>
      <c r="J1003" s="20"/>
      <c r="K1003" s="18" t="str">
        <f aca="false">IF(COUNT($F1003:$J1003)=0,"",SUM($F1003:$J1003))</f>
        <v/>
      </c>
      <c r="L1003" s="18" t="str">
        <f aca="false">IF(COUNT($F1003:$J1003)=0,"",MAX($F1003:$J1003))</f>
        <v/>
      </c>
      <c r="M1003" s="18" t="str">
        <f aca="false">IFERROR(IF(OR($C1003="",COUNT($F1003:$J1003)&lt;3),"",IF(N(INDEX(Lists!$C$2:$C$40,MATCH($C1003,Lists!$A$2:$A$40,0)))=0,"",IF(MIN($F1003:$J1003)&gt;=INDEX(Lists!$C$2:$C$40,MATCH($C1003,Lists!$A$2:$A$40,0)),"LEVEL UP",""))),"")</f>
        <v/>
      </c>
      <c r="N1003" s="20"/>
      <c r="O1003" s="19"/>
    </row>
    <row r="1004" customFormat="false" ht="15" hidden="false" customHeight="false" outlineLevel="0" collapsed="false">
      <c r="A1004" s="17"/>
      <c r="B1004" s="18" t="str">
        <f aca="false">IF($A1004="","",TEXT($A1004,"ddd"))</f>
        <v/>
      </c>
      <c r="C1004" s="19"/>
      <c r="D1004" s="19"/>
      <c r="E1004" s="18" t="str">
        <f aca="false">IF($C1004="","",IFERROR(INDEX(Lists!$B$2:$B$40,MATCH($C1004,Lists!$A$2:$A$40,0)),""))</f>
        <v/>
      </c>
      <c r="F1004" s="20"/>
      <c r="G1004" s="20"/>
      <c r="H1004" s="20"/>
      <c r="I1004" s="20"/>
      <c r="J1004" s="20"/>
      <c r="K1004" s="18" t="str">
        <f aca="false">IF(COUNT($F1004:$J1004)=0,"",SUM($F1004:$J1004))</f>
        <v/>
      </c>
      <c r="L1004" s="18" t="str">
        <f aca="false">IF(COUNT($F1004:$J1004)=0,"",MAX($F1004:$J1004))</f>
        <v/>
      </c>
      <c r="M1004" s="18" t="str">
        <f aca="false">IFERROR(IF(OR($C1004="",COUNT($F1004:$J1004)&lt;3),"",IF(N(INDEX(Lists!$C$2:$C$40,MATCH($C1004,Lists!$A$2:$A$40,0)))=0,"",IF(MIN($F1004:$J1004)&gt;=INDEX(Lists!$C$2:$C$40,MATCH($C1004,Lists!$A$2:$A$40,0)),"LEVEL UP",""))),"")</f>
        <v/>
      </c>
      <c r="N1004" s="20"/>
      <c r="O1004" s="19"/>
    </row>
    <row r="1005" customFormat="false" ht="15" hidden="false" customHeight="false" outlineLevel="0" collapsed="false">
      <c r="A1005" s="17"/>
      <c r="B1005" s="18" t="str">
        <f aca="false">IF($A1005="","",TEXT($A1005,"ddd"))</f>
        <v/>
      </c>
      <c r="C1005" s="19"/>
      <c r="D1005" s="19"/>
      <c r="E1005" s="18" t="str">
        <f aca="false">IF($C1005="","",IFERROR(INDEX(Lists!$B$2:$B$40,MATCH($C1005,Lists!$A$2:$A$40,0)),""))</f>
        <v/>
      </c>
      <c r="F1005" s="20"/>
      <c r="G1005" s="20"/>
      <c r="H1005" s="20"/>
      <c r="I1005" s="20"/>
      <c r="J1005" s="20"/>
      <c r="K1005" s="18" t="str">
        <f aca="false">IF(COUNT($F1005:$J1005)=0,"",SUM($F1005:$J1005))</f>
        <v/>
      </c>
      <c r="L1005" s="18" t="str">
        <f aca="false">IF(COUNT($F1005:$J1005)=0,"",MAX($F1005:$J1005))</f>
        <v/>
      </c>
      <c r="M1005" s="18" t="str">
        <f aca="false">IFERROR(IF(OR($C1005="",COUNT($F1005:$J1005)&lt;3),"",IF(N(INDEX(Lists!$C$2:$C$40,MATCH($C1005,Lists!$A$2:$A$40,0)))=0,"",IF(MIN($F1005:$J1005)&gt;=INDEX(Lists!$C$2:$C$40,MATCH($C1005,Lists!$A$2:$A$40,0)),"LEVEL UP",""))),"")</f>
        <v/>
      </c>
      <c r="N1005" s="20"/>
      <c r="O1005" s="19"/>
    </row>
    <row r="1006" customFormat="false" ht="15" hidden="false" customHeight="false" outlineLevel="0" collapsed="false">
      <c r="A1006" s="17"/>
      <c r="B1006" s="18" t="str">
        <f aca="false">IF($A1006="","",TEXT($A1006,"ddd"))</f>
        <v/>
      </c>
      <c r="C1006" s="19"/>
      <c r="D1006" s="19"/>
      <c r="E1006" s="18" t="str">
        <f aca="false">IF($C1006="","",IFERROR(INDEX(Lists!$B$2:$B$40,MATCH($C1006,Lists!$A$2:$A$40,0)),""))</f>
        <v/>
      </c>
      <c r="F1006" s="20"/>
      <c r="G1006" s="20"/>
      <c r="H1006" s="20"/>
      <c r="I1006" s="20"/>
      <c r="J1006" s="20"/>
      <c r="K1006" s="18" t="str">
        <f aca="false">IF(COUNT($F1006:$J1006)=0,"",SUM($F1006:$J1006))</f>
        <v/>
      </c>
      <c r="L1006" s="18" t="str">
        <f aca="false">IF(COUNT($F1006:$J1006)=0,"",MAX($F1006:$J1006))</f>
        <v/>
      </c>
      <c r="M1006" s="18" t="str">
        <f aca="false">IFERROR(IF(OR($C1006="",COUNT($F1006:$J1006)&lt;3),"",IF(N(INDEX(Lists!$C$2:$C$40,MATCH($C1006,Lists!$A$2:$A$40,0)))=0,"",IF(MIN($F1006:$J1006)&gt;=INDEX(Lists!$C$2:$C$40,MATCH($C1006,Lists!$A$2:$A$40,0)),"LEVEL UP",""))),"")</f>
        <v/>
      </c>
      <c r="N1006" s="20"/>
      <c r="O1006" s="19"/>
    </row>
    <row r="1007" customFormat="false" ht="15" hidden="false" customHeight="false" outlineLevel="0" collapsed="false">
      <c r="A1007" s="17"/>
      <c r="B1007" s="18" t="str">
        <f aca="false">IF($A1007="","",TEXT($A1007,"ddd"))</f>
        <v/>
      </c>
      <c r="C1007" s="19"/>
      <c r="D1007" s="19"/>
      <c r="E1007" s="18" t="str">
        <f aca="false">IF($C1007="","",IFERROR(INDEX(Lists!$B$2:$B$40,MATCH($C1007,Lists!$A$2:$A$40,0)),""))</f>
        <v/>
      </c>
      <c r="F1007" s="20"/>
      <c r="G1007" s="20"/>
      <c r="H1007" s="20"/>
      <c r="I1007" s="20"/>
      <c r="J1007" s="20"/>
      <c r="K1007" s="18" t="str">
        <f aca="false">IF(COUNT($F1007:$J1007)=0,"",SUM($F1007:$J1007))</f>
        <v/>
      </c>
      <c r="L1007" s="18" t="str">
        <f aca="false">IF(COUNT($F1007:$J1007)=0,"",MAX($F1007:$J1007))</f>
        <v/>
      </c>
      <c r="M1007" s="18" t="str">
        <f aca="false">IFERROR(IF(OR($C1007="",COUNT($F1007:$J1007)&lt;3),"",IF(N(INDEX(Lists!$C$2:$C$40,MATCH($C1007,Lists!$A$2:$A$40,0)))=0,"",IF(MIN($F1007:$J1007)&gt;=INDEX(Lists!$C$2:$C$40,MATCH($C1007,Lists!$A$2:$A$40,0)),"LEVEL UP",""))),"")</f>
        <v/>
      </c>
      <c r="N1007" s="20"/>
      <c r="O1007" s="19"/>
    </row>
    <row r="1008" customFormat="false" ht="15" hidden="false" customHeight="false" outlineLevel="0" collapsed="false">
      <c r="A1008" s="17"/>
      <c r="B1008" s="18" t="str">
        <f aca="false">IF($A1008="","",TEXT($A1008,"ddd"))</f>
        <v/>
      </c>
      <c r="C1008" s="19"/>
      <c r="D1008" s="19"/>
      <c r="E1008" s="18" t="str">
        <f aca="false">IF($C1008="","",IFERROR(INDEX(Lists!$B$2:$B$40,MATCH($C1008,Lists!$A$2:$A$40,0)),""))</f>
        <v/>
      </c>
      <c r="F1008" s="20"/>
      <c r="G1008" s="20"/>
      <c r="H1008" s="20"/>
      <c r="I1008" s="20"/>
      <c r="J1008" s="20"/>
      <c r="K1008" s="18" t="str">
        <f aca="false">IF(COUNT($F1008:$J1008)=0,"",SUM($F1008:$J1008))</f>
        <v/>
      </c>
      <c r="L1008" s="18" t="str">
        <f aca="false">IF(COUNT($F1008:$J1008)=0,"",MAX($F1008:$J1008))</f>
        <v/>
      </c>
      <c r="M1008" s="18" t="str">
        <f aca="false">IFERROR(IF(OR($C1008="",COUNT($F1008:$J1008)&lt;3),"",IF(N(INDEX(Lists!$C$2:$C$40,MATCH($C1008,Lists!$A$2:$A$40,0)))=0,"",IF(MIN($F1008:$J1008)&gt;=INDEX(Lists!$C$2:$C$40,MATCH($C1008,Lists!$A$2:$A$40,0)),"LEVEL UP",""))),"")</f>
        <v/>
      </c>
      <c r="N1008" s="20"/>
      <c r="O1008" s="19"/>
    </row>
    <row r="1009" customFormat="false" ht="15" hidden="false" customHeight="false" outlineLevel="0" collapsed="false">
      <c r="A1009" s="17"/>
      <c r="B1009" s="18" t="str">
        <f aca="false">IF($A1009="","",TEXT($A1009,"ddd"))</f>
        <v/>
      </c>
      <c r="C1009" s="19"/>
      <c r="D1009" s="19"/>
      <c r="E1009" s="18" t="str">
        <f aca="false">IF($C1009="","",IFERROR(INDEX(Lists!$B$2:$B$40,MATCH($C1009,Lists!$A$2:$A$40,0)),""))</f>
        <v/>
      </c>
      <c r="F1009" s="20"/>
      <c r="G1009" s="20"/>
      <c r="H1009" s="20"/>
      <c r="I1009" s="20"/>
      <c r="J1009" s="20"/>
      <c r="K1009" s="18" t="str">
        <f aca="false">IF(COUNT($F1009:$J1009)=0,"",SUM($F1009:$J1009))</f>
        <v/>
      </c>
      <c r="L1009" s="18" t="str">
        <f aca="false">IF(COUNT($F1009:$J1009)=0,"",MAX($F1009:$J1009))</f>
        <v/>
      </c>
      <c r="M1009" s="18" t="str">
        <f aca="false">IFERROR(IF(OR($C1009="",COUNT($F1009:$J1009)&lt;3),"",IF(N(INDEX(Lists!$C$2:$C$40,MATCH($C1009,Lists!$A$2:$A$40,0)))=0,"",IF(MIN($F1009:$J1009)&gt;=INDEX(Lists!$C$2:$C$40,MATCH($C1009,Lists!$A$2:$A$40,0)),"LEVEL UP",""))),"")</f>
        <v/>
      </c>
      <c r="N1009" s="20"/>
      <c r="O1009" s="19"/>
    </row>
    <row r="1010" customFormat="false" ht="15" hidden="false" customHeight="false" outlineLevel="0" collapsed="false">
      <c r="A1010" s="17"/>
      <c r="B1010" s="18" t="str">
        <f aca="false">IF($A1010="","",TEXT($A1010,"ddd"))</f>
        <v/>
      </c>
      <c r="C1010" s="19"/>
      <c r="D1010" s="19"/>
      <c r="E1010" s="18" t="str">
        <f aca="false">IF($C1010="","",IFERROR(INDEX(Lists!$B$2:$B$40,MATCH($C1010,Lists!$A$2:$A$40,0)),""))</f>
        <v/>
      </c>
      <c r="F1010" s="20"/>
      <c r="G1010" s="20"/>
      <c r="H1010" s="20"/>
      <c r="I1010" s="20"/>
      <c r="J1010" s="20"/>
      <c r="K1010" s="18" t="str">
        <f aca="false">IF(COUNT($F1010:$J1010)=0,"",SUM($F1010:$J1010))</f>
        <v/>
      </c>
      <c r="L1010" s="18" t="str">
        <f aca="false">IF(COUNT($F1010:$J1010)=0,"",MAX($F1010:$J1010))</f>
        <v/>
      </c>
      <c r="M1010" s="18" t="str">
        <f aca="false">IFERROR(IF(OR($C1010="",COUNT($F1010:$J1010)&lt;3),"",IF(N(INDEX(Lists!$C$2:$C$40,MATCH($C1010,Lists!$A$2:$A$40,0)))=0,"",IF(MIN($F1010:$J1010)&gt;=INDEX(Lists!$C$2:$C$40,MATCH($C1010,Lists!$A$2:$A$40,0)),"LEVEL UP",""))),"")</f>
        <v/>
      </c>
      <c r="N1010" s="20"/>
      <c r="O1010" s="19"/>
    </row>
    <row r="1011" customFormat="false" ht="15" hidden="false" customHeight="false" outlineLevel="0" collapsed="false">
      <c r="A1011" s="17"/>
      <c r="B1011" s="18" t="str">
        <f aca="false">IF($A1011="","",TEXT($A1011,"ddd"))</f>
        <v/>
      </c>
      <c r="C1011" s="19"/>
      <c r="D1011" s="19"/>
      <c r="E1011" s="18" t="str">
        <f aca="false">IF($C1011="","",IFERROR(INDEX(Lists!$B$2:$B$40,MATCH($C1011,Lists!$A$2:$A$40,0)),""))</f>
        <v/>
      </c>
      <c r="F1011" s="20"/>
      <c r="G1011" s="20"/>
      <c r="H1011" s="20"/>
      <c r="I1011" s="20"/>
      <c r="J1011" s="20"/>
      <c r="K1011" s="18" t="str">
        <f aca="false">IF(COUNT($F1011:$J1011)=0,"",SUM($F1011:$J1011))</f>
        <v/>
      </c>
      <c r="L1011" s="18" t="str">
        <f aca="false">IF(COUNT($F1011:$J1011)=0,"",MAX($F1011:$J1011))</f>
        <v/>
      </c>
      <c r="M1011" s="18" t="str">
        <f aca="false">IFERROR(IF(OR($C1011="",COUNT($F1011:$J1011)&lt;3),"",IF(N(INDEX(Lists!$C$2:$C$40,MATCH($C1011,Lists!$A$2:$A$40,0)))=0,"",IF(MIN($F1011:$J1011)&gt;=INDEX(Lists!$C$2:$C$40,MATCH($C1011,Lists!$A$2:$A$40,0)),"LEVEL UP",""))),"")</f>
        <v/>
      </c>
      <c r="N1011" s="20"/>
      <c r="O1011" s="19"/>
    </row>
    <row r="1012" customFormat="false" ht="15" hidden="false" customHeight="false" outlineLevel="0" collapsed="false">
      <c r="A1012" s="17"/>
      <c r="B1012" s="18" t="str">
        <f aca="false">IF($A1012="","",TEXT($A1012,"ddd"))</f>
        <v/>
      </c>
      <c r="C1012" s="19"/>
      <c r="D1012" s="19"/>
      <c r="E1012" s="18" t="str">
        <f aca="false">IF($C1012="","",IFERROR(INDEX(Lists!$B$2:$B$40,MATCH($C1012,Lists!$A$2:$A$40,0)),""))</f>
        <v/>
      </c>
      <c r="F1012" s="20"/>
      <c r="G1012" s="20"/>
      <c r="H1012" s="20"/>
      <c r="I1012" s="20"/>
      <c r="J1012" s="20"/>
      <c r="K1012" s="18" t="str">
        <f aca="false">IF(COUNT($F1012:$J1012)=0,"",SUM($F1012:$J1012))</f>
        <v/>
      </c>
      <c r="L1012" s="18" t="str">
        <f aca="false">IF(COUNT($F1012:$J1012)=0,"",MAX($F1012:$J1012))</f>
        <v/>
      </c>
      <c r="M1012" s="18" t="str">
        <f aca="false">IFERROR(IF(OR($C1012="",COUNT($F1012:$J1012)&lt;3),"",IF(N(INDEX(Lists!$C$2:$C$40,MATCH($C1012,Lists!$A$2:$A$40,0)))=0,"",IF(MIN($F1012:$J1012)&gt;=INDEX(Lists!$C$2:$C$40,MATCH($C1012,Lists!$A$2:$A$40,0)),"LEVEL UP",""))),"")</f>
        <v/>
      </c>
      <c r="N1012" s="20"/>
      <c r="O1012" s="19"/>
    </row>
    <row r="1013" customFormat="false" ht="15" hidden="false" customHeight="false" outlineLevel="0" collapsed="false">
      <c r="A1013" s="17"/>
      <c r="B1013" s="18" t="str">
        <f aca="false">IF($A1013="","",TEXT($A1013,"ddd"))</f>
        <v/>
      </c>
      <c r="C1013" s="19"/>
      <c r="D1013" s="19"/>
      <c r="E1013" s="18" t="str">
        <f aca="false">IF($C1013="","",IFERROR(INDEX(Lists!$B$2:$B$40,MATCH($C1013,Lists!$A$2:$A$40,0)),""))</f>
        <v/>
      </c>
      <c r="F1013" s="20"/>
      <c r="G1013" s="20"/>
      <c r="H1013" s="20"/>
      <c r="I1013" s="20"/>
      <c r="J1013" s="20"/>
      <c r="K1013" s="18" t="str">
        <f aca="false">IF(COUNT($F1013:$J1013)=0,"",SUM($F1013:$J1013))</f>
        <v/>
      </c>
      <c r="L1013" s="18" t="str">
        <f aca="false">IF(COUNT($F1013:$J1013)=0,"",MAX($F1013:$J1013))</f>
        <v/>
      </c>
      <c r="M1013" s="18" t="str">
        <f aca="false">IFERROR(IF(OR($C1013="",COUNT($F1013:$J1013)&lt;3),"",IF(N(INDEX(Lists!$C$2:$C$40,MATCH($C1013,Lists!$A$2:$A$40,0)))=0,"",IF(MIN($F1013:$J1013)&gt;=INDEX(Lists!$C$2:$C$40,MATCH($C1013,Lists!$A$2:$A$40,0)),"LEVEL UP",""))),"")</f>
        <v/>
      </c>
      <c r="N1013" s="20"/>
      <c r="O1013" s="19"/>
    </row>
    <row r="1014" customFormat="false" ht="15" hidden="false" customHeight="false" outlineLevel="0" collapsed="false">
      <c r="A1014" s="17"/>
      <c r="B1014" s="18" t="str">
        <f aca="false">IF($A1014="","",TEXT($A1014,"ddd"))</f>
        <v/>
      </c>
      <c r="C1014" s="19"/>
      <c r="D1014" s="19"/>
      <c r="E1014" s="18" t="str">
        <f aca="false">IF($C1014="","",IFERROR(INDEX(Lists!$B$2:$B$40,MATCH($C1014,Lists!$A$2:$A$40,0)),""))</f>
        <v/>
      </c>
      <c r="F1014" s="20"/>
      <c r="G1014" s="20"/>
      <c r="H1014" s="20"/>
      <c r="I1014" s="20"/>
      <c r="J1014" s="20"/>
      <c r="K1014" s="18" t="str">
        <f aca="false">IF(COUNT($F1014:$J1014)=0,"",SUM($F1014:$J1014))</f>
        <v/>
      </c>
      <c r="L1014" s="18" t="str">
        <f aca="false">IF(COUNT($F1014:$J1014)=0,"",MAX($F1014:$J1014))</f>
        <v/>
      </c>
      <c r="M1014" s="18" t="str">
        <f aca="false">IFERROR(IF(OR($C1014="",COUNT($F1014:$J1014)&lt;3),"",IF(N(INDEX(Lists!$C$2:$C$40,MATCH($C1014,Lists!$A$2:$A$40,0)))=0,"",IF(MIN($F1014:$J1014)&gt;=INDEX(Lists!$C$2:$C$40,MATCH($C1014,Lists!$A$2:$A$40,0)),"LEVEL UP",""))),"")</f>
        <v/>
      </c>
      <c r="N1014" s="20"/>
      <c r="O1014" s="19"/>
    </row>
    <row r="1015" customFormat="false" ht="15" hidden="false" customHeight="false" outlineLevel="0" collapsed="false">
      <c r="A1015" s="17"/>
      <c r="B1015" s="18" t="str">
        <f aca="false">IF($A1015="","",TEXT($A1015,"ddd"))</f>
        <v/>
      </c>
      <c r="C1015" s="19"/>
      <c r="D1015" s="19"/>
      <c r="E1015" s="18" t="str">
        <f aca="false">IF($C1015="","",IFERROR(INDEX(Lists!$B$2:$B$40,MATCH($C1015,Lists!$A$2:$A$40,0)),""))</f>
        <v/>
      </c>
      <c r="F1015" s="20"/>
      <c r="G1015" s="20"/>
      <c r="H1015" s="20"/>
      <c r="I1015" s="20"/>
      <c r="J1015" s="20"/>
      <c r="K1015" s="18" t="str">
        <f aca="false">IF(COUNT($F1015:$J1015)=0,"",SUM($F1015:$J1015))</f>
        <v/>
      </c>
      <c r="L1015" s="18" t="str">
        <f aca="false">IF(COUNT($F1015:$J1015)=0,"",MAX($F1015:$J1015))</f>
        <v/>
      </c>
      <c r="M1015" s="18" t="str">
        <f aca="false">IFERROR(IF(OR($C1015="",COUNT($F1015:$J1015)&lt;3),"",IF(N(INDEX(Lists!$C$2:$C$40,MATCH($C1015,Lists!$A$2:$A$40,0)))=0,"",IF(MIN($F1015:$J1015)&gt;=INDEX(Lists!$C$2:$C$40,MATCH($C1015,Lists!$A$2:$A$40,0)),"LEVEL UP",""))),"")</f>
        <v/>
      </c>
      <c r="N1015" s="20"/>
      <c r="O1015" s="19"/>
    </row>
    <row r="1016" customFormat="false" ht="15" hidden="false" customHeight="false" outlineLevel="0" collapsed="false">
      <c r="A1016" s="17"/>
      <c r="B1016" s="18" t="str">
        <f aca="false">IF($A1016="","",TEXT($A1016,"ddd"))</f>
        <v/>
      </c>
      <c r="C1016" s="19"/>
      <c r="D1016" s="19"/>
      <c r="E1016" s="18" t="str">
        <f aca="false">IF($C1016="","",IFERROR(INDEX(Lists!$B$2:$B$40,MATCH($C1016,Lists!$A$2:$A$40,0)),""))</f>
        <v/>
      </c>
      <c r="F1016" s="20"/>
      <c r="G1016" s="20"/>
      <c r="H1016" s="20"/>
      <c r="I1016" s="20"/>
      <c r="J1016" s="20"/>
      <c r="K1016" s="18" t="str">
        <f aca="false">IF(COUNT($F1016:$J1016)=0,"",SUM($F1016:$J1016))</f>
        <v/>
      </c>
      <c r="L1016" s="18" t="str">
        <f aca="false">IF(COUNT($F1016:$J1016)=0,"",MAX($F1016:$J1016))</f>
        <v/>
      </c>
      <c r="M1016" s="18" t="str">
        <f aca="false">IFERROR(IF(OR($C1016="",COUNT($F1016:$J1016)&lt;3),"",IF(N(INDEX(Lists!$C$2:$C$40,MATCH($C1016,Lists!$A$2:$A$40,0)))=0,"",IF(MIN($F1016:$J1016)&gt;=INDEX(Lists!$C$2:$C$40,MATCH($C1016,Lists!$A$2:$A$40,0)),"LEVEL UP",""))),"")</f>
        <v/>
      </c>
      <c r="N1016" s="20"/>
      <c r="O1016" s="19"/>
    </row>
    <row r="1017" customFormat="false" ht="15" hidden="false" customHeight="false" outlineLevel="0" collapsed="false">
      <c r="A1017" s="17"/>
      <c r="B1017" s="18" t="str">
        <f aca="false">IF($A1017="","",TEXT($A1017,"ddd"))</f>
        <v/>
      </c>
      <c r="C1017" s="19"/>
      <c r="D1017" s="19"/>
      <c r="E1017" s="18" t="str">
        <f aca="false">IF($C1017="","",IFERROR(INDEX(Lists!$B$2:$B$40,MATCH($C1017,Lists!$A$2:$A$40,0)),""))</f>
        <v/>
      </c>
      <c r="F1017" s="20"/>
      <c r="G1017" s="20"/>
      <c r="H1017" s="20"/>
      <c r="I1017" s="20"/>
      <c r="J1017" s="20"/>
      <c r="K1017" s="18" t="str">
        <f aca="false">IF(COUNT($F1017:$J1017)=0,"",SUM($F1017:$J1017))</f>
        <v/>
      </c>
      <c r="L1017" s="18" t="str">
        <f aca="false">IF(COUNT($F1017:$J1017)=0,"",MAX($F1017:$J1017))</f>
        <v/>
      </c>
      <c r="M1017" s="18" t="str">
        <f aca="false">IFERROR(IF(OR($C1017="",COUNT($F1017:$J1017)&lt;3),"",IF(N(INDEX(Lists!$C$2:$C$40,MATCH($C1017,Lists!$A$2:$A$40,0)))=0,"",IF(MIN($F1017:$J1017)&gt;=INDEX(Lists!$C$2:$C$40,MATCH($C1017,Lists!$A$2:$A$40,0)),"LEVEL UP",""))),"")</f>
        <v/>
      </c>
      <c r="N1017" s="20"/>
      <c r="O1017" s="19"/>
    </row>
    <row r="1018" customFormat="false" ht="15" hidden="false" customHeight="false" outlineLevel="0" collapsed="false">
      <c r="A1018" s="17"/>
      <c r="B1018" s="18" t="str">
        <f aca="false">IF($A1018="","",TEXT($A1018,"ddd"))</f>
        <v/>
      </c>
      <c r="C1018" s="19"/>
      <c r="D1018" s="19"/>
      <c r="E1018" s="18" t="str">
        <f aca="false">IF($C1018="","",IFERROR(INDEX(Lists!$B$2:$B$40,MATCH($C1018,Lists!$A$2:$A$40,0)),""))</f>
        <v/>
      </c>
      <c r="F1018" s="20"/>
      <c r="G1018" s="20"/>
      <c r="H1018" s="20"/>
      <c r="I1018" s="20"/>
      <c r="J1018" s="20"/>
      <c r="K1018" s="18" t="str">
        <f aca="false">IF(COUNT($F1018:$J1018)=0,"",SUM($F1018:$J1018))</f>
        <v/>
      </c>
      <c r="L1018" s="18" t="str">
        <f aca="false">IF(COUNT($F1018:$J1018)=0,"",MAX($F1018:$J1018))</f>
        <v/>
      </c>
      <c r="M1018" s="18" t="str">
        <f aca="false">IFERROR(IF(OR($C1018="",COUNT($F1018:$J1018)&lt;3),"",IF(N(INDEX(Lists!$C$2:$C$40,MATCH($C1018,Lists!$A$2:$A$40,0)))=0,"",IF(MIN($F1018:$J1018)&gt;=INDEX(Lists!$C$2:$C$40,MATCH($C1018,Lists!$A$2:$A$40,0)),"LEVEL UP",""))),"")</f>
        <v/>
      </c>
      <c r="N1018" s="20"/>
      <c r="O1018" s="19"/>
    </row>
    <row r="1019" customFormat="false" ht="15" hidden="false" customHeight="false" outlineLevel="0" collapsed="false">
      <c r="A1019" s="17"/>
      <c r="B1019" s="18" t="str">
        <f aca="false">IF($A1019="","",TEXT($A1019,"ddd"))</f>
        <v/>
      </c>
      <c r="C1019" s="19"/>
      <c r="D1019" s="19"/>
      <c r="E1019" s="18" t="str">
        <f aca="false">IF($C1019="","",IFERROR(INDEX(Lists!$B$2:$B$40,MATCH($C1019,Lists!$A$2:$A$40,0)),""))</f>
        <v/>
      </c>
      <c r="F1019" s="20"/>
      <c r="G1019" s="20"/>
      <c r="H1019" s="20"/>
      <c r="I1019" s="20"/>
      <c r="J1019" s="20"/>
      <c r="K1019" s="18" t="str">
        <f aca="false">IF(COUNT($F1019:$J1019)=0,"",SUM($F1019:$J1019))</f>
        <v/>
      </c>
      <c r="L1019" s="18" t="str">
        <f aca="false">IF(COUNT($F1019:$J1019)=0,"",MAX($F1019:$J1019))</f>
        <v/>
      </c>
      <c r="M1019" s="18" t="str">
        <f aca="false">IFERROR(IF(OR($C1019="",COUNT($F1019:$J1019)&lt;3),"",IF(N(INDEX(Lists!$C$2:$C$40,MATCH($C1019,Lists!$A$2:$A$40,0)))=0,"",IF(MIN($F1019:$J1019)&gt;=INDEX(Lists!$C$2:$C$40,MATCH($C1019,Lists!$A$2:$A$40,0)),"LEVEL UP",""))),"")</f>
        <v/>
      </c>
      <c r="N1019" s="20"/>
      <c r="O1019" s="19"/>
    </row>
    <row r="1020" customFormat="false" ht="15" hidden="false" customHeight="false" outlineLevel="0" collapsed="false">
      <c r="A1020" s="17"/>
      <c r="B1020" s="18" t="str">
        <f aca="false">IF($A1020="","",TEXT($A1020,"ddd"))</f>
        <v/>
      </c>
      <c r="C1020" s="19"/>
      <c r="D1020" s="19"/>
      <c r="E1020" s="18" t="str">
        <f aca="false">IF($C1020="","",IFERROR(INDEX(Lists!$B$2:$B$40,MATCH($C1020,Lists!$A$2:$A$40,0)),""))</f>
        <v/>
      </c>
      <c r="F1020" s="20"/>
      <c r="G1020" s="20"/>
      <c r="H1020" s="20"/>
      <c r="I1020" s="20"/>
      <c r="J1020" s="20"/>
      <c r="K1020" s="18" t="str">
        <f aca="false">IF(COUNT($F1020:$J1020)=0,"",SUM($F1020:$J1020))</f>
        <v/>
      </c>
      <c r="L1020" s="18" t="str">
        <f aca="false">IF(COUNT($F1020:$J1020)=0,"",MAX($F1020:$J1020))</f>
        <v/>
      </c>
      <c r="M1020" s="18" t="str">
        <f aca="false">IFERROR(IF(OR($C1020="",COUNT($F1020:$J1020)&lt;3),"",IF(N(INDEX(Lists!$C$2:$C$40,MATCH($C1020,Lists!$A$2:$A$40,0)))=0,"",IF(MIN($F1020:$J1020)&gt;=INDEX(Lists!$C$2:$C$40,MATCH($C1020,Lists!$A$2:$A$40,0)),"LEVEL UP",""))),"")</f>
        <v/>
      </c>
      <c r="N1020" s="20"/>
      <c r="O1020" s="19"/>
    </row>
    <row r="1021" customFormat="false" ht="15" hidden="false" customHeight="false" outlineLevel="0" collapsed="false">
      <c r="A1021" s="17"/>
      <c r="B1021" s="18" t="str">
        <f aca="false">IF($A1021="","",TEXT($A1021,"ddd"))</f>
        <v/>
      </c>
      <c r="C1021" s="19"/>
      <c r="D1021" s="19"/>
      <c r="E1021" s="18" t="str">
        <f aca="false">IF($C1021="","",IFERROR(INDEX(Lists!$B$2:$B$40,MATCH($C1021,Lists!$A$2:$A$40,0)),""))</f>
        <v/>
      </c>
      <c r="F1021" s="20"/>
      <c r="G1021" s="20"/>
      <c r="H1021" s="20"/>
      <c r="I1021" s="20"/>
      <c r="J1021" s="20"/>
      <c r="K1021" s="18" t="str">
        <f aca="false">IF(COUNT($F1021:$J1021)=0,"",SUM($F1021:$J1021))</f>
        <v/>
      </c>
      <c r="L1021" s="18" t="str">
        <f aca="false">IF(COUNT($F1021:$J1021)=0,"",MAX($F1021:$J1021))</f>
        <v/>
      </c>
      <c r="M1021" s="18" t="str">
        <f aca="false">IFERROR(IF(OR($C1021="",COUNT($F1021:$J1021)&lt;3),"",IF(N(INDEX(Lists!$C$2:$C$40,MATCH($C1021,Lists!$A$2:$A$40,0)))=0,"",IF(MIN($F1021:$J1021)&gt;=INDEX(Lists!$C$2:$C$40,MATCH($C1021,Lists!$A$2:$A$40,0)),"LEVEL UP",""))),"")</f>
        <v/>
      </c>
      <c r="N1021" s="20"/>
      <c r="O1021" s="19"/>
    </row>
    <row r="1022" customFormat="false" ht="15" hidden="false" customHeight="false" outlineLevel="0" collapsed="false">
      <c r="A1022" s="17"/>
      <c r="B1022" s="18" t="str">
        <f aca="false">IF($A1022="","",TEXT($A1022,"ddd"))</f>
        <v/>
      </c>
      <c r="C1022" s="19"/>
      <c r="D1022" s="19"/>
      <c r="E1022" s="18" t="str">
        <f aca="false">IF($C1022="","",IFERROR(INDEX(Lists!$B$2:$B$40,MATCH($C1022,Lists!$A$2:$A$40,0)),""))</f>
        <v/>
      </c>
      <c r="F1022" s="20"/>
      <c r="G1022" s="20"/>
      <c r="H1022" s="20"/>
      <c r="I1022" s="20"/>
      <c r="J1022" s="20"/>
      <c r="K1022" s="18" t="str">
        <f aca="false">IF(COUNT($F1022:$J1022)=0,"",SUM($F1022:$J1022))</f>
        <v/>
      </c>
      <c r="L1022" s="18" t="str">
        <f aca="false">IF(COUNT($F1022:$J1022)=0,"",MAX($F1022:$J1022))</f>
        <v/>
      </c>
      <c r="M1022" s="18" t="str">
        <f aca="false">IFERROR(IF(OR($C1022="",COUNT($F1022:$J1022)&lt;3),"",IF(N(INDEX(Lists!$C$2:$C$40,MATCH($C1022,Lists!$A$2:$A$40,0)))=0,"",IF(MIN($F1022:$J1022)&gt;=INDEX(Lists!$C$2:$C$40,MATCH($C1022,Lists!$A$2:$A$40,0)),"LEVEL UP",""))),"")</f>
        <v/>
      </c>
      <c r="N1022" s="20"/>
      <c r="O1022" s="19"/>
    </row>
    <row r="1023" customFormat="false" ht="15" hidden="false" customHeight="false" outlineLevel="0" collapsed="false">
      <c r="A1023" s="17"/>
      <c r="B1023" s="18" t="str">
        <f aca="false">IF($A1023="","",TEXT($A1023,"ddd"))</f>
        <v/>
      </c>
      <c r="C1023" s="19"/>
      <c r="D1023" s="19"/>
      <c r="E1023" s="18" t="str">
        <f aca="false">IF($C1023="","",IFERROR(INDEX(Lists!$B$2:$B$40,MATCH($C1023,Lists!$A$2:$A$40,0)),""))</f>
        <v/>
      </c>
      <c r="F1023" s="20"/>
      <c r="G1023" s="20"/>
      <c r="H1023" s="20"/>
      <c r="I1023" s="20"/>
      <c r="J1023" s="20"/>
      <c r="K1023" s="18" t="str">
        <f aca="false">IF(COUNT($F1023:$J1023)=0,"",SUM($F1023:$J1023))</f>
        <v/>
      </c>
      <c r="L1023" s="18" t="str">
        <f aca="false">IF(COUNT($F1023:$J1023)=0,"",MAX($F1023:$J1023))</f>
        <v/>
      </c>
      <c r="M1023" s="18" t="str">
        <f aca="false">IFERROR(IF(OR($C1023="",COUNT($F1023:$J1023)&lt;3),"",IF(N(INDEX(Lists!$C$2:$C$40,MATCH($C1023,Lists!$A$2:$A$40,0)))=0,"",IF(MIN($F1023:$J1023)&gt;=INDEX(Lists!$C$2:$C$40,MATCH($C1023,Lists!$A$2:$A$40,0)),"LEVEL UP",""))),"")</f>
        <v/>
      </c>
      <c r="N1023" s="20"/>
      <c r="O1023" s="19"/>
    </row>
    <row r="1024" customFormat="false" ht="15" hidden="false" customHeight="false" outlineLevel="0" collapsed="false">
      <c r="A1024" s="17"/>
      <c r="B1024" s="18" t="str">
        <f aca="false">IF($A1024="","",TEXT($A1024,"ddd"))</f>
        <v/>
      </c>
      <c r="C1024" s="19"/>
      <c r="D1024" s="19"/>
      <c r="E1024" s="18" t="str">
        <f aca="false">IF($C1024="","",IFERROR(INDEX(Lists!$B$2:$B$40,MATCH($C1024,Lists!$A$2:$A$40,0)),""))</f>
        <v/>
      </c>
      <c r="F1024" s="20"/>
      <c r="G1024" s="20"/>
      <c r="H1024" s="20"/>
      <c r="I1024" s="20"/>
      <c r="J1024" s="20"/>
      <c r="K1024" s="18" t="str">
        <f aca="false">IF(COUNT($F1024:$J1024)=0,"",SUM($F1024:$J1024))</f>
        <v/>
      </c>
      <c r="L1024" s="18" t="str">
        <f aca="false">IF(COUNT($F1024:$J1024)=0,"",MAX($F1024:$J1024))</f>
        <v/>
      </c>
      <c r="M1024" s="18" t="str">
        <f aca="false">IFERROR(IF(OR($C1024="",COUNT($F1024:$J1024)&lt;3),"",IF(N(INDEX(Lists!$C$2:$C$40,MATCH($C1024,Lists!$A$2:$A$40,0)))=0,"",IF(MIN($F1024:$J1024)&gt;=INDEX(Lists!$C$2:$C$40,MATCH($C1024,Lists!$A$2:$A$40,0)),"LEVEL UP",""))),"")</f>
        <v/>
      </c>
      <c r="N1024" s="20"/>
      <c r="O1024" s="19"/>
    </row>
    <row r="1025" customFormat="false" ht="15" hidden="false" customHeight="false" outlineLevel="0" collapsed="false">
      <c r="A1025" s="17"/>
      <c r="B1025" s="18" t="str">
        <f aca="false">IF($A1025="","",TEXT($A1025,"ddd"))</f>
        <v/>
      </c>
      <c r="C1025" s="19"/>
      <c r="D1025" s="19"/>
      <c r="E1025" s="18" t="str">
        <f aca="false">IF($C1025="","",IFERROR(INDEX(Lists!$B$2:$B$40,MATCH($C1025,Lists!$A$2:$A$40,0)),""))</f>
        <v/>
      </c>
      <c r="F1025" s="20"/>
      <c r="G1025" s="20"/>
      <c r="H1025" s="20"/>
      <c r="I1025" s="20"/>
      <c r="J1025" s="20"/>
      <c r="K1025" s="18" t="str">
        <f aca="false">IF(COUNT($F1025:$J1025)=0,"",SUM($F1025:$J1025))</f>
        <v/>
      </c>
      <c r="L1025" s="18" t="str">
        <f aca="false">IF(COUNT($F1025:$J1025)=0,"",MAX($F1025:$J1025))</f>
        <v/>
      </c>
      <c r="M1025" s="18" t="str">
        <f aca="false">IFERROR(IF(OR($C1025="",COUNT($F1025:$J1025)&lt;3),"",IF(N(INDEX(Lists!$C$2:$C$40,MATCH($C1025,Lists!$A$2:$A$40,0)))=0,"",IF(MIN($F1025:$J1025)&gt;=INDEX(Lists!$C$2:$C$40,MATCH($C1025,Lists!$A$2:$A$40,0)),"LEVEL UP",""))),"")</f>
        <v/>
      </c>
      <c r="N1025" s="20"/>
      <c r="O1025" s="19"/>
    </row>
    <row r="1026" customFormat="false" ht="15" hidden="false" customHeight="false" outlineLevel="0" collapsed="false">
      <c r="A1026" s="17"/>
      <c r="B1026" s="18" t="str">
        <f aca="false">IF($A1026="","",TEXT($A1026,"ddd"))</f>
        <v/>
      </c>
      <c r="C1026" s="19"/>
      <c r="D1026" s="19"/>
      <c r="E1026" s="18" t="str">
        <f aca="false">IF($C1026="","",IFERROR(INDEX(Lists!$B$2:$B$40,MATCH($C1026,Lists!$A$2:$A$40,0)),""))</f>
        <v/>
      </c>
      <c r="F1026" s="20"/>
      <c r="G1026" s="20"/>
      <c r="H1026" s="20"/>
      <c r="I1026" s="20"/>
      <c r="J1026" s="20"/>
      <c r="K1026" s="18" t="str">
        <f aca="false">IF(COUNT($F1026:$J1026)=0,"",SUM($F1026:$J1026))</f>
        <v/>
      </c>
      <c r="L1026" s="18" t="str">
        <f aca="false">IF(COUNT($F1026:$J1026)=0,"",MAX($F1026:$J1026))</f>
        <v/>
      </c>
      <c r="M1026" s="18" t="str">
        <f aca="false">IFERROR(IF(OR($C1026="",COUNT($F1026:$J1026)&lt;3),"",IF(N(INDEX(Lists!$C$2:$C$40,MATCH($C1026,Lists!$A$2:$A$40,0)))=0,"",IF(MIN($F1026:$J1026)&gt;=INDEX(Lists!$C$2:$C$40,MATCH($C1026,Lists!$A$2:$A$40,0)),"LEVEL UP",""))),"")</f>
        <v/>
      </c>
      <c r="N1026" s="20"/>
      <c r="O1026" s="19"/>
    </row>
    <row r="1027" customFormat="false" ht="15" hidden="false" customHeight="false" outlineLevel="0" collapsed="false">
      <c r="A1027" s="17"/>
      <c r="B1027" s="18" t="str">
        <f aca="false">IF($A1027="","",TEXT($A1027,"ddd"))</f>
        <v/>
      </c>
      <c r="C1027" s="19"/>
      <c r="D1027" s="19"/>
      <c r="E1027" s="18" t="str">
        <f aca="false">IF($C1027="","",IFERROR(INDEX(Lists!$B$2:$B$40,MATCH($C1027,Lists!$A$2:$A$40,0)),""))</f>
        <v/>
      </c>
      <c r="F1027" s="20"/>
      <c r="G1027" s="20"/>
      <c r="H1027" s="20"/>
      <c r="I1027" s="20"/>
      <c r="J1027" s="20"/>
      <c r="K1027" s="18" t="str">
        <f aca="false">IF(COUNT($F1027:$J1027)=0,"",SUM($F1027:$J1027))</f>
        <v/>
      </c>
      <c r="L1027" s="18" t="str">
        <f aca="false">IF(COUNT($F1027:$J1027)=0,"",MAX($F1027:$J1027))</f>
        <v/>
      </c>
      <c r="M1027" s="18" t="str">
        <f aca="false">IFERROR(IF(OR($C1027="",COUNT($F1027:$J1027)&lt;3),"",IF(N(INDEX(Lists!$C$2:$C$40,MATCH($C1027,Lists!$A$2:$A$40,0)))=0,"",IF(MIN($F1027:$J1027)&gt;=INDEX(Lists!$C$2:$C$40,MATCH($C1027,Lists!$A$2:$A$40,0)),"LEVEL UP",""))),"")</f>
        <v/>
      </c>
      <c r="N1027" s="20"/>
      <c r="O1027" s="19"/>
    </row>
    <row r="1028" customFormat="false" ht="15" hidden="false" customHeight="false" outlineLevel="0" collapsed="false">
      <c r="A1028" s="17"/>
      <c r="B1028" s="18" t="str">
        <f aca="false">IF($A1028="","",TEXT($A1028,"ddd"))</f>
        <v/>
      </c>
      <c r="C1028" s="19"/>
      <c r="D1028" s="19"/>
      <c r="E1028" s="18" t="str">
        <f aca="false">IF($C1028="","",IFERROR(INDEX(Lists!$B$2:$B$40,MATCH($C1028,Lists!$A$2:$A$40,0)),""))</f>
        <v/>
      </c>
      <c r="F1028" s="20"/>
      <c r="G1028" s="20"/>
      <c r="H1028" s="20"/>
      <c r="I1028" s="20"/>
      <c r="J1028" s="20"/>
      <c r="K1028" s="18" t="str">
        <f aca="false">IF(COUNT($F1028:$J1028)=0,"",SUM($F1028:$J1028))</f>
        <v/>
      </c>
      <c r="L1028" s="18" t="str">
        <f aca="false">IF(COUNT($F1028:$J1028)=0,"",MAX($F1028:$J1028))</f>
        <v/>
      </c>
      <c r="M1028" s="18" t="str">
        <f aca="false">IFERROR(IF(OR($C1028="",COUNT($F1028:$J1028)&lt;3),"",IF(N(INDEX(Lists!$C$2:$C$40,MATCH($C1028,Lists!$A$2:$A$40,0)))=0,"",IF(MIN($F1028:$J1028)&gt;=INDEX(Lists!$C$2:$C$40,MATCH($C1028,Lists!$A$2:$A$40,0)),"LEVEL UP",""))),"")</f>
        <v/>
      </c>
      <c r="N1028" s="20"/>
      <c r="O1028" s="19"/>
    </row>
    <row r="1029" customFormat="false" ht="15" hidden="false" customHeight="false" outlineLevel="0" collapsed="false">
      <c r="A1029" s="17"/>
      <c r="B1029" s="18" t="str">
        <f aca="false">IF($A1029="","",TEXT($A1029,"ddd"))</f>
        <v/>
      </c>
      <c r="C1029" s="19"/>
      <c r="D1029" s="19"/>
      <c r="E1029" s="18" t="str">
        <f aca="false">IF($C1029="","",IFERROR(INDEX(Lists!$B$2:$B$40,MATCH($C1029,Lists!$A$2:$A$40,0)),""))</f>
        <v/>
      </c>
      <c r="F1029" s="20"/>
      <c r="G1029" s="20"/>
      <c r="H1029" s="20"/>
      <c r="I1029" s="20"/>
      <c r="J1029" s="20"/>
      <c r="K1029" s="18" t="str">
        <f aca="false">IF(COUNT($F1029:$J1029)=0,"",SUM($F1029:$J1029))</f>
        <v/>
      </c>
      <c r="L1029" s="18" t="str">
        <f aca="false">IF(COUNT($F1029:$J1029)=0,"",MAX($F1029:$J1029))</f>
        <v/>
      </c>
      <c r="M1029" s="18" t="str">
        <f aca="false">IFERROR(IF(OR($C1029="",COUNT($F1029:$J1029)&lt;3),"",IF(N(INDEX(Lists!$C$2:$C$40,MATCH($C1029,Lists!$A$2:$A$40,0)))=0,"",IF(MIN($F1029:$J1029)&gt;=INDEX(Lists!$C$2:$C$40,MATCH($C1029,Lists!$A$2:$A$40,0)),"LEVEL UP",""))),"")</f>
        <v/>
      </c>
      <c r="N1029" s="20"/>
      <c r="O1029" s="19"/>
    </row>
    <row r="1030" customFormat="false" ht="15" hidden="false" customHeight="false" outlineLevel="0" collapsed="false">
      <c r="A1030" s="17"/>
      <c r="B1030" s="18" t="str">
        <f aca="false">IF($A1030="","",TEXT($A1030,"ddd"))</f>
        <v/>
      </c>
      <c r="C1030" s="19"/>
      <c r="D1030" s="19"/>
      <c r="E1030" s="18" t="str">
        <f aca="false">IF($C1030="","",IFERROR(INDEX(Lists!$B$2:$B$40,MATCH($C1030,Lists!$A$2:$A$40,0)),""))</f>
        <v/>
      </c>
      <c r="F1030" s="20"/>
      <c r="G1030" s="20"/>
      <c r="H1030" s="20"/>
      <c r="I1030" s="20"/>
      <c r="J1030" s="20"/>
      <c r="K1030" s="18" t="str">
        <f aca="false">IF(COUNT($F1030:$J1030)=0,"",SUM($F1030:$J1030))</f>
        <v/>
      </c>
      <c r="L1030" s="18" t="str">
        <f aca="false">IF(COUNT($F1030:$J1030)=0,"",MAX($F1030:$J1030))</f>
        <v/>
      </c>
      <c r="M1030" s="18" t="str">
        <f aca="false">IFERROR(IF(OR($C1030="",COUNT($F1030:$J1030)&lt;3),"",IF(N(INDEX(Lists!$C$2:$C$40,MATCH($C1030,Lists!$A$2:$A$40,0)))=0,"",IF(MIN($F1030:$J1030)&gt;=INDEX(Lists!$C$2:$C$40,MATCH($C1030,Lists!$A$2:$A$40,0)),"LEVEL UP",""))),"")</f>
        <v/>
      </c>
      <c r="N1030" s="20"/>
      <c r="O1030" s="19"/>
    </row>
    <row r="1031" customFormat="false" ht="15" hidden="false" customHeight="false" outlineLevel="0" collapsed="false">
      <c r="A1031" s="17"/>
      <c r="B1031" s="18" t="str">
        <f aca="false">IF($A1031="","",TEXT($A1031,"ddd"))</f>
        <v/>
      </c>
      <c r="C1031" s="19"/>
      <c r="D1031" s="19"/>
      <c r="E1031" s="18" t="str">
        <f aca="false">IF($C1031="","",IFERROR(INDEX(Lists!$B$2:$B$40,MATCH($C1031,Lists!$A$2:$A$40,0)),""))</f>
        <v/>
      </c>
      <c r="F1031" s="20"/>
      <c r="G1031" s="20"/>
      <c r="H1031" s="20"/>
      <c r="I1031" s="20"/>
      <c r="J1031" s="20"/>
      <c r="K1031" s="18" t="str">
        <f aca="false">IF(COUNT($F1031:$J1031)=0,"",SUM($F1031:$J1031))</f>
        <v/>
      </c>
      <c r="L1031" s="18" t="str">
        <f aca="false">IF(COUNT($F1031:$J1031)=0,"",MAX($F1031:$J1031))</f>
        <v/>
      </c>
      <c r="M1031" s="18" t="str">
        <f aca="false">IFERROR(IF(OR($C1031="",COUNT($F1031:$J1031)&lt;3),"",IF(N(INDEX(Lists!$C$2:$C$40,MATCH($C1031,Lists!$A$2:$A$40,0)))=0,"",IF(MIN($F1031:$J1031)&gt;=INDEX(Lists!$C$2:$C$40,MATCH($C1031,Lists!$A$2:$A$40,0)),"LEVEL UP",""))),"")</f>
        <v/>
      </c>
      <c r="N1031" s="20"/>
      <c r="O1031" s="19"/>
    </row>
    <row r="1032" customFormat="false" ht="15" hidden="false" customHeight="false" outlineLevel="0" collapsed="false">
      <c r="A1032" s="17"/>
      <c r="B1032" s="18" t="str">
        <f aca="false">IF($A1032="","",TEXT($A1032,"ddd"))</f>
        <v/>
      </c>
      <c r="C1032" s="19"/>
      <c r="D1032" s="19"/>
      <c r="E1032" s="18" t="str">
        <f aca="false">IF($C1032="","",IFERROR(INDEX(Lists!$B$2:$B$40,MATCH($C1032,Lists!$A$2:$A$40,0)),""))</f>
        <v/>
      </c>
      <c r="F1032" s="20"/>
      <c r="G1032" s="20"/>
      <c r="H1032" s="20"/>
      <c r="I1032" s="20"/>
      <c r="J1032" s="20"/>
      <c r="K1032" s="18" t="str">
        <f aca="false">IF(COUNT($F1032:$J1032)=0,"",SUM($F1032:$J1032))</f>
        <v/>
      </c>
      <c r="L1032" s="18" t="str">
        <f aca="false">IF(COUNT($F1032:$J1032)=0,"",MAX($F1032:$J1032))</f>
        <v/>
      </c>
      <c r="M1032" s="18" t="str">
        <f aca="false">IFERROR(IF(OR($C1032="",COUNT($F1032:$J1032)&lt;3),"",IF(N(INDEX(Lists!$C$2:$C$40,MATCH($C1032,Lists!$A$2:$A$40,0)))=0,"",IF(MIN($F1032:$J1032)&gt;=INDEX(Lists!$C$2:$C$40,MATCH($C1032,Lists!$A$2:$A$40,0)),"LEVEL UP",""))),"")</f>
        <v/>
      </c>
      <c r="N1032" s="20"/>
      <c r="O1032" s="19"/>
    </row>
    <row r="1033" customFormat="false" ht="15" hidden="false" customHeight="false" outlineLevel="0" collapsed="false">
      <c r="A1033" s="17"/>
      <c r="B1033" s="18" t="str">
        <f aca="false">IF($A1033="","",TEXT($A1033,"ddd"))</f>
        <v/>
      </c>
      <c r="C1033" s="19"/>
      <c r="D1033" s="19"/>
      <c r="E1033" s="18" t="str">
        <f aca="false">IF($C1033="","",IFERROR(INDEX(Lists!$B$2:$B$40,MATCH($C1033,Lists!$A$2:$A$40,0)),""))</f>
        <v/>
      </c>
      <c r="F1033" s="20"/>
      <c r="G1033" s="20"/>
      <c r="H1033" s="20"/>
      <c r="I1033" s="20"/>
      <c r="J1033" s="20"/>
      <c r="K1033" s="18" t="str">
        <f aca="false">IF(COUNT($F1033:$J1033)=0,"",SUM($F1033:$J1033))</f>
        <v/>
      </c>
      <c r="L1033" s="18" t="str">
        <f aca="false">IF(COUNT($F1033:$J1033)=0,"",MAX($F1033:$J1033))</f>
        <v/>
      </c>
      <c r="M1033" s="18" t="str">
        <f aca="false">IFERROR(IF(OR($C1033="",COUNT($F1033:$J1033)&lt;3),"",IF(N(INDEX(Lists!$C$2:$C$40,MATCH($C1033,Lists!$A$2:$A$40,0)))=0,"",IF(MIN($F1033:$J1033)&gt;=INDEX(Lists!$C$2:$C$40,MATCH($C1033,Lists!$A$2:$A$40,0)),"LEVEL UP",""))),"")</f>
        <v/>
      </c>
      <c r="N1033" s="20"/>
      <c r="O1033" s="19"/>
    </row>
    <row r="1034" customFormat="false" ht="15" hidden="false" customHeight="false" outlineLevel="0" collapsed="false">
      <c r="A1034" s="17"/>
      <c r="B1034" s="18" t="str">
        <f aca="false">IF($A1034="","",TEXT($A1034,"ddd"))</f>
        <v/>
      </c>
      <c r="C1034" s="19"/>
      <c r="D1034" s="19"/>
      <c r="E1034" s="18" t="str">
        <f aca="false">IF($C1034="","",IFERROR(INDEX(Lists!$B$2:$B$40,MATCH($C1034,Lists!$A$2:$A$40,0)),""))</f>
        <v/>
      </c>
      <c r="F1034" s="20"/>
      <c r="G1034" s="20"/>
      <c r="H1034" s="20"/>
      <c r="I1034" s="20"/>
      <c r="J1034" s="20"/>
      <c r="K1034" s="18" t="str">
        <f aca="false">IF(COUNT($F1034:$J1034)=0,"",SUM($F1034:$J1034))</f>
        <v/>
      </c>
      <c r="L1034" s="18" t="str">
        <f aca="false">IF(COUNT($F1034:$J1034)=0,"",MAX($F1034:$J1034))</f>
        <v/>
      </c>
      <c r="M1034" s="18" t="str">
        <f aca="false">IFERROR(IF(OR($C1034="",COUNT($F1034:$J1034)&lt;3),"",IF(N(INDEX(Lists!$C$2:$C$40,MATCH($C1034,Lists!$A$2:$A$40,0)))=0,"",IF(MIN($F1034:$J1034)&gt;=INDEX(Lists!$C$2:$C$40,MATCH($C1034,Lists!$A$2:$A$40,0)),"LEVEL UP",""))),"")</f>
        <v/>
      </c>
      <c r="N1034" s="20"/>
      <c r="O1034" s="19"/>
    </row>
    <row r="1035" customFormat="false" ht="15" hidden="false" customHeight="false" outlineLevel="0" collapsed="false">
      <c r="A1035" s="17"/>
      <c r="B1035" s="18" t="str">
        <f aca="false">IF($A1035="","",TEXT($A1035,"ddd"))</f>
        <v/>
      </c>
      <c r="C1035" s="19"/>
      <c r="D1035" s="19"/>
      <c r="E1035" s="18" t="str">
        <f aca="false">IF($C1035="","",IFERROR(INDEX(Lists!$B$2:$B$40,MATCH($C1035,Lists!$A$2:$A$40,0)),""))</f>
        <v/>
      </c>
      <c r="F1035" s="20"/>
      <c r="G1035" s="20"/>
      <c r="H1035" s="20"/>
      <c r="I1035" s="20"/>
      <c r="J1035" s="20"/>
      <c r="K1035" s="18" t="str">
        <f aca="false">IF(COUNT($F1035:$J1035)=0,"",SUM($F1035:$J1035))</f>
        <v/>
      </c>
      <c r="L1035" s="18" t="str">
        <f aca="false">IF(COUNT($F1035:$J1035)=0,"",MAX($F1035:$J1035))</f>
        <v/>
      </c>
      <c r="M1035" s="18" t="str">
        <f aca="false">IFERROR(IF(OR($C1035="",COUNT($F1035:$J1035)&lt;3),"",IF(N(INDEX(Lists!$C$2:$C$40,MATCH($C1035,Lists!$A$2:$A$40,0)))=0,"",IF(MIN($F1035:$J1035)&gt;=INDEX(Lists!$C$2:$C$40,MATCH($C1035,Lists!$A$2:$A$40,0)),"LEVEL UP",""))),"")</f>
        <v/>
      </c>
      <c r="N1035" s="20"/>
      <c r="O1035" s="19"/>
    </row>
    <row r="1036" customFormat="false" ht="15" hidden="false" customHeight="false" outlineLevel="0" collapsed="false">
      <c r="A1036" s="17"/>
      <c r="B1036" s="18" t="str">
        <f aca="false">IF($A1036="","",TEXT($A1036,"ddd"))</f>
        <v/>
      </c>
      <c r="C1036" s="19"/>
      <c r="D1036" s="19"/>
      <c r="E1036" s="18" t="str">
        <f aca="false">IF($C1036="","",IFERROR(INDEX(Lists!$B$2:$B$40,MATCH($C1036,Lists!$A$2:$A$40,0)),""))</f>
        <v/>
      </c>
      <c r="F1036" s="20"/>
      <c r="G1036" s="20"/>
      <c r="H1036" s="20"/>
      <c r="I1036" s="20"/>
      <c r="J1036" s="20"/>
      <c r="K1036" s="18" t="str">
        <f aca="false">IF(COUNT($F1036:$J1036)=0,"",SUM($F1036:$J1036))</f>
        <v/>
      </c>
      <c r="L1036" s="18" t="str">
        <f aca="false">IF(COUNT($F1036:$J1036)=0,"",MAX($F1036:$J1036))</f>
        <v/>
      </c>
      <c r="M1036" s="18" t="str">
        <f aca="false">IFERROR(IF(OR($C1036="",COUNT($F1036:$J1036)&lt;3),"",IF(N(INDEX(Lists!$C$2:$C$40,MATCH($C1036,Lists!$A$2:$A$40,0)))=0,"",IF(MIN($F1036:$J1036)&gt;=INDEX(Lists!$C$2:$C$40,MATCH($C1036,Lists!$A$2:$A$40,0)),"LEVEL UP",""))),"")</f>
        <v/>
      </c>
      <c r="N1036" s="20"/>
      <c r="O1036" s="19"/>
    </row>
    <row r="1037" customFormat="false" ht="15" hidden="false" customHeight="false" outlineLevel="0" collapsed="false">
      <c r="A1037" s="17"/>
      <c r="B1037" s="18" t="str">
        <f aca="false">IF($A1037="","",TEXT($A1037,"ddd"))</f>
        <v/>
      </c>
      <c r="C1037" s="19"/>
      <c r="D1037" s="19"/>
      <c r="E1037" s="18" t="str">
        <f aca="false">IF($C1037="","",IFERROR(INDEX(Lists!$B$2:$B$40,MATCH($C1037,Lists!$A$2:$A$40,0)),""))</f>
        <v/>
      </c>
      <c r="F1037" s="20"/>
      <c r="G1037" s="20"/>
      <c r="H1037" s="20"/>
      <c r="I1037" s="20"/>
      <c r="J1037" s="20"/>
      <c r="K1037" s="18" t="str">
        <f aca="false">IF(COUNT($F1037:$J1037)=0,"",SUM($F1037:$J1037))</f>
        <v/>
      </c>
      <c r="L1037" s="18" t="str">
        <f aca="false">IF(COUNT($F1037:$J1037)=0,"",MAX($F1037:$J1037))</f>
        <v/>
      </c>
      <c r="M1037" s="18" t="str">
        <f aca="false">IFERROR(IF(OR($C1037="",COUNT($F1037:$J1037)&lt;3),"",IF(N(INDEX(Lists!$C$2:$C$40,MATCH($C1037,Lists!$A$2:$A$40,0)))=0,"",IF(MIN($F1037:$J1037)&gt;=INDEX(Lists!$C$2:$C$40,MATCH($C1037,Lists!$A$2:$A$40,0)),"LEVEL UP",""))),"")</f>
        <v/>
      </c>
      <c r="N1037" s="20"/>
      <c r="O1037" s="19"/>
    </row>
    <row r="1038" customFormat="false" ht="15" hidden="false" customHeight="false" outlineLevel="0" collapsed="false">
      <c r="A1038" s="17"/>
      <c r="B1038" s="18" t="str">
        <f aca="false">IF($A1038="","",TEXT($A1038,"ddd"))</f>
        <v/>
      </c>
      <c r="C1038" s="19"/>
      <c r="D1038" s="19"/>
      <c r="E1038" s="18" t="str">
        <f aca="false">IF($C1038="","",IFERROR(INDEX(Lists!$B$2:$B$40,MATCH($C1038,Lists!$A$2:$A$40,0)),""))</f>
        <v/>
      </c>
      <c r="F1038" s="20"/>
      <c r="G1038" s="20"/>
      <c r="H1038" s="20"/>
      <c r="I1038" s="20"/>
      <c r="J1038" s="20"/>
      <c r="K1038" s="18" t="str">
        <f aca="false">IF(COUNT($F1038:$J1038)=0,"",SUM($F1038:$J1038))</f>
        <v/>
      </c>
      <c r="L1038" s="18" t="str">
        <f aca="false">IF(COUNT($F1038:$J1038)=0,"",MAX($F1038:$J1038))</f>
        <v/>
      </c>
      <c r="M1038" s="18" t="str">
        <f aca="false">IFERROR(IF(OR($C1038="",COUNT($F1038:$J1038)&lt;3),"",IF(N(INDEX(Lists!$C$2:$C$40,MATCH($C1038,Lists!$A$2:$A$40,0)))=0,"",IF(MIN($F1038:$J1038)&gt;=INDEX(Lists!$C$2:$C$40,MATCH($C1038,Lists!$A$2:$A$40,0)),"LEVEL UP",""))),"")</f>
        <v/>
      </c>
      <c r="N1038" s="20"/>
      <c r="O1038" s="19"/>
    </row>
    <row r="1039" customFormat="false" ht="15" hidden="false" customHeight="false" outlineLevel="0" collapsed="false">
      <c r="A1039" s="17"/>
      <c r="B1039" s="18" t="str">
        <f aca="false">IF($A1039="","",TEXT($A1039,"ddd"))</f>
        <v/>
      </c>
      <c r="C1039" s="19"/>
      <c r="D1039" s="19"/>
      <c r="E1039" s="18" t="str">
        <f aca="false">IF($C1039="","",IFERROR(INDEX(Lists!$B$2:$B$40,MATCH($C1039,Lists!$A$2:$A$40,0)),""))</f>
        <v/>
      </c>
      <c r="F1039" s="20"/>
      <c r="G1039" s="20"/>
      <c r="H1039" s="20"/>
      <c r="I1039" s="20"/>
      <c r="J1039" s="20"/>
      <c r="K1039" s="18" t="str">
        <f aca="false">IF(COUNT($F1039:$J1039)=0,"",SUM($F1039:$J1039))</f>
        <v/>
      </c>
      <c r="L1039" s="18" t="str">
        <f aca="false">IF(COUNT($F1039:$J1039)=0,"",MAX($F1039:$J1039))</f>
        <v/>
      </c>
      <c r="M1039" s="18" t="str">
        <f aca="false">IFERROR(IF(OR($C1039="",COUNT($F1039:$J1039)&lt;3),"",IF(N(INDEX(Lists!$C$2:$C$40,MATCH($C1039,Lists!$A$2:$A$40,0)))=0,"",IF(MIN($F1039:$J1039)&gt;=INDEX(Lists!$C$2:$C$40,MATCH($C1039,Lists!$A$2:$A$40,0)),"LEVEL UP",""))),"")</f>
        <v/>
      </c>
      <c r="N1039" s="20"/>
      <c r="O1039" s="19"/>
    </row>
    <row r="1040" customFormat="false" ht="15" hidden="false" customHeight="false" outlineLevel="0" collapsed="false">
      <c r="A1040" s="17"/>
      <c r="B1040" s="18" t="str">
        <f aca="false">IF($A1040="","",TEXT($A1040,"ddd"))</f>
        <v/>
      </c>
      <c r="C1040" s="19"/>
      <c r="D1040" s="19"/>
      <c r="E1040" s="18" t="str">
        <f aca="false">IF($C1040="","",IFERROR(INDEX(Lists!$B$2:$B$40,MATCH($C1040,Lists!$A$2:$A$40,0)),""))</f>
        <v/>
      </c>
      <c r="F1040" s="20"/>
      <c r="G1040" s="20"/>
      <c r="H1040" s="20"/>
      <c r="I1040" s="20"/>
      <c r="J1040" s="20"/>
      <c r="K1040" s="18" t="str">
        <f aca="false">IF(COUNT($F1040:$J1040)=0,"",SUM($F1040:$J1040))</f>
        <v/>
      </c>
      <c r="L1040" s="18" t="str">
        <f aca="false">IF(COUNT($F1040:$J1040)=0,"",MAX($F1040:$J1040))</f>
        <v/>
      </c>
      <c r="M1040" s="18" t="str">
        <f aca="false">IFERROR(IF(OR($C1040="",COUNT($F1040:$J1040)&lt;3),"",IF(N(INDEX(Lists!$C$2:$C$40,MATCH($C1040,Lists!$A$2:$A$40,0)))=0,"",IF(MIN($F1040:$J1040)&gt;=INDEX(Lists!$C$2:$C$40,MATCH($C1040,Lists!$A$2:$A$40,0)),"LEVEL UP",""))),"")</f>
        <v/>
      </c>
      <c r="N1040" s="20"/>
      <c r="O1040" s="19"/>
    </row>
    <row r="1041" customFormat="false" ht="15" hidden="false" customHeight="false" outlineLevel="0" collapsed="false">
      <c r="A1041" s="17"/>
      <c r="B1041" s="18" t="str">
        <f aca="false">IF($A1041="","",TEXT($A1041,"ddd"))</f>
        <v/>
      </c>
      <c r="C1041" s="19"/>
      <c r="D1041" s="19"/>
      <c r="E1041" s="18" t="str">
        <f aca="false">IF($C1041="","",IFERROR(INDEX(Lists!$B$2:$B$40,MATCH($C1041,Lists!$A$2:$A$40,0)),""))</f>
        <v/>
      </c>
      <c r="F1041" s="20"/>
      <c r="G1041" s="20"/>
      <c r="H1041" s="20"/>
      <c r="I1041" s="20"/>
      <c r="J1041" s="20"/>
      <c r="K1041" s="18" t="str">
        <f aca="false">IF(COUNT($F1041:$J1041)=0,"",SUM($F1041:$J1041))</f>
        <v/>
      </c>
      <c r="L1041" s="18" t="str">
        <f aca="false">IF(COUNT($F1041:$J1041)=0,"",MAX($F1041:$J1041))</f>
        <v/>
      </c>
      <c r="M1041" s="18" t="str">
        <f aca="false">IFERROR(IF(OR($C1041="",COUNT($F1041:$J1041)&lt;3),"",IF(N(INDEX(Lists!$C$2:$C$40,MATCH($C1041,Lists!$A$2:$A$40,0)))=0,"",IF(MIN($F1041:$J1041)&gt;=INDEX(Lists!$C$2:$C$40,MATCH($C1041,Lists!$A$2:$A$40,0)),"LEVEL UP",""))),"")</f>
        <v/>
      </c>
      <c r="N1041" s="20"/>
      <c r="O1041" s="19"/>
    </row>
    <row r="1042" customFormat="false" ht="15" hidden="false" customHeight="false" outlineLevel="0" collapsed="false">
      <c r="A1042" s="17"/>
      <c r="B1042" s="18" t="str">
        <f aca="false">IF($A1042="","",TEXT($A1042,"ddd"))</f>
        <v/>
      </c>
      <c r="C1042" s="19"/>
      <c r="D1042" s="19"/>
      <c r="E1042" s="18" t="str">
        <f aca="false">IF($C1042="","",IFERROR(INDEX(Lists!$B$2:$B$40,MATCH($C1042,Lists!$A$2:$A$40,0)),""))</f>
        <v/>
      </c>
      <c r="F1042" s="20"/>
      <c r="G1042" s="20"/>
      <c r="H1042" s="20"/>
      <c r="I1042" s="20"/>
      <c r="J1042" s="20"/>
      <c r="K1042" s="18" t="str">
        <f aca="false">IF(COUNT($F1042:$J1042)=0,"",SUM($F1042:$J1042))</f>
        <v/>
      </c>
      <c r="L1042" s="18" t="str">
        <f aca="false">IF(COUNT($F1042:$J1042)=0,"",MAX($F1042:$J1042))</f>
        <v/>
      </c>
      <c r="M1042" s="18" t="str">
        <f aca="false">IFERROR(IF(OR($C1042="",COUNT($F1042:$J1042)&lt;3),"",IF(N(INDEX(Lists!$C$2:$C$40,MATCH($C1042,Lists!$A$2:$A$40,0)))=0,"",IF(MIN($F1042:$J1042)&gt;=INDEX(Lists!$C$2:$C$40,MATCH($C1042,Lists!$A$2:$A$40,0)),"LEVEL UP",""))),"")</f>
        <v/>
      </c>
      <c r="N1042" s="20"/>
      <c r="O1042" s="19"/>
    </row>
    <row r="1043" customFormat="false" ht="15" hidden="false" customHeight="false" outlineLevel="0" collapsed="false">
      <c r="A1043" s="17"/>
      <c r="B1043" s="18" t="str">
        <f aca="false">IF($A1043="","",TEXT($A1043,"ddd"))</f>
        <v/>
      </c>
      <c r="C1043" s="19"/>
      <c r="D1043" s="19"/>
      <c r="E1043" s="18" t="str">
        <f aca="false">IF($C1043="","",IFERROR(INDEX(Lists!$B$2:$B$40,MATCH($C1043,Lists!$A$2:$A$40,0)),""))</f>
        <v/>
      </c>
      <c r="F1043" s="20"/>
      <c r="G1043" s="20"/>
      <c r="H1043" s="20"/>
      <c r="I1043" s="20"/>
      <c r="J1043" s="20"/>
      <c r="K1043" s="18" t="str">
        <f aca="false">IF(COUNT($F1043:$J1043)=0,"",SUM($F1043:$J1043))</f>
        <v/>
      </c>
      <c r="L1043" s="18" t="str">
        <f aca="false">IF(COUNT($F1043:$J1043)=0,"",MAX($F1043:$J1043))</f>
        <v/>
      </c>
      <c r="M1043" s="18" t="str">
        <f aca="false">IFERROR(IF(OR($C1043="",COUNT($F1043:$J1043)&lt;3),"",IF(N(INDEX(Lists!$C$2:$C$40,MATCH($C1043,Lists!$A$2:$A$40,0)))=0,"",IF(MIN($F1043:$J1043)&gt;=INDEX(Lists!$C$2:$C$40,MATCH($C1043,Lists!$A$2:$A$40,0)),"LEVEL UP",""))),"")</f>
        <v/>
      </c>
      <c r="N1043" s="20"/>
      <c r="O1043" s="19"/>
    </row>
    <row r="1044" customFormat="false" ht="15" hidden="false" customHeight="false" outlineLevel="0" collapsed="false">
      <c r="A1044" s="17"/>
      <c r="B1044" s="18" t="str">
        <f aca="false">IF($A1044="","",TEXT($A1044,"ddd"))</f>
        <v/>
      </c>
      <c r="C1044" s="19"/>
      <c r="D1044" s="19"/>
      <c r="E1044" s="18" t="str">
        <f aca="false">IF($C1044="","",IFERROR(INDEX(Lists!$B$2:$B$40,MATCH($C1044,Lists!$A$2:$A$40,0)),""))</f>
        <v/>
      </c>
      <c r="F1044" s="20"/>
      <c r="G1044" s="20"/>
      <c r="H1044" s="20"/>
      <c r="I1044" s="20"/>
      <c r="J1044" s="20"/>
      <c r="K1044" s="18" t="str">
        <f aca="false">IF(COUNT($F1044:$J1044)=0,"",SUM($F1044:$J1044))</f>
        <v/>
      </c>
      <c r="L1044" s="18" t="str">
        <f aca="false">IF(COUNT($F1044:$J1044)=0,"",MAX($F1044:$J1044))</f>
        <v/>
      </c>
      <c r="M1044" s="18" t="str">
        <f aca="false">IFERROR(IF(OR($C1044="",COUNT($F1044:$J1044)&lt;3),"",IF(N(INDEX(Lists!$C$2:$C$40,MATCH($C1044,Lists!$A$2:$A$40,0)))=0,"",IF(MIN($F1044:$J1044)&gt;=INDEX(Lists!$C$2:$C$40,MATCH($C1044,Lists!$A$2:$A$40,0)),"LEVEL UP",""))),"")</f>
        <v/>
      </c>
      <c r="N1044" s="20"/>
      <c r="O1044" s="19"/>
    </row>
    <row r="1045" customFormat="false" ht="15" hidden="false" customHeight="false" outlineLevel="0" collapsed="false">
      <c r="A1045" s="17"/>
      <c r="B1045" s="18" t="str">
        <f aca="false">IF($A1045="","",TEXT($A1045,"ddd"))</f>
        <v/>
      </c>
      <c r="C1045" s="19"/>
      <c r="D1045" s="19"/>
      <c r="E1045" s="18" t="str">
        <f aca="false">IF($C1045="","",IFERROR(INDEX(Lists!$B$2:$B$40,MATCH($C1045,Lists!$A$2:$A$40,0)),""))</f>
        <v/>
      </c>
      <c r="F1045" s="20"/>
      <c r="G1045" s="20"/>
      <c r="H1045" s="20"/>
      <c r="I1045" s="20"/>
      <c r="J1045" s="20"/>
      <c r="K1045" s="18" t="str">
        <f aca="false">IF(COUNT($F1045:$J1045)=0,"",SUM($F1045:$J1045))</f>
        <v/>
      </c>
      <c r="L1045" s="18" t="str">
        <f aca="false">IF(COUNT($F1045:$J1045)=0,"",MAX($F1045:$J1045))</f>
        <v/>
      </c>
      <c r="M1045" s="18" t="str">
        <f aca="false">IFERROR(IF(OR($C1045="",COUNT($F1045:$J1045)&lt;3),"",IF(N(INDEX(Lists!$C$2:$C$40,MATCH($C1045,Lists!$A$2:$A$40,0)))=0,"",IF(MIN($F1045:$J1045)&gt;=INDEX(Lists!$C$2:$C$40,MATCH($C1045,Lists!$A$2:$A$40,0)),"LEVEL UP",""))),"")</f>
        <v/>
      </c>
      <c r="N1045" s="20"/>
      <c r="O1045" s="19"/>
    </row>
    <row r="1046" customFormat="false" ht="15" hidden="false" customHeight="false" outlineLevel="0" collapsed="false">
      <c r="A1046" s="17"/>
      <c r="B1046" s="18" t="str">
        <f aca="false">IF($A1046="","",TEXT($A1046,"ddd"))</f>
        <v/>
      </c>
      <c r="C1046" s="19"/>
      <c r="D1046" s="19"/>
      <c r="E1046" s="18" t="str">
        <f aca="false">IF($C1046="","",IFERROR(INDEX(Lists!$B$2:$B$40,MATCH($C1046,Lists!$A$2:$A$40,0)),""))</f>
        <v/>
      </c>
      <c r="F1046" s="20"/>
      <c r="G1046" s="20"/>
      <c r="H1046" s="20"/>
      <c r="I1046" s="20"/>
      <c r="J1046" s="20"/>
      <c r="K1046" s="18" t="str">
        <f aca="false">IF(COUNT($F1046:$J1046)=0,"",SUM($F1046:$J1046))</f>
        <v/>
      </c>
      <c r="L1046" s="18" t="str">
        <f aca="false">IF(COUNT($F1046:$J1046)=0,"",MAX($F1046:$J1046))</f>
        <v/>
      </c>
      <c r="M1046" s="18" t="str">
        <f aca="false">IFERROR(IF(OR($C1046="",COUNT($F1046:$J1046)&lt;3),"",IF(N(INDEX(Lists!$C$2:$C$40,MATCH($C1046,Lists!$A$2:$A$40,0)))=0,"",IF(MIN($F1046:$J1046)&gt;=INDEX(Lists!$C$2:$C$40,MATCH($C1046,Lists!$A$2:$A$40,0)),"LEVEL UP",""))),"")</f>
        <v/>
      </c>
      <c r="N1046" s="20"/>
      <c r="O1046" s="19"/>
    </row>
    <row r="1047" customFormat="false" ht="15" hidden="false" customHeight="false" outlineLevel="0" collapsed="false">
      <c r="A1047" s="17"/>
      <c r="B1047" s="18" t="str">
        <f aca="false">IF($A1047="","",TEXT($A1047,"ddd"))</f>
        <v/>
      </c>
      <c r="C1047" s="19"/>
      <c r="D1047" s="19"/>
      <c r="E1047" s="18" t="str">
        <f aca="false">IF($C1047="","",IFERROR(INDEX(Lists!$B$2:$B$40,MATCH($C1047,Lists!$A$2:$A$40,0)),""))</f>
        <v/>
      </c>
      <c r="F1047" s="20"/>
      <c r="G1047" s="20"/>
      <c r="H1047" s="20"/>
      <c r="I1047" s="20"/>
      <c r="J1047" s="20"/>
      <c r="K1047" s="18" t="str">
        <f aca="false">IF(COUNT($F1047:$J1047)=0,"",SUM($F1047:$J1047))</f>
        <v/>
      </c>
      <c r="L1047" s="18" t="str">
        <f aca="false">IF(COUNT($F1047:$J1047)=0,"",MAX($F1047:$J1047))</f>
        <v/>
      </c>
      <c r="M1047" s="18" t="str">
        <f aca="false">IFERROR(IF(OR($C1047="",COUNT($F1047:$J1047)&lt;3),"",IF(N(INDEX(Lists!$C$2:$C$40,MATCH($C1047,Lists!$A$2:$A$40,0)))=0,"",IF(MIN($F1047:$J1047)&gt;=INDEX(Lists!$C$2:$C$40,MATCH($C1047,Lists!$A$2:$A$40,0)),"LEVEL UP",""))),"")</f>
        <v/>
      </c>
      <c r="N1047" s="20"/>
      <c r="O1047" s="19"/>
    </row>
    <row r="1048" customFormat="false" ht="15" hidden="false" customHeight="false" outlineLevel="0" collapsed="false">
      <c r="A1048" s="17"/>
      <c r="B1048" s="18" t="str">
        <f aca="false">IF($A1048="","",TEXT($A1048,"ddd"))</f>
        <v/>
      </c>
      <c r="C1048" s="19"/>
      <c r="D1048" s="19"/>
      <c r="E1048" s="18" t="str">
        <f aca="false">IF($C1048="","",IFERROR(INDEX(Lists!$B$2:$B$40,MATCH($C1048,Lists!$A$2:$A$40,0)),""))</f>
        <v/>
      </c>
      <c r="F1048" s="20"/>
      <c r="G1048" s="20"/>
      <c r="H1048" s="20"/>
      <c r="I1048" s="20"/>
      <c r="J1048" s="20"/>
      <c r="K1048" s="18" t="str">
        <f aca="false">IF(COUNT($F1048:$J1048)=0,"",SUM($F1048:$J1048))</f>
        <v/>
      </c>
      <c r="L1048" s="18" t="str">
        <f aca="false">IF(COUNT($F1048:$J1048)=0,"",MAX($F1048:$J1048))</f>
        <v/>
      </c>
      <c r="M1048" s="18" t="str">
        <f aca="false">IFERROR(IF(OR($C1048="",COUNT($F1048:$J1048)&lt;3),"",IF(N(INDEX(Lists!$C$2:$C$40,MATCH($C1048,Lists!$A$2:$A$40,0)))=0,"",IF(MIN($F1048:$J1048)&gt;=INDEX(Lists!$C$2:$C$40,MATCH($C1048,Lists!$A$2:$A$40,0)),"LEVEL UP",""))),"")</f>
        <v/>
      </c>
      <c r="N1048" s="20"/>
      <c r="O1048" s="19"/>
    </row>
    <row r="1049" customFormat="false" ht="15" hidden="false" customHeight="false" outlineLevel="0" collapsed="false">
      <c r="A1049" s="17"/>
      <c r="B1049" s="18" t="str">
        <f aca="false">IF($A1049="","",TEXT($A1049,"ddd"))</f>
        <v/>
      </c>
      <c r="C1049" s="19"/>
      <c r="D1049" s="19"/>
      <c r="E1049" s="18" t="str">
        <f aca="false">IF($C1049="","",IFERROR(INDEX(Lists!$B$2:$B$40,MATCH($C1049,Lists!$A$2:$A$40,0)),""))</f>
        <v/>
      </c>
      <c r="F1049" s="20"/>
      <c r="G1049" s="20"/>
      <c r="H1049" s="20"/>
      <c r="I1049" s="20"/>
      <c r="J1049" s="20"/>
      <c r="K1049" s="18" t="str">
        <f aca="false">IF(COUNT($F1049:$J1049)=0,"",SUM($F1049:$J1049))</f>
        <v/>
      </c>
      <c r="L1049" s="18" t="str">
        <f aca="false">IF(COUNT($F1049:$J1049)=0,"",MAX($F1049:$J1049))</f>
        <v/>
      </c>
      <c r="M1049" s="18" t="str">
        <f aca="false">IFERROR(IF(OR($C1049="",COUNT($F1049:$J1049)&lt;3),"",IF(N(INDEX(Lists!$C$2:$C$40,MATCH($C1049,Lists!$A$2:$A$40,0)))=0,"",IF(MIN($F1049:$J1049)&gt;=INDEX(Lists!$C$2:$C$40,MATCH($C1049,Lists!$A$2:$A$40,0)),"LEVEL UP",""))),"")</f>
        <v/>
      </c>
      <c r="N1049" s="20"/>
      <c r="O1049" s="19"/>
    </row>
    <row r="1050" customFormat="false" ht="15" hidden="false" customHeight="false" outlineLevel="0" collapsed="false">
      <c r="A1050" s="17"/>
      <c r="B1050" s="18" t="str">
        <f aca="false">IF($A1050="","",TEXT($A1050,"ddd"))</f>
        <v/>
      </c>
      <c r="C1050" s="19"/>
      <c r="D1050" s="19"/>
      <c r="E1050" s="18" t="str">
        <f aca="false">IF($C1050="","",IFERROR(INDEX(Lists!$B$2:$B$40,MATCH($C1050,Lists!$A$2:$A$40,0)),""))</f>
        <v/>
      </c>
      <c r="F1050" s="20"/>
      <c r="G1050" s="20"/>
      <c r="H1050" s="20"/>
      <c r="I1050" s="20"/>
      <c r="J1050" s="20"/>
      <c r="K1050" s="18" t="str">
        <f aca="false">IF(COUNT($F1050:$J1050)=0,"",SUM($F1050:$J1050))</f>
        <v/>
      </c>
      <c r="L1050" s="18" t="str">
        <f aca="false">IF(COUNT($F1050:$J1050)=0,"",MAX($F1050:$J1050))</f>
        <v/>
      </c>
      <c r="M1050" s="18" t="str">
        <f aca="false">IFERROR(IF(OR($C1050="",COUNT($F1050:$J1050)&lt;3),"",IF(N(INDEX(Lists!$C$2:$C$40,MATCH($C1050,Lists!$A$2:$A$40,0)))=0,"",IF(MIN($F1050:$J1050)&gt;=INDEX(Lists!$C$2:$C$40,MATCH($C1050,Lists!$A$2:$A$40,0)),"LEVEL UP",""))),"")</f>
        <v/>
      </c>
      <c r="N1050" s="20"/>
      <c r="O1050" s="19"/>
    </row>
    <row r="1051" customFormat="false" ht="15" hidden="false" customHeight="false" outlineLevel="0" collapsed="false">
      <c r="A1051" s="17"/>
      <c r="B1051" s="18" t="str">
        <f aca="false">IF($A1051="","",TEXT($A1051,"ddd"))</f>
        <v/>
      </c>
      <c r="C1051" s="19"/>
      <c r="D1051" s="19"/>
      <c r="E1051" s="18" t="str">
        <f aca="false">IF($C1051="","",IFERROR(INDEX(Lists!$B$2:$B$40,MATCH($C1051,Lists!$A$2:$A$40,0)),""))</f>
        <v/>
      </c>
      <c r="F1051" s="20"/>
      <c r="G1051" s="20"/>
      <c r="H1051" s="20"/>
      <c r="I1051" s="20"/>
      <c r="J1051" s="20"/>
      <c r="K1051" s="18" t="str">
        <f aca="false">IF(COUNT($F1051:$J1051)=0,"",SUM($F1051:$J1051))</f>
        <v/>
      </c>
      <c r="L1051" s="18" t="str">
        <f aca="false">IF(COUNT($F1051:$J1051)=0,"",MAX($F1051:$J1051))</f>
        <v/>
      </c>
      <c r="M1051" s="18" t="str">
        <f aca="false">IFERROR(IF(OR($C1051="",COUNT($F1051:$J1051)&lt;3),"",IF(N(INDEX(Lists!$C$2:$C$40,MATCH($C1051,Lists!$A$2:$A$40,0)))=0,"",IF(MIN($F1051:$J1051)&gt;=INDEX(Lists!$C$2:$C$40,MATCH($C1051,Lists!$A$2:$A$40,0)),"LEVEL UP",""))),"")</f>
        <v/>
      </c>
      <c r="N1051" s="20"/>
      <c r="O1051" s="19"/>
    </row>
    <row r="1052" customFormat="false" ht="15" hidden="false" customHeight="false" outlineLevel="0" collapsed="false">
      <c r="A1052" s="17"/>
      <c r="B1052" s="18" t="str">
        <f aca="false">IF($A1052="","",TEXT($A1052,"ddd"))</f>
        <v/>
      </c>
      <c r="C1052" s="19"/>
      <c r="D1052" s="19"/>
      <c r="E1052" s="18" t="str">
        <f aca="false">IF($C1052="","",IFERROR(INDEX(Lists!$B$2:$B$40,MATCH($C1052,Lists!$A$2:$A$40,0)),""))</f>
        <v/>
      </c>
      <c r="F1052" s="20"/>
      <c r="G1052" s="20"/>
      <c r="H1052" s="20"/>
      <c r="I1052" s="20"/>
      <c r="J1052" s="20"/>
      <c r="K1052" s="18" t="str">
        <f aca="false">IF(COUNT($F1052:$J1052)=0,"",SUM($F1052:$J1052))</f>
        <v/>
      </c>
      <c r="L1052" s="18" t="str">
        <f aca="false">IF(COUNT($F1052:$J1052)=0,"",MAX($F1052:$J1052))</f>
        <v/>
      </c>
      <c r="M1052" s="18" t="str">
        <f aca="false">IFERROR(IF(OR($C1052="",COUNT($F1052:$J1052)&lt;3),"",IF(N(INDEX(Lists!$C$2:$C$40,MATCH($C1052,Lists!$A$2:$A$40,0)))=0,"",IF(MIN($F1052:$J1052)&gt;=INDEX(Lists!$C$2:$C$40,MATCH($C1052,Lists!$A$2:$A$40,0)),"LEVEL UP",""))),"")</f>
        <v/>
      </c>
      <c r="N1052" s="20"/>
      <c r="O1052" s="19"/>
    </row>
    <row r="1053" customFormat="false" ht="15" hidden="false" customHeight="false" outlineLevel="0" collapsed="false">
      <c r="A1053" s="17"/>
      <c r="B1053" s="18" t="str">
        <f aca="false">IF($A1053="","",TEXT($A1053,"ddd"))</f>
        <v/>
      </c>
      <c r="C1053" s="19"/>
      <c r="D1053" s="19"/>
      <c r="E1053" s="18" t="str">
        <f aca="false">IF($C1053="","",IFERROR(INDEX(Lists!$B$2:$B$40,MATCH($C1053,Lists!$A$2:$A$40,0)),""))</f>
        <v/>
      </c>
      <c r="F1053" s="20"/>
      <c r="G1053" s="20"/>
      <c r="H1053" s="20"/>
      <c r="I1053" s="20"/>
      <c r="J1053" s="20"/>
      <c r="K1053" s="18" t="str">
        <f aca="false">IF(COUNT($F1053:$J1053)=0,"",SUM($F1053:$J1053))</f>
        <v/>
      </c>
      <c r="L1053" s="18" t="str">
        <f aca="false">IF(COUNT($F1053:$J1053)=0,"",MAX($F1053:$J1053))</f>
        <v/>
      </c>
      <c r="M1053" s="18" t="str">
        <f aca="false">IFERROR(IF(OR($C1053="",COUNT($F1053:$J1053)&lt;3),"",IF(N(INDEX(Lists!$C$2:$C$40,MATCH($C1053,Lists!$A$2:$A$40,0)))=0,"",IF(MIN($F1053:$J1053)&gt;=INDEX(Lists!$C$2:$C$40,MATCH($C1053,Lists!$A$2:$A$40,0)),"LEVEL UP",""))),"")</f>
        <v/>
      </c>
      <c r="N1053" s="20"/>
      <c r="O1053" s="19"/>
    </row>
    <row r="1054" customFormat="false" ht="15" hidden="false" customHeight="false" outlineLevel="0" collapsed="false">
      <c r="A1054" s="17"/>
      <c r="B1054" s="18" t="str">
        <f aca="false">IF($A1054="","",TEXT($A1054,"ddd"))</f>
        <v/>
      </c>
      <c r="C1054" s="19"/>
      <c r="D1054" s="19"/>
      <c r="E1054" s="18" t="str">
        <f aca="false">IF($C1054="","",IFERROR(INDEX(Lists!$B$2:$B$40,MATCH($C1054,Lists!$A$2:$A$40,0)),""))</f>
        <v/>
      </c>
      <c r="F1054" s="20"/>
      <c r="G1054" s="20"/>
      <c r="H1054" s="20"/>
      <c r="I1054" s="20"/>
      <c r="J1054" s="20"/>
      <c r="K1054" s="18" t="str">
        <f aca="false">IF(COUNT($F1054:$J1054)=0,"",SUM($F1054:$J1054))</f>
        <v/>
      </c>
      <c r="L1054" s="18" t="str">
        <f aca="false">IF(COUNT($F1054:$J1054)=0,"",MAX($F1054:$J1054))</f>
        <v/>
      </c>
      <c r="M1054" s="18" t="str">
        <f aca="false">IFERROR(IF(OR($C1054="",COUNT($F1054:$J1054)&lt;3),"",IF(N(INDEX(Lists!$C$2:$C$40,MATCH($C1054,Lists!$A$2:$A$40,0)))=0,"",IF(MIN($F1054:$J1054)&gt;=INDEX(Lists!$C$2:$C$40,MATCH($C1054,Lists!$A$2:$A$40,0)),"LEVEL UP",""))),"")</f>
        <v/>
      </c>
      <c r="N1054" s="20"/>
      <c r="O1054" s="19"/>
    </row>
    <row r="1055" customFormat="false" ht="15" hidden="false" customHeight="false" outlineLevel="0" collapsed="false">
      <c r="A1055" s="17"/>
      <c r="B1055" s="18" t="str">
        <f aca="false">IF($A1055="","",TEXT($A1055,"ddd"))</f>
        <v/>
      </c>
      <c r="C1055" s="19"/>
      <c r="D1055" s="19"/>
      <c r="E1055" s="18" t="str">
        <f aca="false">IF($C1055="","",IFERROR(INDEX(Lists!$B$2:$B$40,MATCH($C1055,Lists!$A$2:$A$40,0)),""))</f>
        <v/>
      </c>
      <c r="F1055" s="20"/>
      <c r="G1055" s="20"/>
      <c r="H1055" s="20"/>
      <c r="I1055" s="20"/>
      <c r="J1055" s="20"/>
      <c r="K1055" s="18" t="str">
        <f aca="false">IF(COUNT($F1055:$J1055)=0,"",SUM($F1055:$J1055))</f>
        <v/>
      </c>
      <c r="L1055" s="18" t="str">
        <f aca="false">IF(COUNT($F1055:$J1055)=0,"",MAX($F1055:$J1055))</f>
        <v/>
      </c>
      <c r="M1055" s="18" t="str">
        <f aca="false">IFERROR(IF(OR($C1055="",COUNT($F1055:$J1055)&lt;3),"",IF(N(INDEX(Lists!$C$2:$C$40,MATCH($C1055,Lists!$A$2:$A$40,0)))=0,"",IF(MIN($F1055:$J1055)&gt;=INDEX(Lists!$C$2:$C$40,MATCH($C1055,Lists!$A$2:$A$40,0)),"LEVEL UP",""))),"")</f>
        <v/>
      </c>
      <c r="N1055" s="20"/>
      <c r="O1055" s="19"/>
    </row>
    <row r="1056" customFormat="false" ht="15" hidden="false" customHeight="false" outlineLevel="0" collapsed="false">
      <c r="A1056" s="17"/>
      <c r="B1056" s="18" t="str">
        <f aca="false">IF($A1056="","",TEXT($A1056,"ddd"))</f>
        <v/>
      </c>
      <c r="C1056" s="19"/>
      <c r="D1056" s="19"/>
      <c r="E1056" s="18" t="str">
        <f aca="false">IF($C1056="","",IFERROR(INDEX(Lists!$B$2:$B$40,MATCH($C1056,Lists!$A$2:$A$40,0)),""))</f>
        <v/>
      </c>
      <c r="F1056" s="20"/>
      <c r="G1056" s="20"/>
      <c r="H1056" s="20"/>
      <c r="I1056" s="20"/>
      <c r="J1056" s="20"/>
      <c r="K1056" s="18" t="str">
        <f aca="false">IF(COUNT($F1056:$J1056)=0,"",SUM($F1056:$J1056))</f>
        <v/>
      </c>
      <c r="L1056" s="18" t="str">
        <f aca="false">IF(COUNT($F1056:$J1056)=0,"",MAX($F1056:$J1056))</f>
        <v/>
      </c>
      <c r="M1056" s="18" t="str">
        <f aca="false">IFERROR(IF(OR($C1056="",COUNT($F1056:$J1056)&lt;3),"",IF(N(INDEX(Lists!$C$2:$C$40,MATCH($C1056,Lists!$A$2:$A$40,0)))=0,"",IF(MIN($F1056:$J1056)&gt;=INDEX(Lists!$C$2:$C$40,MATCH($C1056,Lists!$A$2:$A$40,0)),"LEVEL UP",""))),"")</f>
        <v/>
      </c>
      <c r="N1056" s="20"/>
      <c r="O1056" s="19"/>
    </row>
    <row r="1057" customFormat="false" ht="15" hidden="false" customHeight="false" outlineLevel="0" collapsed="false">
      <c r="A1057" s="17"/>
      <c r="B1057" s="18" t="str">
        <f aca="false">IF($A1057="","",TEXT($A1057,"ddd"))</f>
        <v/>
      </c>
      <c r="C1057" s="19"/>
      <c r="D1057" s="19"/>
      <c r="E1057" s="18" t="str">
        <f aca="false">IF($C1057="","",IFERROR(INDEX(Lists!$B$2:$B$40,MATCH($C1057,Lists!$A$2:$A$40,0)),""))</f>
        <v/>
      </c>
      <c r="F1057" s="20"/>
      <c r="G1057" s="20"/>
      <c r="H1057" s="20"/>
      <c r="I1057" s="20"/>
      <c r="J1057" s="20"/>
      <c r="K1057" s="18" t="str">
        <f aca="false">IF(COUNT($F1057:$J1057)=0,"",SUM($F1057:$J1057))</f>
        <v/>
      </c>
      <c r="L1057" s="18" t="str">
        <f aca="false">IF(COUNT($F1057:$J1057)=0,"",MAX($F1057:$J1057))</f>
        <v/>
      </c>
      <c r="M1057" s="18" t="str">
        <f aca="false">IFERROR(IF(OR($C1057="",COUNT($F1057:$J1057)&lt;3),"",IF(N(INDEX(Lists!$C$2:$C$40,MATCH($C1057,Lists!$A$2:$A$40,0)))=0,"",IF(MIN($F1057:$J1057)&gt;=INDEX(Lists!$C$2:$C$40,MATCH($C1057,Lists!$A$2:$A$40,0)),"LEVEL UP",""))),"")</f>
        <v/>
      </c>
      <c r="N1057" s="20"/>
      <c r="O1057" s="19"/>
    </row>
    <row r="1058" customFormat="false" ht="15" hidden="false" customHeight="false" outlineLevel="0" collapsed="false">
      <c r="A1058" s="17"/>
      <c r="B1058" s="18" t="str">
        <f aca="false">IF($A1058="","",TEXT($A1058,"ddd"))</f>
        <v/>
      </c>
      <c r="C1058" s="19"/>
      <c r="D1058" s="19"/>
      <c r="E1058" s="18" t="str">
        <f aca="false">IF($C1058="","",IFERROR(INDEX(Lists!$B$2:$B$40,MATCH($C1058,Lists!$A$2:$A$40,0)),""))</f>
        <v/>
      </c>
      <c r="F1058" s="20"/>
      <c r="G1058" s="20"/>
      <c r="H1058" s="20"/>
      <c r="I1058" s="20"/>
      <c r="J1058" s="20"/>
      <c r="K1058" s="18" t="str">
        <f aca="false">IF(COUNT($F1058:$J1058)=0,"",SUM($F1058:$J1058))</f>
        <v/>
      </c>
      <c r="L1058" s="18" t="str">
        <f aca="false">IF(COUNT($F1058:$J1058)=0,"",MAX($F1058:$J1058))</f>
        <v/>
      </c>
      <c r="M1058" s="18" t="str">
        <f aca="false">IFERROR(IF(OR($C1058="",COUNT($F1058:$J1058)&lt;3),"",IF(N(INDEX(Lists!$C$2:$C$40,MATCH($C1058,Lists!$A$2:$A$40,0)))=0,"",IF(MIN($F1058:$J1058)&gt;=INDEX(Lists!$C$2:$C$40,MATCH($C1058,Lists!$A$2:$A$40,0)),"LEVEL UP",""))),"")</f>
        <v/>
      </c>
      <c r="N1058" s="20"/>
      <c r="O1058" s="19"/>
    </row>
    <row r="1059" customFormat="false" ht="15" hidden="false" customHeight="false" outlineLevel="0" collapsed="false">
      <c r="A1059" s="17"/>
      <c r="B1059" s="18" t="str">
        <f aca="false">IF($A1059="","",TEXT($A1059,"ddd"))</f>
        <v/>
      </c>
      <c r="C1059" s="19"/>
      <c r="D1059" s="19"/>
      <c r="E1059" s="18" t="str">
        <f aca="false">IF($C1059="","",IFERROR(INDEX(Lists!$B$2:$B$40,MATCH($C1059,Lists!$A$2:$A$40,0)),""))</f>
        <v/>
      </c>
      <c r="F1059" s="20"/>
      <c r="G1059" s="20"/>
      <c r="H1059" s="20"/>
      <c r="I1059" s="20"/>
      <c r="J1059" s="20"/>
      <c r="K1059" s="18" t="str">
        <f aca="false">IF(COUNT($F1059:$J1059)=0,"",SUM($F1059:$J1059))</f>
        <v/>
      </c>
      <c r="L1059" s="18" t="str">
        <f aca="false">IF(COUNT($F1059:$J1059)=0,"",MAX($F1059:$J1059))</f>
        <v/>
      </c>
      <c r="M1059" s="18" t="str">
        <f aca="false">IFERROR(IF(OR($C1059="",COUNT($F1059:$J1059)&lt;3),"",IF(N(INDEX(Lists!$C$2:$C$40,MATCH($C1059,Lists!$A$2:$A$40,0)))=0,"",IF(MIN($F1059:$J1059)&gt;=INDEX(Lists!$C$2:$C$40,MATCH($C1059,Lists!$A$2:$A$40,0)),"LEVEL UP",""))),"")</f>
        <v/>
      </c>
      <c r="N1059" s="20"/>
      <c r="O1059" s="19"/>
    </row>
    <row r="1060" customFormat="false" ht="15" hidden="false" customHeight="false" outlineLevel="0" collapsed="false">
      <c r="A1060" s="17"/>
      <c r="B1060" s="18" t="str">
        <f aca="false">IF($A1060="","",TEXT($A1060,"ddd"))</f>
        <v/>
      </c>
      <c r="C1060" s="19"/>
      <c r="D1060" s="19"/>
      <c r="E1060" s="18" t="str">
        <f aca="false">IF($C1060="","",IFERROR(INDEX(Lists!$B$2:$B$40,MATCH($C1060,Lists!$A$2:$A$40,0)),""))</f>
        <v/>
      </c>
      <c r="F1060" s="20"/>
      <c r="G1060" s="20"/>
      <c r="H1060" s="20"/>
      <c r="I1060" s="20"/>
      <c r="J1060" s="20"/>
      <c r="K1060" s="18" t="str">
        <f aca="false">IF(COUNT($F1060:$J1060)=0,"",SUM($F1060:$J1060))</f>
        <v/>
      </c>
      <c r="L1060" s="18" t="str">
        <f aca="false">IF(COUNT($F1060:$J1060)=0,"",MAX($F1060:$J1060))</f>
        <v/>
      </c>
      <c r="M1060" s="18" t="str">
        <f aca="false">IFERROR(IF(OR($C1060="",COUNT($F1060:$J1060)&lt;3),"",IF(N(INDEX(Lists!$C$2:$C$40,MATCH($C1060,Lists!$A$2:$A$40,0)))=0,"",IF(MIN($F1060:$J1060)&gt;=INDEX(Lists!$C$2:$C$40,MATCH($C1060,Lists!$A$2:$A$40,0)),"LEVEL UP",""))),"")</f>
        <v/>
      </c>
      <c r="N1060" s="20"/>
      <c r="O1060" s="19"/>
    </row>
    <row r="1061" customFormat="false" ht="15" hidden="false" customHeight="false" outlineLevel="0" collapsed="false">
      <c r="A1061" s="17"/>
      <c r="B1061" s="18" t="str">
        <f aca="false">IF($A1061="","",TEXT($A1061,"ddd"))</f>
        <v/>
      </c>
      <c r="C1061" s="19"/>
      <c r="D1061" s="19"/>
      <c r="E1061" s="18" t="str">
        <f aca="false">IF($C1061="","",IFERROR(INDEX(Lists!$B$2:$B$40,MATCH($C1061,Lists!$A$2:$A$40,0)),""))</f>
        <v/>
      </c>
      <c r="F1061" s="20"/>
      <c r="G1061" s="20"/>
      <c r="H1061" s="20"/>
      <c r="I1061" s="20"/>
      <c r="J1061" s="20"/>
      <c r="K1061" s="18" t="str">
        <f aca="false">IF(COUNT($F1061:$J1061)=0,"",SUM($F1061:$J1061))</f>
        <v/>
      </c>
      <c r="L1061" s="18" t="str">
        <f aca="false">IF(COUNT($F1061:$J1061)=0,"",MAX($F1061:$J1061))</f>
        <v/>
      </c>
      <c r="M1061" s="18" t="str">
        <f aca="false">IFERROR(IF(OR($C1061="",COUNT($F1061:$J1061)&lt;3),"",IF(N(INDEX(Lists!$C$2:$C$40,MATCH($C1061,Lists!$A$2:$A$40,0)))=0,"",IF(MIN($F1061:$J1061)&gt;=INDEX(Lists!$C$2:$C$40,MATCH($C1061,Lists!$A$2:$A$40,0)),"LEVEL UP",""))),"")</f>
        <v/>
      </c>
      <c r="N1061" s="20"/>
      <c r="O1061" s="19"/>
    </row>
    <row r="1062" customFormat="false" ht="15" hidden="false" customHeight="false" outlineLevel="0" collapsed="false">
      <c r="A1062" s="17"/>
      <c r="B1062" s="18" t="str">
        <f aca="false">IF($A1062="","",TEXT($A1062,"ddd"))</f>
        <v/>
      </c>
      <c r="C1062" s="19"/>
      <c r="D1062" s="19"/>
      <c r="E1062" s="18" t="str">
        <f aca="false">IF($C1062="","",IFERROR(INDEX(Lists!$B$2:$B$40,MATCH($C1062,Lists!$A$2:$A$40,0)),""))</f>
        <v/>
      </c>
      <c r="F1062" s="20"/>
      <c r="G1062" s="20"/>
      <c r="H1062" s="20"/>
      <c r="I1062" s="20"/>
      <c r="J1062" s="20"/>
      <c r="K1062" s="18" t="str">
        <f aca="false">IF(COUNT($F1062:$J1062)=0,"",SUM($F1062:$J1062))</f>
        <v/>
      </c>
      <c r="L1062" s="18" t="str">
        <f aca="false">IF(COUNT($F1062:$J1062)=0,"",MAX($F1062:$J1062))</f>
        <v/>
      </c>
      <c r="M1062" s="18" t="str">
        <f aca="false">IFERROR(IF(OR($C1062="",COUNT($F1062:$J1062)&lt;3),"",IF(N(INDEX(Lists!$C$2:$C$40,MATCH($C1062,Lists!$A$2:$A$40,0)))=0,"",IF(MIN($F1062:$J1062)&gt;=INDEX(Lists!$C$2:$C$40,MATCH($C1062,Lists!$A$2:$A$40,0)),"LEVEL UP",""))),"")</f>
        <v/>
      </c>
      <c r="N1062" s="20"/>
      <c r="O1062" s="19"/>
    </row>
    <row r="1063" customFormat="false" ht="15" hidden="false" customHeight="false" outlineLevel="0" collapsed="false">
      <c r="A1063" s="17"/>
      <c r="B1063" s="18" t="str">
        <f aca="false">IF($A1063="","",TEXT($A1063,"ddd"))</f>
        <v/>
      </c>
      <c r="C1063" s="19"/>
      <c r="D1063" s="19"/>
      <c r="E1063" s="18" t="str">
        <f aca="false">IF($C1063="","",IFERROR(INDEX(Lists!$B$2:$B$40,MATCH($C1063,Lists!$A$2:$A$40,0)),""))</f>
        <v/>
      </c>
      <c r="F1063" s="20"/>
      <c r="G1063" s="20"/>
      <c r="H1063" s="20"/>
      <c r="I1063" s="20"/>
      <c r="J1063" s="20"/>
      <c r="K1063" s="18" t="str">
        <f aca="false">IF(COUNT($F1063:$J1063)=0,"",SUM($F1063:$J1063))</f>
        <v/>
      </c>
      <c r="L1063" s="18" t="str">
        <f aca="false">IF(COUNT($F1063:$J1063)=0,"",MAX($F1063:$J1063))</f>
        <v/>
      </c>
      <c r="M1063" s="18" t="str">
        <f aca="false">IFERROR(IF(OR($C1063="",COUNT($F1063:$J1063)&lt;3),"",IF(N(INDEX(Lists!$C$2:$C$40,MATCH($C1063,Lists!$A$2:$A$40,0)))=0,"",IF(MIN($F1063:$J1063)&gt;=INDEX(Lists!$C$2:$C$40,MATCH($C1063,Lists!$A$2:$A$40,0)),"LEVEL UP",""))),"")</f>
        <v/>
      </c>
      <c r="N1063" s="20"/>
      <c r="O1063" s="19"/>
    </row>
    <row r="1064" customFormat="false" ht="15" hidden="false" customHeight="false" outlineLevel="0" collapsed="false">
      <c r="A1064" s="17"/>
      <c r="B1064" s="18" t="str">
        <f aca="false">IF($A1064="","",TEXT($A1064,"ddd"))</f>
        <v/>
      </c>
      <c r="C1064" s="19"/>
      <c r="D1064" s="19"/>
      <c r="E1064" s="18" t="str">
        <f aca="false">IF($C1064="","",IFERROR(INDEX(Lists!$B$2:$B$40,MATCH($C1064,Lists!$A$2:$A$40,0)),""))</f>
        <v/>
      </c>
      <c r="F1064" s="20"/>
      <c r="G1064" s="20"/>
      <c r="H1064" s="20"/>
      <c r="I1064" s="20"/>
      <c r="J1064" s="20"/>
      <c r="K1064" s="18" t="str">
        <f aca="false">IF(COUNT($F1064:$J1064)=0,"",SUM($F1064:$J1064))</f>
        <v/>
      </c>
      <c r="L1064" s="18" t="str">
        <f aca="false">IF(COUNT($F1064:$J1064)=0,"",MAX($F1064:$J1064))</f>
        <v/>
      </c>
      <c r="M1064" s="18" t="str">
        <f aca="false">IFERROR(IF(OR($C1064="",COUNT($F1064:$J1064)&lt;3),"",IF(N(INDEX(Lists!$C$2:$C$40,MATCH($C1064,Lists!$A$2:$A$40,0)))=0,"",IF(MIN($F1064:$J1064)&gt;=INDEX(Lists!$C$2:$C$40,MATCH($C1064,Lists!$A$2:$A$40,0)),"LEVEL UP",""))),"")</f>
        <v/>
      </c>
      <c r="N1064" s="20"/>
      <c r="O1064" s="19"/>
    </row>
    <row r="1065" customFormat="false" ht="15" hidden="false" customHeight="false" outlineLevel="0" collapsed="false">
      <c r="A1065" s="17"/>
      <c r="B1065" s="18" t="str">
        <f aca="false">IF($A1065="","",TEXT($A1065,"ddd"))</f>
        <v/>
      </c>
      <c r="C1065" s="19"/>
      <c r="D1065" s="19"/>
      <c r="E1065" s="18" t="str">
        <f aca="false">IF($C1065="","",IFERROR(INDEX(Lists!$B$2:$B$40,MATCH($C1065,Lists!$A$2:$A$40,0)),""))</f>
        <v/>
      </c>
      <c r="F1065" s="20"/>
      <c r="G1065" s="20"/>
      <c r="H1065" s="20"/>
      <c r="I1065" s="20"/>
      <c r="J1065" s="20"/>
      <c r="K1065" s="18" t="str">
        <f aca="false">IF(COUNT($F1065:$J1065)=0,"",SUM($F1065:$J1065))</f>
        <v/>
      </c>
      <c r="L1065" s="18" t="str">
        <f aca="false">IF(COUNT($F1065:$J1065)=0,"",MAX($F1065:$J1065))</f>
        <v/>
      </c>
      <c r="M1065" s="18" t="str">
        <f aca="false">IFERROR(IF(OR($C1065="",COUNT($F1065:$J1065)&lt;3),"",IF(N(INDEX(Lists!$C$2:$C$40,MATCH($C1065,Lists!$A$2:$A$40,0)))=0,"",IF(MIN($F1065:$J1065)&gt;=INDEX(Lists!$C$2:$C$40,MATCH($C1065,Lists!$A$2:$A$40,0)),"LEVEL UP",""))),"")</f>
        <v/>
      </c>
      <c r="N1065" s="20"/>
      <c r="O1065" s="19"/>
    </row>
    <row r="1066" customFormat="false" ht="15" hidden="false" customHeight="false" outlineLevel="0" collapsed="false">
      <c r="A1066" s="17"/>
      <c r="B1066" s="18" t="str">
        <f aca="false">IF($A1066="","",TEXT($A1066,"ddd"))</f>
        <v/>
      </c>
      <c r="C1066" s="19"/>
      <c r="D1066" s="19"/>
      <c r="E1066" s="18" t="str">
        <f aca="false">IF($C1066="","",IFERROR(INDEX(Lists!$B$2:$B$40,MATCH($C1066,Lists!$A$2:$A$40,0)),""))</f>
        <v/>
      </c>
      <c r="F1066" s="20"/>
      <c r="G1066" s="20"/>
      <c r="H1066" s="20"/>
      <c r="I1066" s="20"/>
      <c r="J1066" s="20"/>
      <c r="K1066" s="18" t="str">
        <f aca="false">IF(COUNT($F1066:$J1066)=0,"",SUM($F1066:$J1066))</f>
        <v/>
      </c>
      <c r="L1066" s="18" t="str">
        <f aca="false">IF(COUNT($F1066:$J1066)=0,"",MAX($F1066:$J1066))</f>
        <v/>
      </c>
      <c r="M1066" s="18" t="str">
        <f aca="false">IFERROR(IF(OR($C1066="",COUNT($F1066:$J1066)&lt;3),"",IF(N(INDEX(Lists!$C$2:$C$40,MATCH($C1066,Lists!$A$2:$A$40,0)))=0,"",IF(MIN($F1066:$J1066)&gt;=INDEX(Lists!$C$2:$C$40,MATCH($C1066,Lists!$A$2:$A$40,0)),"LEVEL UP",""))),"")</f>
        <v/>
      </c>
      <c r="N1066" s="20"/>
      <c r="O1066" s="19"/>
    </row>
    <row r="1067" customFormat="false" ht="15" hidden="false" customHeight="false" outlineLevel="0" collapsed="false">
      <c r="A1067" s="17"/>
      <c r="B1067" s="18" t="str">
        <f aca="false">IF($A1067="","",TEXT($A1067,"ddd"))</f>
        <v/>
      </c>
      <c r="C1067" s="19"/>
      <c r="D1067" s="19"/>
      <c r="E1067" s="18" t="str">
        <f aca="false">IF($C1067="","",IFERROR(INDEX(Lists!$B$2:$B$40,MATCH($C1067,Lists!$A$2:$A$40,0)),""))</f>
        <v/>
      </c>
      <c r="F1067" s="20"/>
      <c r="G1067" s="20"/>
      <c r="H1067" s="20"/>
      <c r="I1067" s="20"/>
      <c r="J1067" s="20"/>
      <c r="K1067" s="18" t="str">
        <f aca="false">IF(COUNT($F1067:$J1067)=0,"",SUM($F1067:$J1067))</f>
        <v/>
      </c>
      <c r="L1067" s="18" t="str">
        <f aca="false">IF(COUNT($F1067:$J1067)=0,"",MAX($F1067:$J1067))</f>
        <v/>
      </c>
      <c r="M1067" s="18" t="str">
        <f aca="false">IFERROR(IF(OR($C1067="",COUNT($F1067:$J1067)&lt;3),"",IF(N(INDEX(Lists!$C$2:$C$40,MATCH($C1067,Lists!$A$2:$A$40,0)))=0,"",IF(MIN($F1067:$J1067)&gt;=INDEX(Lists!$C$2:$C$40,MATCH($C1067,Lists!$A$2:$A$40,0)),"LEVEL UP",""))),"")</f>
        <v/>
      </c>
      <c r="N1067" s="20"/>
      <c r="O1067" s="19"/>
    </row>
    <row r="1068" customFormat="false" ht="15" hidden="false" customHeight="false" outlineLevel="0" collapsed="false">
      <c r="A1068" s="17"/>
      <c r="B1068" s="18" t="str">
        <f aca="false">IF($A1068="","",TEXT($A1068,"ddd"))</f>
        <v/>
      </c>
      <c r="C1068" s="19"/>
      <c r="D1068" s="19"/>
      <c r="E1068" s="18" t="str">
        <f aca="false">IF($C1068="","",IFERROR(INDEX(Lists!$B$2:$B$40,MATCH($C1068,Lists!$A$2:$A$40,0)),""))</f>
        <v/>
      </c>
      <c r="F1068" s="20"/>
      <c r="G1068" s="20"/>
      <c r="H1068" s="20"/>
      <c r="I1068" s="20"/>
      <c r="J1068" s="20"/>
      <c r="K1068" s="18" t="str">
        <f aca="false">IF(COUNT($F1068:$J1068)=0,"",SUM($F1068:$J1068))</f>
        <v/>
      </c>
      <c r="L1068" s="18" t="str">
        <f aca="false">IF(COUNT($F1068:$J1068)=0,"",MAX($F1068:$J1068))</f>
        <v/>
      </c>
      <c r="M1068" s="18" t="str">
        <f aca="false">IFERROR(IF(OR($C1068="",COUNT($F1068:$J1068)&lt;3),"",IF(N(INDEX(Lists!$C$2:$C$40,MATCH($C1068,Lists!$A$2:$A$40,0)))=0,"",IF(MIN($F1068:$J1068)&gt;=INDEX(Lists!$C$2:$C$40,MATCH($C1068,Lists!$A$2:$A$40,0)),"LEVEL UP",""))),"")</f>
        <v/>
      </c>
      <c r="N1068" s="20"/>
      <c r="O1068" s="19"/>
    </row>
    <row r="1069" customFormat="false" ht="15" hidden="false" customHeight="false" outlineLevel="0" collapsed="false">
      <c r="A1069" s="17"/>
      <c r="B1069" s="18" t="str">
        <f aca="false">IF($A1069="","",TEXT($A1069,"ddd"))</f>
        <v/>
      </c>
      <c r="C1069" s="19"/>
      <c r="D1069" s="19"/>
      <c r="E1069" s="18" t="str">
        <f aca="false">IF($C1069="","",IFERROR(INDEX(Lists!$B$2:$B$40,MATCH($C1069,Lists!$A$2:$A$40,0)),""))</f>
        <v/>
      </c>
      <c r="F1069" s="20"/>
      <c r="G1069" s="20"/>
      <c r="H1069" s="20"/>
      <c r="I1069" s="20"/>
      <c r="J1069" s="20"/>
      <c r="K1069" s="18" t="str">
        <f aca="false">IF(COUNT($F1069:$J1069)=0,"",SUM($F1069:$J1069))</f>
        <v/>
      </c>
      <c r="L1069" s="18" t="str">
        <f aca="false">IF(COUNT($F1069:$J1069)=0,"",MAX($F1069:$J1069))</f>
        <v/>
      </c>
      <c r="M1069" s="18" t="str">
        <f aca="false">IFERROR(IF(OR($C1069="",COUNT($F1069:$J1069)&lt;3),"",IF(N(INDEX(Lists!$C$2:$C$40,MATCH($C1069,Lists!$A$2:$A$40,0)))=0,"",IF(MIN($F1069:$J1069)&gt;=INDEX(Lists!$C$2:$C$40,MATCH($C1069,Lists!$A$2:$A$40,0)),"LEVEL UP",""))),"")</f>
        <v/>
      </c>
      <c r="N1069" s="20"/>
      <c r="O1069" s="19"/>
    </row>
    <row r="1070" customFormat="false" ht="15" hidden="false" customHeight="false" outlineLevel="0" collapsed="false">
      <c r="A1070" s="17"/>
      <c r="B1070" s="18" t="str">
        <f aca="false">IF($A1070="","",TEXT($A1070,"ddd"))</f>
        <v/>
      </c>
      <c r="C1070" s="19"/>
      <c r="D1070" s="19"/>
      <c r="E1070" s="18" t="str">
        <f aca="false">IF($C1070="","",IFERROR(INDEX(Lists!$B$2:$B$40,MATCH($C1070,Lists!$A$2:$A$40,0)),""))</f>
        <v/>
      </c>
      <c r="F1070" s="20"/>
      <c r="G1070" s="20"/>
      <c r="H1070" s="20"/>
      <c r="I1070" s="20"/>
      <c r="J1070" s="20"/>
      <c r="K1070" s="18" t="str">
        <f aca="false">IF(COUNT($F1070:$J1070)=0,"",SUM($F1070:$J1070))</f>
        <v/>
      </c>
      <c r="L1070" s="18" t="str">
        <f aca="false">IF(COUNT($F1070:$J1070)=0,"",MAX($F1070:$J1070))</f>
        <v/>
      </c>
      <c r="M1070" s="18" t="str">
        <f aca="false">IFERROR(IF(OR($C1070="",COUNT($F1070:$J1070)&lt;3),"",IF(N(INDEX(Lists!$C$2:$C$40,MATCH($C1070,Lists!$A$2:$A$40,0)))=0,"",IF(MIN($F1070:$J1070)&gt;=INDEX(Lists!$C$2:$C$40,MATCH($C1070,Lists!$A$2:$A$40,0)),"LEVEL UP",""))),"")</f>
        <v/>
      </c>
      <c r="N1070" s="20"/>
      <c r="O1070" s="19"/>
    </row>
    <row r="1071" customFormat="false" ht="15" hidden="false" customHeight="false" outlineLevel="0" collapsed="false">
      <c r="A1071" s="17"/>
      <c r="B1071" s="18" t="str">
        <f aca="false">IF($A1071="","",TEXT($A1071,"ddd"))</f>
        <v/>
      </c>
      <c r="C1071" s="19"/>
      <c r="D1071" s="19"/>
      <c r="E1071" s="18" t="str">
        <f aca="false">IF($C1071="","",IFERROR(INDEX(Lists!$B$2:$B$40,MATCH($C1071,Lists!$A$2:$A$40,0)),""))</f>
        <v/>
      </c>
      <c r="F1071" s="20"/>
      <c r="G1071" s="20"/>
      <c r="H1071" s="20"/>
      <c r="I1071" s="20"/>
      <c r="J1071" s="20"/>
      <c r="K1071" s="18" t="str">
        <f aca="false">IF(COUNT($F1071:$J1071)=0,"",SUM($F1071:$J1071))</f>
        <v/>
      </c>
      <c r="L1071" s="18" t="str">
        <f aca="false">IF(COUNT($F1071:$J1071)=0,"",MAX($F1071:$J1071))</f>
        <v/>
      </c>
      <c r="M1071" s="18" t="str">
        <f aca="false">IFERROR(IF(OR($C1071="",COUNT($F1071:$J1071)&lt;3),"",IF(N(INDEX(Lists!$C$2:$C$40,MATCH($C1071,Lists!$A$2:$A$40,0)))=0,"",IF(MIN($F1071:$J1071)&gt;=INDEX(Lists!$C$2:$C$40,MATCH($C1071,Lists!$A$2:$A$40,0)),"LEVEL UP",""))),"")</f>
        <v/>
      </c>
      <c r="N1071" s="20"/>
      <c r="O1071" s="19"/>
    </row>
    <row r="1072" customFormat="false" ht="15" hidden="false" customHeight="false" outlineLevel="0" collapsed="false">
      <c r="A1072" s="17"/>
      <c r="B1072" s="18" t="str">
        <f aca="false">IF($A1072="","",TEXT($A1072,"ddd"))</f>
        <v/>
      </c>
      <c r="C1072" s="19"/>
      <c r="D1072" s="19"/>
      <c r="E1072" s="18" t="str">
        <f aca="false">IF($C1072="","",IFERROR(INDEX(Lists!$B$2:$B$40,MATCH($C1072,Lists!$A$2:$A$40,0)),""))</f>
        <v/>
      </c>
      <c r="F1072" s="20"/>
      <c r="G1072" s="20"/>
      <c r="H1072" s="20"/>
      <c r="I1072" s="20"/>
      <c r="J1072" s="20"/>
      <c r="K1072" s="18" t="str">
        <f aca="false">IF(COUNT($F1072:$J1072)=0,"",SUM($F1072:$J1072))</f>
        <v/>
      </c>
      <c r="L1072" s="18" t="str">
        <f aca="false">IF(COUNT($F1072:$J1072)=0,"",MAX($F1072:$J1072))</f>
        <v/>
      </c>
      <c r="M1072" s="18" t="str">
        <f aca="false">IFERROR(IF(OR($C1072="",COUNT($F1072:$J1072)&lt;3),"",IF(N(INDEX(Lists!$C$2:$C$40,MATCH($C1072,Lists!$A$2:$A$40,0)))=0,"",IF(MIN($F1072:$J1072)&gt;=INDEX(Lists!$C$2:$C$40,MATCH($C1072,Lists!$A$2:$A$40,0)),"LEVEL UP",""))),"")</f>
        <v/>
      </c>
      <c r="N1072" s="20"/>
      <c r="O1072" s="19"/>
    </row>
    <row r="1073" customFormat="false" ht="15" hidden="false" customHeight="false" outlineLevel="0" collapsed="false">
      <c r="A1073" s="17"/>
      <c r="B1073" s="18" t="str">
        <f aca="false">IF($A1073="","",TEXT($A1073,"ddd"))</f>
        <v/>
      </c>
      <c r="C1073" s="19"/>
      <c r="D1073" s="19"/>
      <c r="E1073" s="18" t="str">
        <f aca="false">IF($C1073="","",IFERROR(INDEX(Lists!$B$2:$B$40,MATCH($C1073,Lists!$A$2:$A$40,0)),""))</f>
        <v/>
      </c>
      <c r="F1073" s="20"/>
      <c r="G1073" s="20"/>
      <c r="H1073" s="20"/>
      <c r="I1073" s="20"/>
      <c r="J1073" s="20"/>
      <c r="K1073" s="18" t="str">
        <f aca="false">IF(COUNT($F1073:$J1073)=0,"",SUM($F1073:$J1073))</f>
        <v/>
      </c>
      <c r="L1073" s="18" t="str">
        <f aca="false">IF(COUNT($F1073:$J1073)=0,"",MAX($F1073:$J1073))</f>
        <v/>
      </c>
      <c r="M1073" s="18" t="str">
        <f aca="false">IFERROR(IF(OR($C1073="",COUNT($F1073:$J1073)&lt;3),"",IF(N(INDEX(Lists!$C$2:$C$40,MATCH($C1073,Lists!$A$2:$A$40,0)))=0,"",IF(MIN($F1073:$J1073)&gt;=INDEX(Lists!$C$2:$C$40,MATCH($C1073,Lists!$A$2:$A$40,0)),"LEVEL UP",""))),"")</f>
        <v/>
      </c>
      <c r="N1073" s="20"/>
      <c r="O1073" s="19"/>
    </row>
    <row r="1074" customFormat="false" ht="15" hidden="false" customHeight="false" outlineLevel="0" collapsed="false">
      <c r="A1074" s="17"/>
      <c r="B1074" s="18" t="str">
        <f aca="false">IF($A1074="","",TEXT($A1074,"ddd"))</f>
        <v/>
      </c>
      <c r="C1074" s="19"/>
      <c r="D1074" s="19"/>
      <c r="E1074" s="18" t="str">
        <f aca="false">IF($C1074="","",IFERROR(INDEX(Lists!$B$2:$B$40,MATCH($C1074,Lists!$A$2:$A$40,0)),""))</f>
        <v/>
      </c>
      <c r="F1074" s="20"/>
      <c r="G1074" s="20"/>
      <c r="H1074" s="20"/>
      <c r="I1074" s="20"/>
      <c r="J1074" s="20"/>
      <c r="K1074" s="18" t="str">
        <f aca="false">IF(COUNT($F1074:$J1074)=0,"",SUM($F1074:$J1074))</f>
        <v/>
      </c>
      <c r="L1074" s="18" t="str">
        <f aca="false">IF(COUNT($F1074:$J1074)=0,"",MAX($F1074:$J1074))</f>
        <v/>
      </c>
      <c r="M1074" s="18" t="str">
        <f aca="false">IFERROR(IF(OR($C1074="",COUNT($F1074:$J1074)&lt;3),"",IF(N(INDEX(Lists!$C$2:$C$40,MATCH($C1074,Lists!$A$2:$A$40,0)))=0,"",IF(MIN($F1074:$J1074)&gt;=INDEX(Lists!$C$2:$C$40,MATCH($C1074,Lists!$A$2:$A$40,0)),"LEVEL UP",""))),"")</f>
        <v/>
      </c>
      <c r="N1074" s="20"/>
      <c r="O1074" s="19"/>
    </row>
    <row r="1075" customFormat="false" ht="15" hidden="false" customHeight="false" outlineLevel="0" collapsed="false">
      <c r="A1075" s="17"/>
      <c r="B1075" s="18" t="str">
        <f aca="false">IF($A1075="","",TEXT($A1075,"ddd"))</f>
        <v/>
      </c>
      <c r="C1075" s="19"/>
      <c r="D1075" s="19"/>
      <c r="E1075" s="18" t="str">
        <f aca="false">IF($C1075="","",IFERROR(INDEX(Lists!$B$2:$B$40,MATCH($C1075,Lists!$A$2:$A$40,0)),""))</f>
        <v/>
      </c>
      <c r="F1075" s="20"/>
      <c r="G1075" s="20"/>
      <c r="H1075" s="20"/>
      <c r="I1075" s="20"/>
      <c r="J1075" s="20"/>
      <c r="K1075" s="18" t="str">
        <f aca="false">IF(COUNT($F1075:$J1075)=0,"",SUM($F1075:$J1075))</f>
        <v/>
      </c>
      <c r="L1075" s="18" t="str">
        <f aca="false">IF(COUNT($F1075:$J1075)=0,"",MAX($F1075:$J1075))</f>
        <v/>
      </c>
      <c r="M1075" s="18" t="str">
        <f aca="false">IFERROR(IF(OR($C1075="",COUNT($F1075:$J1075)&lt;3),"",IF(N(INDEX(Lists!$C$2:$C$40,MATCH($C1075,Lists!$A$2:$A$40,0)))=0,"",IF(MIN($F1075:$J1075)&gt;=INDEX(Lists!$C$2:$C$40,MATCH($C1075,Lists!$A$2:$A$40,0)),"LEVEL UP",""))),"")</f>
        <v/>
      </c>
      <c r="N1075" s="20"/>
      <c r="O1075" s="19"/>
    </row>
    <row r="1076" customFormat="false" ht="15" hidden="false" customHeight="false" outlineLevel="0" collapsed="false">
      <c r="A1076" s="17"/>
      <c r="B1076" s="18" t="str">
        <f aca="false">IF($A1076="","",TEXT($A1076,"ddd"))</f>
        <v/>
      </c>
      <c r="C1076" s="19"/>
      <c r="D1076" s="19"/>
      <c r="E1076" s="18" t="str">
        <f aca="false">IF($C1076="","",IFERROR(INDEX(Lists!$B$2:$B$40,MATCH($C1076,Lists!$A$2:$A$40,0)),""))</f>
        <v/>
      </c>
      <c r="F1076" s="20"/>
      <c r="G1076" s="20"/>
      <c r="H1076" s="20"/>
      <c r="I1076" s="20"/>
      <c r="J1076" s="20"/>
      <c r="K1076" s="18" t="str">
        <f aca="false">IF(COUNT($F1076:$J1076)=0,"",SUM($F1076:$J1076))</f>
        <v/>
      </c>
      <c r="L1076" s="18" t="str">
        <f aca="false">IF(COUNT($F1076:$J1076)=0,"",MAX($F1076:$J1076))</f>
        <v/>
      </c>
      <c r="M1076" s="18" t="str">
        <f aca="false">IFERROR(IF(OR($C1076="",COUNT($F1076:$J1076)&lt;3),"",IF(N(INDEX(Lists!$C$2:$C$40,MATCH($C1076,Lists!$A$2:$A$40,0)))=0,"",IF(MIN($F1076:$J1076)&gt;=INDEX(Lists!$C$2:$C$40,MATCH($C1076,Lists!$A$2:$A$40,0)),"LEVEL UP",""))),"")</f>
        <v/>
      </c>
      <c r="N1076" s="20"/>
      <c r="O1076" s="19"/>
    </row>
    <row r="1077" customFormat="false" ht="15" hidden="false" customHeight="false" outlineLevel="0" collapsed="false">
      <c r="A1077" s="17"/>
      <c r="B1077" s="18" t="str">
        <f aca="false">IF($A1077="","",TEXT($A1077,"ddd"))</f>
        <v/>
      </c>
      <c r="C1077" s="19"/>
      <c r="D1077" s="19"/>
      <c r="E1077" s="18" t="str">
        <f aca="false">IF($C1077="","",IFERROR(INDEX(Lists!$B$2:$B$40,MATCH($C1077,Lists!$A$2:$A$40,0)),""))</f>
        <v/>
      </c>
      <c r="F1077" s="20"/>
      <c r="G1077" s="20"/>
      <c r="H1077" s="20"/>
      <c r="I1077" s="20"/>
      <c r="J1077" s="20"/>
      <c r="K1077" s="18" t="str">
        <f aca="false">IF(COUNT($F1077:$J1077)=0,"",SUM($F1077:$J1077))</f>
        <v/>
      </c>
      <c r="L1077" s="18" t="str">
        <f aca="false">IF(COUNT($F1077:$J1077)=0,"",MAX($F1077:$J1077))</f>
        <v/>
      </c>
      <c r="M1077" s="18" t="str">
        <f aca="false">IFERROR(IF(OR($C1077="",COUNT($F1077:$J1077)&lt;3),"",IF(N(INDEX(Lists!$C$2:$C$40,MATCH($C1077,Lists!$A$2:$A$40,0)))=0,"",IF(MIN($F1077:$J1077)&gt;=INDEX(Lists!$C$2:$C$40,MATCH($C1077,Lists!$A$2:$A$40,0)),"LEVEL UP",""))),"")</f>
        <v/>
      </c>
      <c r="N1077" s="20"/>
      <c r="O1077" s="19"/>
    </row>
    <row r="1078" customFormat="false" ht="15" hidden="false" customHeight="false" outlineLevel="0" collapsed="false">
      <c r="A1078" s="17"/>
      <c r="B1078" s="18" t="str">
        <f aca="false">IF($A1078="","",TEXT($A1078,"ddd"))</f>
        <v/>
      </c>
      <c r="C1078" s="19"/>
      <c r="D1078" s="19"/>
      <c r="E1078" s="18" t="str">
        <f aca="false">IF($C1078="","",IFERROR(INDEX(Lists!$B$2:$B$40,MATCH($C1078,Lists!$A$2:$A$40,0)),""))</f>
        <v/>
      </c>
      <c r="F1078" s="20"/>
      <c r="G1078" s="20"/>
      <c r="H1078" s="20"/>
      <c r="I1078" s="20"/>
      <c r="J1078" s="20"/>
      <c r="K1078" s="18" t="str">
        <f aca="false">IF(COUNT($F1078:$J1078)=0,"",SUM($F1078:$J1078))</f>
        <v/>
      </c>
      <c r="L1078" s="18" t="str">
        <f aca="false">IF(COUNT($F1078:$J1078)=0,"",MAX($F1078:$J1078))</f>
        <v/>
      </c>
      <c r="M1078" s="18" t="str">
        <f aca="false">IFERROR(IF(OR($C1078="",COUNT($F1078:$J1078)&lt;3),"",IF(N(INDEX(Lists!$C$2:$C$40,MATCH($C1078,Lists!$A$2:$A$40,0)))=0,"",IF(MIN($F1078:$J1078)&gt;=INDEX(Lists!$C$2:$C$40,MATCH($C1078,Lists!$A$2:$A$40,0)),"LEVEL UP",""))),"")</f>
        <v/>
      </c>
      <c r="N1078" s="20"/>
      <c r="O1078" s="19"/>
    </row>
    <row r="1079" customFormat="false" ht="15" hidden="false" customHeight="false" outlineLevel="0" collapsed="false">
      <c r="A1079" s="17"/>
      <c r="B1079" s="18" t="str">
        <f aca="false">IF($A1079="","",TEXT($A1079,"ddd"))</f>
        <v/>
      </c>
      <c r="C1079" s="19"/>
      <c r="D1079" s="19"/>
      <c r="E1079" s="18" t="str">
        <f aca="false">IF($C1079="","",IFERROR(INDEX(Lists!$B$2:$B$40,MATCH($C1079,Lists!$A$2:$A$40,0)),""))</f>
        <v/>
      </c>
      <c r="F1079" s="20"/>
      <c r="G1079" s="20"/>
      <c r="H1079" s="20"/>
      <c r="I1079" s="20"/>
      <c r="J1079" s="20"/>
      <c r="K1079" s="18" t="str">
        <f aca="false">IF(COUNT($F1079:$J1079)=0,"",SUM($F1079:$J1079))</f>
        <v/>
      </c>
      <c r="L1079" s="18" t="str">
        <f aca="false">IF(COUNT($F1079:$J1079)=0,"",MAX($F1079:$J1079))</f>
        <v/>
      </c>
      <c r="M1079" s="18" t="str">
        <f aca="false">IFERROR(IF(OR($C1079="",COUNT($F1079:$J1079)&lt;3),"",IF(N(INDEX(Lists!$C$2:$C$40,MATCH($C1079,Lists!$A$2:$A$40,0)))=0,"",IF(MIN($F1079:$J1079)&gt;=INDEX(Lists!$C$2:$C$40,MATCH($C1079,Lists!$A$2:$A$40,0)),"LEVEL UP",""))),"")</f>
        <v/>
      </c>
      <c r="N1079" s="20"/>
      <c r="O1079" s="19"/>
    </row>
    <row r="1080" customFormat="false" ht="15" hidden="false" customHeight="false" outlineLevel="0" collapsed="false">
      <c r="A1080" s="17"/>
      <c r="B1080" s="18" t="str">
        <f aca="false">IF($A1080="","",TEXT($A1080,"ddd"))</f>
        <v/>
      </c>
      <c r="C1080" s="19"/>
      <c r="D1080" s="19"/>
      <c r="E1080" s="18" t="str">
        <f aca="false">IF($C1080="","",IFERROR(INDEX(Lists!$B$2:$B$40,MATCH($C1080,Lists!$A$2:$A$40,0)),""))</f>
        <v/>
      </c>
      <c r="F1080" s="20"/>
      <c r="G1080" s="20"/>
      <c r="H1080" s="20"/>
      <c r="I1080" s="20"/>
      <c r="J1080" s="20"/>
      <c r="K1080" s="18" t="str">
        <f aca="false">IF(COUNT($F1080:$J1080)=0,"",SUM($F1080:$J1080))</f>
        <v/>
      </c>
      <c r="L1080" s="18" t="str">
        <f aca="false">IF(COUNT($F1080:$J1080)=0,"",MAX($F1080:$J1080))</f>
        <v/>
      </c>
      <c r="M1080" s="18" t="str">
        <f aca="false">IFERROR(IF(OR($C1080="",COUNT($F1080:$J1080)&lt;3),"",IF(N(INDEX(Lists!$C$2:$C$40,MATCH($C1080,Lists!$A$2:$A$40,0)))=0,"",IF(MIN($F1080:$J1080)&gt;=INDEX(Lists!$C$2:$C$40,MATCH($C1080,Lists!$A$2:$A$40,0)),"LEVEL UP",""))),"")</f>
        <v/>
      </c>
      <c r="N1080" s="20"/>
      <c r="O1080" s="19"/>
    </row>
    <row r="1081" customFormat="false" ht="15" hidden="false" customHeight="false" outlineLevel="0" collapsed="false">
      <c r="A1081" s="17"/>
      <c r="B1081" s="18" t="str">
        <f aca="false">IF($A1081="","",TEXT($A1081,"ddd"))</f>
        <v/>
      </c>
      <c r="C1081" s="19"/>
      <c r="D1081" s="19"/>
      <c r="E1081" s="18" t="str">
        <f aca="false">IF($C1081="","",IFERROR(INDEX(Lists!$B$2:$B$40,MATCH($C1081,Lists!$A$2:$A$40,0)),""))</f>
        <v/>
      </c>
      <c r="F1081" s="20"/>
      <c r="G1081" s="20"/>
      <c r="H1081" s="20"/>
      <c r="I1081" s="20"/>
      <c r="J1081" s="20"/>
      <c r="K1081" s="18" t="str">
        <f aca="false">IF(COUNT($F1081:$J1081)=0,"",SUM($F1081:$J1081))</f>
        <v/>
      </c>
      <c r="L1081" s="18" t="str">
        <f aca="false">IF(COUNT($F1081:$J1081)=0,"",MAX($F1081:$J1081))</f>
        <v/>
      </c>
      <c r="M1081" s="18" t="str">
        <f aca="false">IFERROR(IF(OR($C1081="",COUNT($F1081:$J1081)&lt;3),"",IF(N(INDEX(Lists!$C$2:$C$40,MATCH($C1081,Lists!$A$2:$A$40,0)))=0,"",IF(MIN($F1081:$J1081)&gt;=INDEX(Lists!$C$2:$C$40,MATCH($C1081,Lists!$A$2:$A$40,0)),"LEVEL UP",""))),"")</f>
        <v/>
      </c>
      <c r="N1081" s="20"/>
      <c r="O1081" s="19"/>
    </row>
    <row r="1082" customFormat="false" ht="15" hidden="false" customHeight="false" outlineLevel="0" collapsed="false">
      <c r="A1082" s="17"/>
      <c r="B1082" s="18" t="str">
        <f aca="false">IF($A1082="","",TEXT($A1082,"ddd"))</f>
        <v/>
      </c>
      <c r="C1082" s="19"/>
      <c r="D1082" s="19"/>
      <c r="E1082" s="18" t="str">
        <f aca="false">IF($C1082="","",IFERROR(INDEX(Lists!$B$2:$B$40,MATCH($C1082,Lists!$A$2:$A$40,0)),""))</f>
        <v/>
      </c>
      <c r="F1082" s="20"/>
      <c r="G1082" s="20"/>
      <c r="H1082" s="20"/>
      <c r="I1082" s="20"/>
      <c r="J1082" s="20"/>
      <c r="K1082" s="18" t="str">
        <f aca="false">IF(COUNT($F1082:$J1082)=0,"",SUM($F1082:$J1082))</f>
        <v/>
      </c>
      <c r="L1082" s="18" t="str">
        <f aca="false">IF(COUNT($F1082:$J1082)=0,"",MAX($F1082:$J1082))</f>
        <v/>
      </c>
      <c r="M1082" s="18" t="str">
        <f aca="false">IFERROR(IF(OR($C1082="",COUNT($F1082:$J1082)&lt;3),"",IF(N(INDEX(Lists!$C$2:$C$40,MATCH($C1082,Lists!$A$2:$A$40,0)))=0,"",IF(MIN($F1082:$J1082)&gt;=INDEX(Lists!$C$2:$C$40,MATCH($C1082,Lists!$A$2:$A$40,0)),"LEVEL UP",""))),"")</f>
        <v/>
      </c>
      <c r="N1082" s="20"/>
      <c r="O1082" s="19"/>
    </row>
    <row r="1083" customFormat="false" ht="15" hidden="false" customHeight="false" outlineLevel="0" collapsed="false">
      <c r="A1083" s="17"/>
      <c r="B1083" s="18" t="str">
        <f aca="false">IF($A1083="","",TEXT($A1083,"ddd"))</f>
        <v/>
      </c>
      <c r="C1083" s="19"/>
      <c r="D1083" s="19"/>
      <c r="E1083" s="18" t="str">
        <f aca="false">IF($C1083="","",IFERROR(INDEX(Lists!$B$2:$B$40,MATCH($C1083,Lists!$A$2:$A$40,0)),""))</f>
        <v/>
      </c>
      <c r="F1083" s="20"/>
      <c r="G1083" s="20"/>
      <c r="H1083" s="20"/>
      <c r="I1083" s="20"/>
      <c r="J1083" s="20"/>
      <c r="K1083" s="18" t="str">
        <f aca="false">IF(COUNT($F1083:$J1083)=0,"",SUM($F1083:$J1083))</f>
        <v/>
      </c>
      <c r="L1083" s="18" t="str">
        <f aca="false">IF(COUNT($F1083:$J1083)=0,"",MAX($F1083:$J1083))</f>
        <v/>
      </c>
      <c r="M1083" s="18" t="str">
        <f aca="false">IFERROR(IF(OR($C1083="",COUNT($F1083:$J1083)&lt;3),"",IF(N(INDEX(Lists!$C$2:$C$40,MATCH($C1083,Lists!$A$2:$A$40,0)))=0,"",IF(MIN($F1083:$J1083)&gt;=INDEX(Lists!$C$2:$C$40,MATCH($C1083,Lists!$A$2:$A$40,0)),"LEVEL UP",""))),"")</f>
        <v/>
      </c>
      <c r="N1083" s="20"/>
      <c r="O1083" s="19"/>
    </row>
    <row r="1084" customFormat="false" ht="15" hidden="false" customHeight="false" outlineLevel="0" collapsed="false">
      <c r="A1084" s="17"/>
      <c r="B1084" s="18" t="str">
        <f aca="false">IF($A1084="","",TEXT($A1084,"ddd"))</f>
        <v/>
      </c>
      <c r="C1084" s="19"/>
      <c r="D1084" s="19"/>
      <c r="E1084" s="18" t="str">
        <f aca="false">IF($C1084="","",IFERROR(INDEX(Lists!$B$2:$B$40,MATCH($C1084,Lists!$A$2:$A$40,0)),""))</f>
        <v/>
      </c>
      <c r="F1084" s="20"/>
      <c r="G1084" s="20"/>
      <c r="H1084" s="20"/>
      <c r="I1084" s="20"/>
      <c r="J1084" s="20"/>
      <c r="K1084" s="18" t="str">
        <f aca="false">IF(COUNT($F1084:$J1084)=0,"",SUM($F1084:$J1084))</f>
        <v/>
      </c>
      <c r="L1084" s="18" t="str">
        <f aca="false">IF(COUNT($F1084:$J1084)=0,"",MAX($F1084:$J1084))</f>
        <v/>
      </c>
      <c r="M1084" s="18" t="str">
        <f aca="false">IFERROR(IF(OR($C1084="",COUNT($F1084:$J1084)&lt;3),"",IF(N(INDEX(Lists!$C$2:$C$40,MATCH($C1084,Lists!$A$2:$A$40,0)))=0,"",IF(MIN($F1084:$J1084)&gt;=INDEX(Lists!$C$2:$C$40,MATCH($C1084,Lists!$A$2:$A$40,0)),"LEVEL UP",""))),"")</f>
        <v/>
      </c>
      <c r="N1084" s="20"/>
      <c r="O1084" s="19"/>
    </row>
    <row r="1085" customFormat="false" ht="15" hidden="false" customHeight="false" outlineLevel="0" collapsed="false">
      <c r="A1085" s="17"/>
      <c r="B1085" s="18" t="str">
        <f aca="false">IF($A1085="","",TEXT($A1085,"ddd"))</f>
        <v/>
      </c>
      <c r="C1085" s="19"/>
      <c r="D1085" s="19"/>
      <c r="E1085" s="18" t="str">
        <f aca="false">IF($C1085="","",IFERROR(INDEX(Lists!$B$2:$B$40,MATCH($C1085,Lists!$A$2:$A$40,0)),""))</f>
        <v/>
      </c>
      <c r="F1085" s="20"/>
      <c r="G1085" s="20"/>
      <c r="H1085" s="20"/>
      <c r="I1085" s="20"/>
      <c r="J1085" s="20"/>
      <c r="K1085" s="18" t="str">
        <f aca="false">IF(COUNT($F1085:$J1085)=0,"",SUM($F1085:$J1085))</f>
        <v/>
      </c>
      <c r="L1085" s="18" t="str">
        <f aca="false">IF(COUNT($F1085:$J1085)=0,"",MAX($F1085:$J1085))</f>
        <v/>
      </c>
      <c r="M1085" s="18" t="str">
        <f aca="false">IFERROR(IF(OR($C1085="",COUNT($F1085:$J1085)&lt;3),"",IF(N(INDEX(Lists!$C$2:$C$40,MATCH($C1085,Lists!$A$2:$A$40,0)))=0,"",IF(MIN($F1085:$J1085)&gt;=INDEX(Lists!$C$2:$C$40,MATCH($C1085,Lists!$A$2:$A$40,0)),"LEVEL UP",""))),"")</f>
        <v/>
      </c>
      <c r="N1085" s="20"/>
      <c r="O1085" s="19"/>
    </row>
    <row r="1086" customFormat="false" ht="15" hidden="false" customHeight="false" outlineLevel="0" collapsed="false">
      <c r="A1086" s="17"/>
      <c r="B1086" s="18" t="str">
        <f aca="false">IF($A1086="","",TEXT($A1086,"ddd"))</f>
        <v/>
      </c>
      <c r="C1086" s="19"/>
      <c r="D1086" s="19"/>
      <c r="E1086" s="18" t="str">
        <f aca="false">IF($C1086="","",IFERROR(INDEX(Lists!$B$2:$B$40,MATCH($C1086,Lists!$A$2:$A$40,0)),""))</f>
        <v/>
      </c>
      <c r="F1086" s="20"/>
      <c r="G1086" s="20"/>
      <c r="H1086" s="20"/>
      <c r="I1086" s="20"/>
      <c r="J1086" s="20"/>
      <c r="K1086" s="18" t="str">
        <f aca="false">IF(COUNT($F1086:$J1086)=0,"",SUM($F1086:$J1086))</f>
        <v/>
      </c>
      <c r="L1086" s="18" t="str">
        <f aca="false">IF(COUNT($F1086:$J1086)=0,"",MAX($F1086:$J1086))</f>
        <v/>
      </c>
      <c r="M1086" s="18" t="str">
        <f aca="false">IFERROR(IF(OR($C1086="",COUNT($F1086:$J1086)&lt;3),"",IF(N(INDEX(Lists!$C$2:$C$40,MATCH($C1086,Lists!$A$2:$A$40,0)))=0,"",IF(MIN($F1086:$J1086)&gt;=INDEX(Lists!$C$2:$C$40,MATCH($C1086,Lists!$A$2:$A$40,0)),"LEVEL UP",""))),"")</f>
        <v/>
      </c>
      <c r="N1086" s="20"/>
      <c r="O1086" s="19"/>
    </row>
    <row r="1087" customFormat="false" ht="15" hidden="false" customHeight="false" outlineLevel="0" collapsed="false">
      <c r="A1087" s="17"/>
      <c r="B1087" s="18" t="str">
        <f aca="false">IF($A1087="","",TEXT($A1087,"ddd"))</f>
        <v/>
      </c>
      <c r="C1087" s="19"/>
      <c r="D1087" s="19"/>
      <c r="E1087" s="18" t="str">
        <f aca="false">IF($C1087="","",IFERROR(INDEX(Lists!$B$2:$B$40,MATCH($C1087,Lists!$A$2:$A$40,0)),""))</f>
        <v/>
      </c>
      <c r="F1087" s="20"/>
      <c r="G1087" s="20"/>
      <c r="H1087" s="20"/>
      <c r="I1087" s="20"/>
      <c r="J1087" s="20"/>
      <c r="K1087" s="18" t="str">
        <f aca="false">IF(COUNT($F1087:$J1087)=0,"",SUM($F1087:$J1087))</f>
        <v/>
      </c>
      <c r="L1087" s="18" t="str">
        <f aca="false">IF(COUNT($F1087:$J1087)=0,"",MAX($F1087:$J1087))</f>
        <v/>
      </c>
      <c r="M1087" s="18" t="str">
        <f aca="false">IFERROR(IF(OR($C1087="",COUNT($F1087:$J1087)&lt;3),"",IF(N(INDEX(Lists!$C$2:$C$40,MATCH($C1087,Lists!$A$2:$A$40,0)))=0,"",IF(MIN($F1087:$J1087)&gt;=INDEX(Lists!$C$2:$C$40,MATCH($C1087,Lists!$A$2:$A$40,0)),"LEVEL UP",""))),"")</f>
        <v/>
      </c>
      <c r="N1087" s="20"/>
      <c r="O1087" s="19"/>
    </row>
    <row r="1088" customFormat="false" ht="15" hidden="false" customHeight="false" outlineLevel="0" collapsed="false">
      <c r="A1088" s="17"/>
      <c r="B1088" s="18" t="str">
        <f aca="false">IF($A1088="","",TEXT($A1088,"ddd"))</f>
        <v/>
      </c>
      <c r="C1088" s="19"/>
      <c r="D1088" s="19"/>
      <c r="E1088" s="18" t="str">
        <f aca="false">IF($C1088="","",IFERROR(INDEX(Lists!$B$2:$B$40,MATCH($C1088,Lists!$A$2:$A$40,0)),""))</f>
        <v/>
      </c>
      <c r="F1088" s="20"/>
      <c r="G1088" s="20"/>
      <c r="H1088" s="20"/>
      <c r="I1088" s="20"/>
      <c r="J1088" s="20"/>
      <c r="K1088" s="18" t="str">
        <f aca="false">IF(COUNT($F1088:$J1088)=0,"",SUM($F1088:$J1088))</f>
        <v/>
      </c>
      <c r="L1088" s="18" t="str">
        <f aca="false">IF(COUNT($F1088:$J1088)=0,"",MAX($F1088:$J1088))</f>
        <v/>
      </c>
      <c r="M1088" s="18" t="str">
        <f aca="false">IFERROR(IF(OR($C1088="",COUNT($F1088:$J1088)&lt;3),"",IF(N(INDEX(Lists!$C$2:$C$40,MATCH($C1088,Lists!$A$2:$A$40,0)))=0,"",IF(MIN($F1088:$J1088)&gt;=INDEX(Lists!$C$2:$C$40,MATCH($C1088,Lists!$A$2:$A$40,0)),"LEVEL UP",""))),"")</f>
        <v/>
      </c>
      <c r="N1088" s="20"/>
      <c r="O1088" s="19"/>
    </row>
    <row r="1089" customFormat="false" ht="15" hidden="false" customHeight="false" outlineLevel="0" collapsed="false">
      <c r="A1089" s="17"/>
      <c r="B1089" s="18" t="str">
        <f aca="false">IF($A1089="","",TEXT($A1089,"ddd"))</f>
        <v/>
      </c>
      <c r="C1089" s="19"/>
      <c r="D1089" s="19"/>
      <c r="E1089" s="18" t="str">
        <f aca="false">IF($C1089="","",IFERROR(INDEX(Lists!$B$2:$B$40,MATCH($C1089,Lists!$A$2:$A$40,0)),""))</f>
        <v/>
      </c>
      <c r="F1089" s="20"/>
      <c r="G1089" s="20"/>
      <c r="H1089" s="20"/>
      <c r="I1089" s="20"/>
      <c r="J1089" s="20"/>
      <c r="K1089" s="18" t="str">
        <f aca="false">IF(COUNT($F1089:$J1089)=0,"",SUM($F1089:$J1089))</f>
        <v/>
      </c>
      <c r="L1089" s="18" t="str">
        <f aca="false">IF(COUNT($F1089:$J1089)=0,"",MAX($F1089:$J1089))</f>
        <v/>
      </c>
      <c r="M1089" s="18" t="str">
        <f aca="false">IFERROR(IF(OR($C1089="",COUNT($F1089:$J1089)&lt;3),"",IF(N(INDEX(Lists!$C$2:$C$40,MATCH($C1089,Lists!$A$2:$A$40,0)))=0,"",IF(MIN($F1089:$J1089)&gt;=INDEX(Lists!$C$2:$C$40,MATCH($C1089,Lists!$A$2:$A$40,0)),"LEVEL UP",""))),"")</f>
        <v/>
      </c>
      <c r="N1089" s="20"/>
      <c r="O1089" s="19"/>
    </row>
    <row r="1090" customFormat="false" ht="15" hidden="false" customHeight="false" outlineLevel="0" collapsed="false">
      <c r="A1090" s="17"/>
      <c r="B1090" s="18" t="str">
        <f aca="false">IF($A1090="","",TEXT($A1090,"ddd"))</f>
        <v/>
      </c>
      <c r="C1090" s="19"/>
      <c r="D1090" s="19"/>
      <c r="E1090" s="18" t="str">
        <f aca="false">IF($C1090="","",IFERROR(INDEX(Lists!$B$2:$B$40,MATCH($C1090,Lists!$A$2:$A$40,0)),""))</f>
        <v/>
      </c>
      <c r="F1090" s="20"/>
      <c r="G1090" s="20"/>
      <c r="H1090" s="20"/>
      <c r="I1090" s="20"/>
      <c r="J1090" s="20"/>
      <c r="K1090" s="18" t="str">
        <f aca="false">IF(COUNT($F1090:$J1090)=0,"",SUM($F1090:$J1090))</f>
        <v/>
      </c>
      <c r="L1090" s="18" t="str">
        <f aca="false">IF(COUNT($F1090:$J1090)=0,"",MAX($F1090:$J1090))</f>
        <v/>
      </c>
      <c r="M1090" s="18" t="str">
        <f aca="false">IFERROR(IF(OR($C1090="",COUNT($F1090:$J1090)&lt;3),"",IF(N(INDEX(Lists!$C$2:$C$40,MATCH($C1090,Lists!$A$2:$A$40,0)))=0,"",IF(MIN($F1090:$J1090)&gt;=INDEX(Lists!$C$2:$C$40,MATCH($C1090,Lists!$A$2:$A$40,0)),"LEVEL UP",""))),"")</f>
        <v/>
      </c>
      <c r="N1090" s="20"/>
      <c r="O1090" s="19"/>
    </row>
    <row r="1091" customFormat="false" ht="15" hidden="false" customHeight="false" outlineLevel="0" collapsed="false">
      <c r="A1091" s="17"/>
      <c r="B1091" s="18" t="str">
        <f aca="false">IF($A1091="","",TEXT($A1091,"ddd"))</f>
        <v/>
      </c>
      <c r="C1091" s="19"/>
      <c r="D1091" s="19"/>
      <c r="E1091" s="18" t="str">
        <f aca="false">IF($C1091="","",IFERROR(INDEX(Lists!$B$2:$B$40,MATCH($C1091,Lists!$A$2:$A$40,0)),""))</f>
        <v/>
      </c>
      <c r="F1091" s="20"/>
      <c r="G1091" s="20"/>
      <c r="H1091" s="20"/>
      <c r="I1091" s="20"/>
      <c r="J1091" s="20"/>
      <c r="K1091" s="18" t="str">
        <f aca="false">IF(COUNT($F1091:$J1091)=0,"",SUM($F1091:$J1091))</f>
        <v/>
      </c>
      <c r="L1091" s="18" t="str">
        <f aca="false">IF(COUNT($F1091:$J1091)=0,"",MAX($F1091:$J1091))</f>
        <v/>
      </c>
      <c r="M1091" s="18" t="str">
        <f aca="false">IFERROR(IF(OR($C1091="",COUNT($F1091:$J1091)&lt;3),"",IF(N(INDEX(Lists!$C$2:$C$40,MATCH($C1091,Lists!$A$2:$A$40,0)))=0,"",IF(MIN($F1091:$J1091)&gt;=INDEX(Lists!$C$2:$C$40,MATCH($C1091,Lists!$A$2:$A$40,0)),"LEVEL UP",""))),"")</f>
        <v/>
      </c>
      <c r="N1091" s="20"/>
      <c r="O1091" s="19"/>
    </row>
    <row r="1092" customFormat="false" ht="15" hidden="false" customHeight="false" outlineLevel="0" collapsed="false">
      <c r="A1092" s="17"/>
      <c r="B1092" s="18" t="str">
        <f aca="false">IF($A1092="","",TEXT($A1092,"ddd"))</f>
        <v/>
      </c>
      <c r="C1092" s="19"/>
      <c r="D1092" s="19"/>
      <c r="E1092" s="18" t="str">
        <f aca="false">IF($C1092="","",IFERROR(INDEX(Lists!$B$2:$B$40,MATCH($C1092,Lists!$A$2:$A$40,0)),""))</f>
        <v/>
      </c>
      <c r="F1092" s="20"/>
      <c r="G1092" s="20"/>
      <c r="H1092" s="20"/>
      <c r="I1092" s="20"/>
      <c r="J1092" s="20"/>
      <c r="K1092" s="18" t="str">
        <f aca="false">IF(COUNT($F1092:$J1092)=0,"",SUM($F1092:$J1092))</f>
        <v/>
      </c>
      <c r="L1092" s="18" t="str">
        <f aca="false">IF(COUNT($F1092:$J1092)=0,"",MAX($F1092:$J1092))</f>
        <v/>
      </c>
      <c r="M1092" s="18" t="str">
        <f aca="false">IFERROR(IF(OR($C1092="",COUNT($F1092:$J1092)&lt;3),"",IF(N(INDEX(Lists!$C$2:$C$40,MATCH($C1092,Lists!$A$2:$A$40,0)))=0,"",IF(MIN($F1092:$J1092)&gt;=INDEX(Lists!$C$2:$C$40,MATCH($C1092,Lists!$A$2:$A$40,0)),"LEVEL UP",""))),"")</f>
        <v/>
      </c>
      <c r="N1092" s="20"/>
      <c r="O1092" s="19"/>
    </row>
    <row r="1093" customFormat="false" ht="15" hidden="false" customHeight="false" outlineLevel="0" collapsed="false">
      <c r="A1093" s="17"/>
      <c r="B1093" s="18" t="str">
        <f aca="false">IF($A1093="","",TEXT($A1093,"ddd"))</f>
        <v/>
      </c>
      <c r="C1093" s="19"/>
      <c r="D1093" s="19"/>
      <c r="E1093" s="18" t="str">
        <f aca="false">IF($C1093="","",IFERROR(INDEX(Lists!$B$2:$B$40,MATCH($C1093,Lists!$A$2:$A$40,0)),""))</f>
        <v/>
      </c>
      <c r="F1093" s="20"/>
      <c r="G1093" s="20"/>
      <c r="H1093" s="20"/>
      <c r="I1093" s="20"/>
      <c r="J1093" s="20"/>
      <c r="K1093" s="18" t="str">
        <f aca="false">IF(COUNT($F1093:$J1093)=0,"",SUM($F1093:$J1093))</f>
        <v/>
      </c>
      <c r="L1093" s="18" t="str">
        <f aca="false">IF(COUNT($F1093:$J1093)=0,"",MAX($F1093:$J1093))</f>
        <v/>
      </c>
      <c r="M1093" s="18" t="str">
        <f aca="false">IFERROR(IF(OR($C1093="",COUNT($F1093:$J1093)&lt;3),"",IF(N(INDEX(Lists!$C$2:$C$40,MATCH($C1093,Lists!$A$2:$A$40,0)))=0,"",IF(MIN($F1093:$J1093)&gt;=INDEX(Lists!$C$2:$C$40,MATCH($C1093,Lists!$A$2:$A$40,0)),"LEVEL UP",""))),"")</f>
        <v/>
      </c>
      <c r="N1093" s="20"/>
      <c r="O1093" s="19"/>
    </row>
    <row r="1094" customFormat="false" ht="15" hidden="false" customHeight="false" outlineLevel="0" collapsed="false">
      <c r="A1094" s="17"/>
      <c r="B1094" s="18" t="str">
        <f aca="false">IF($A1094="","",TEXT($A1094,"ddd"))</f>
        <v/>
      </c>
      <c r="C1094" s="19"/>
      <c r="D1094" s="19"/>
      <c r="E1094" s="18" t="str">
        <f aca="false">IF($C1094="","",IFERROR(INDEX(Lists!$B$2:$B$40,MATCH($C1094,Lists!$A$2:$A$40,0)),""))</f>
        <v/>
      </c>
      <c r="F1094" s="20"/>
      <c r="G1094" s="20"/>
      <c r="H1094" s="20"/>
      <c r="I1094" s="20"/>
      <c r="J1094" s="20"/>
      <c r="K1094" s="18" t="str">
        <f aca="false">IF(COUNT($F1094:$J1094)=0,"",SUM($F1094:$J1094))</f>
        <v/>
      </c>
      <c r="L1094" s="18" t="str">
        <f aca="false">IF(COUNT($F1094:$J1094)=0,"",MAX($F1094:$J1094))</f>
        <v/>
      </c>
      <c r="M1094" s="18" t="str">
        <f aca="false">IFERROR(IF(OR($C1094="",COUNT($F1094:$J1094)&lt;3),"",IF(N(INDEX(Lists!$C$2:$C$40,MATCH($C1094,Lists!$A$2:$A$40,0)))=0,"",IF(MIN($F1094:$J1094)&gt;=INDEX(Lists!$C$2:$C$40,MATCH($C1094,Lists!$A$2:$A$40,0)),"LEVEL UP",""))),"")</f>
        <v/>
      </c>
      <c r="N1094" s="20"/>
      <c r="O1094" s="19"/>
    </row>
    <row r="1095" customFormat="false" ht="15" hidden="false" customHeight="false" outlineLevel="0" collapsed="false">
      <c r="A1095" s="17"/>
      <c r="B1095" s="18" t="str">
        <f aca="false">IF($A1095="","",TEXT($A1095,"ddd"))</f>
        <v/>
      </c>
      <c r="C1095" s="19"/>
      <c r="D1095" s="19"/>
      <c r="E1095" s="18" t="str">
        <f aca="false">IF($C1095="","",IFERROR(INDEX(Lists!$B$2:$B$40,MATCH($C1095,Lists!$A$2:$A$40,0)),""))</f>
        <v/>
      </c>
      <c r="F1095" s="20"/>
      <c r="G1095" s="20"/>
      <c r="H1095" s="20"/>
      <c r="I1095" s="20"/>
      <c r="J1095" s="20"/>
      <c r="K1095" s="18" t="str">
        <f aca="false">IF(COUNT($F1095:$J1095)=0,"",SUM($F1095:$J1095))</f>
        <v/>
      </c>
      <c r="L1095" s="18" t="str">
        <f aca="false">IF(COUNT($F1095:$J1095)=0,"",MAX($F1095:$J1095))</f>
        <v/>
      </c>
      <c r="M1095" s="18" t="str">
        <f aca="false">IFERROR(IF(OR($C1095="",COUNT($F1095:$J1095)&lt;3),"",IF(N(INDEX(Lists!$C$2:$C$40,MATCH($C1095,Lists!$A$2:$A$40,0)))=0,"",IF(MIN($F1095:$J1095)&gt;=INDEX(Lists!$C$2:$C$40,MATCH($C1095,Lists!$A$2:$A$40,0)),"LEVEL UP",""))),"")</f>
        <v/>
      </c>
      <c r="N1095" s="20"/>
      <c r="O1095" s="19"/>
    </row>
    <row r="1096" customFormat="false" ht="15" hidden="false" customHeight="false" outlineLevel="0" collapsed="false">
      <c r="A1096" s="17"/>
      <c r="B1096" s="18" t="str">
        <f aca="false">IF($A1096="","",TEXT($A1096,"ddd"))</f>
        <v/>
      </c>
      <c r="C1096" s="19"/>
      <c r="D1096" s="19"/>
      <c r="E1096" s="18" t="str">
        <f aca="false">IF($C1096="","",IFERROR(INDEX(Lists!$B$2:$B$40,MATCH($C1096,Lists!$A$2:$A$40,0)),""))</f>
        <v/>
      </c>
      <c r="F1096" s="20"/>
      <c r="G1096" s="20"/>
      <c r="H1096" s="20"/>
      <c r="I1096" s="20"/>
      <c r="J1096" s="20"/>
      <c r="K1096" s="18" t="str">
        <f aca="false">IF(COUNT($F1096:$J1096)=0,"",SUM($F1096:$J1096))</f>
        <v/>
      </c>
      <c r="L1096" s="18" t="str">
        <f aca="false">IF(COUNT($F1096:$J1096)=0,"",MAX($F1096:$J1096))</f>
        <v/>
      </c>
      <c r="M1096" s="18" t="str">
        <f aca="false">IFERROR(IF(OR($C1096="",COUNT($F1096:$J1096)&lt;3),"",IF(N(INDEX(Lists!$C$2:$C$40,MATCH($C1096,Lists!$A$2:$A$40,0)))=0,"",IF(MIN($F1096:$J1096)&gt;=INDEX(Lists!$C$2:$C$40,MATCH($C1096,Lists!$A$2:$A$40,0)),"LEVEL UP",""))),"")</f>
        <v/>
      </c>
      <c r="N1096" s="20"/>
      <c r="O1096" s="19"/>
    </row>
    <row r="1097" customFormat="false" ht="15" hidden="false" customHeight="false" outlineLevel="0" collapsed="false">
      <c r="A1097" s="17"/>
      <c r="B1097" s="18" t="str">
        <f aca="false">IF($A1097="","",TEXT($A1097,"ddd"))</f>
        <v/>
      </c>
      <c r="C1097" s="19"/>
      <c r="D1097" s="19"/>
      <c r="E1097" s="18" t="str">
        <f aca="false">IF($C1097="","",IFERROR(INDEX(Lists!$B$2:$B$40,MATCH($C1097,Lists!$A$2:$A$40,0)),""))</f>
        <v/>
      </c>
      <c r="F1097" s="20"/>
      <c r="G1097" s="20"/>
      <c r="H1097" s="20"/>
      <c r="I1097" s="20"/>
      <c r="J1097" s="20"/>
      <c r="K1097" s="18" t="str">
        <f aca="false">IF(COUNT($F1097:$J1097)=0,"",SUM($F1097:$J1097))</f>
        <v/>
      </c>
      <c r="L1097" s="18" t="str">
        <f aca="false">IF(COUNT($F1097:$J1097)=0,"",MAX($F1097:$J1097))</f>
        <v/>
      </c>
      <c r="M1097" s="18" t="str">
        <f aca="false">IFERROR(IF(OR($C1097="",COUNT($F1097:$J1097)&lt;3),"",IF(N(INDEX(Lists!$C$2:$C$40,MATCH($C1097,Lists!$A$2:$A$40,0)))=0,"",IF(MIN($F1097:$J1097)&gt;=INDEX(Lists!$C$2:$C$40,MATCH($C1097,Lists!$A$2:$A$40,0)),"LEVEL UP",""))),"")</f>
        <v/>
      </c>
      <c r="N1097" s="20"/>
      <c r="O1097" s="19"/>
    </row>
    <row r="1098" customFormat="false" ht="15" hidden="false" customHeight="false" outlineLevel="0" collapsed="false">
      <c r="A1098" s="17"/>
      <c r="B1098" s="18" t="str">
        <f aca="false">IF($A1098="","",TEXT($A1098,"ddd"))</f>
        <v/>
      </c>
      <c r="C1098" s="19"/>
      <c r="D1098" s="19"/>
      <c r="E1098" s="18" t="str">
        <f aca="false">IF($C1098="","",IFERROR(INDEX(Lists!$B$2:$B$40,MATCH($C1098,Lists!$A$2:$A$40,0)),""))</f>
        <v/>
      </c>
      <c r="F1098" s="20"/>
      <c r="G1098" s="20"/>
      <c r="H1098" s="20"/>
      <c r="I1098" s="20"/>
      <c r="J1098" s="20"/>
      <c r="K1098" s="18" t="str">
        <f aca="false">IF(COUNT($F1098:$J1098)=0,"",SUM($F1098:$J1098))</f>
        <v/>
      </c>
      <c r="L1098" s="18" t="str">
        <f aca="false">IF(COUNT($F1098:$J1098)=0,"",MAX($F1098:$J1098))</f>
        <v/>
      </c>
      <c r="M1098" s="18" t="str">
        <f aca="false">IFERROR(IF(OR($C1098="",COUNT($F1098:$J1098)&lt;3),"",IF(N(INDEX(Lists!$C$2:$C$40,MATCH($C1098,Lists!$A$2:$A$40,0)))=0,"",IF(MIN($F1098:$J1098)&gt;=INDEX(Lists!$C$2:$C$40,MATCH($C1098,Lists!$A$2:$A$40,0)),"LEVEL UP",""))),"")</f>
        <v/>
      </c>
      <c r="N1098" s="20"/>
      <c r="O1098" s="19"/>
    </row>
    <row r="1099" customFormat="false" ht="15" hidden="false" customHeight="false" outlineLevel="0" collapsed="false">
      <c r="A1099" s="17"/>
      <c r="B1099" s="18" t="str">
        <f aca="false">IF($A1099="","",TEXT($A1099,"ddd"))</f>
        <v/>
      </c>
      <c r="C1099" s="19"/>
      <c r="D1099" s="19"/>
      <c r="E1099" s="18" t="str">
        <f aca="false">IF($C1099="","",IFERROR(INDEX(Lists!$B$2:$B$40,MATCH($C1099,Lists!$A$2:$A$40,0)),""))</f>
        <v/>
      </c>
      <c r="F1099" s="20"/>
      <c r="G1099" s="20"/>
      <c r="H1099" s="20"/>
      <c r="I1099" s="20"/>
      <c r="J1099" s="20"/>
      <c r="K1099" s="18" t="str">
        <f aca="false">IF(COUNT($F1099:$J1099)=0,"",SUM($F1099:$J1099))</f>
        <v/>
      </c>
      <c r="L1099" s="18" t="str">
        <f aca="false">IF(COUNT($F1099:$J1099)=0,"",MAX($F1099:$J1099))</f>
        <v/>
      </c>
      <c r="M1099" s="18" t="str">
        <f aca="false">IFERROR(IF(OR($C1099="",COUNT($F1099:$J1099)&lt;3),"",IF(N(INDEX(Lists!$C$2:$C$40,MATCH($C1099,Lists!$A$2:$A$40,0)))=0,"",IF(MIN($F1099:$J1099)&gt;=INDEX(Lists!$C$2:$C$40,MATCH($C1099,Lists!$A$2:$A$40,0)),"LEVEL UP",""))),"")</f>
        <v/>
      </c>
      <c r="N1099" s="20"/>
      <c r="O1099" s="19"/>
    </row>
    <row r="1100" customFormat="false" ht="15" hidden="false" customHeight="false" outlineLevel="0" collapsed="false">
      <c r="A1100" s="17"/>
      <c r="B1100" s="18" t="str">
        <f aca="false">IF($A1100="","",TEXT($A1100,"ddd"))</f>
        <v/>
      </c>
      <c r="C1100" s="19"/>
      <c r="D1100" s="19"/>
      <c r="E1100" s="18" t="str">
        <f aca="false">IF($C1100="","",IFERROR(INDEX(Lists!$B$2:$B$40,MATCH($C1100,Lists!$A$2:$A$40,0)),""))</f>
        <v/>
      </c>
      <c r="F1100" s="20"/>
      <c r="G1100" s="20"/>
      <c r="H1100" s="20"/>
      <c r="I1100" s="20"/>
      <c r="J1100" s="20"/>
      <c r="K1100" s="18" t="str">
        <f aca="false">IF(COUNT($F1100:$J1100)=0,"",SUM($F1100:$J1100))</f>
        <v/>
      </c>
      <c r="L1100" s="18" t="str">
        <f aca="false">IF(COUNT($F1100:$J1100)=0,"",MAX($F1100:$J1100))</f>
        <v/>
      </c>
      <c r="M1100" s="18" t="str">
        <f aca="false">IFERROR(IF(OR($C1100="",COUNT($F1100:$J1100)&lt;3),"",IF(N(INDEX(Lists!$C$2:$C$40,MATCH($C1100,Lists!$A$2:$A$40,0)))=0,"",IF(MIN($F1100:$J1100)&gt;=INDEX(Lists!$C$2:$C$40,MATCH($C1100,Lists!$A$2:$A$40,0)),"LEVEL UP",""))),"")</f>
        <v/>
      </c>
      <c r="N1100" s="20"/>
      <c r="O1100" s="19"/>
    </row>
    <row r="1101" customFormat="false" ht="15" hidden="false" customHeight="false" outlineLevel="0" collapsed="false">
      <c r="A1101" s="17"/>
      <c r="B1101" s="18" t="str">
        <f aca="false">IF($A1101="","",TEXT($A1101,"ddd"))</f>
        <v/>
      </c>
      <c r="C1101" s="19"/>
      <c r="D1101" s="19"/>
      <c r="E1101" s="18" t="str">
        <f aca="false">IF($C1101="","",IFERROR(INDEX(Lists!$B$2:$B$40,MATCH($C1101,Lists!$A$2:$A$40,0)),""))</f>
        <v/>
      </c>
      <c r="F1101" s="20"/>
      <c r="G1101" s="20"/>
      <c r="H1101" s="20"/>
      <c r="I1101" s="20"/>
      <c r="J1101" s="20"/>
      <c r="K1101" s="18" t="str">
        <f aca="false">IF(COUNT($F1101:$J1101)=0,"",SUM($F1101:$J1101))</f>
        <v/>
      </c>
      <c r="L1101" s="18" t="str">
        <f aca="false">IF(COUNT($F1101:$J1101)=0,"",MAX($F1101:$J1101))</f>
        <v/>
      </c>
      <c r="M1101" s="18" t="str">
        <f aca="false">IFERROR(IF(OR($C1101="",COUNT($F1101:$J1101)&lt;3),"",IF(N(INDEX(Lists!$C$2:$C$40,MATCH($C1101,Lists!$A$2:$A$40,0)))=0,"",IF(MIN($F1101:$J1101)&gt;=INDEX(Lists!$C$2:$C$40,MATCH($C1101,Lists!$A$2:$A$40,0)),"LEVEL UP",""))),"")</f>
        <v/>
      </c>
      <c r="N1101" s="20"/>
      <c r="O1101" s="19"/>
    </row>
    <row r="1102" customFormat="false" ht="15" hidden="false" customHeight="false" outlineLevel="0" collapsed="false">
      <c r="A1102" s="17"/>
      <c r="B1102" s="18" t="str">
        <f aca="false">IF($A1102="","",TEXT($A1102,"ddd"))</f>
        <v/>
      </c>
      <c r="C1102" s="19"/>
      <c r="D1102" s="19"/>
      <c r="E1102" s="18" t="str">
        <f aca="false">IF($C1102="","",IFERROR(INDEX(Lists!$B$2:$B$40,MATCH($C1102,Lists!$A$2:$A$40,0)),""))</f>
        <v/>
      </c>
      <c r="F1102" s="20"/>
      <c r="G1102" s="20"/>
      <c r="H1102" s="20"/>
      <c r="I1102" s="20"/>
      <c r="J1102" s="20"/>
      <c r="K1102" s="18" t="str">
        <f aca="false">IF(COUNT($F1102:$J1102)=0,"",SUM($F1102:$J1102))</f>
        <v/>
      </c>
      <c r="L1102" s="18" t="str">
        <f aca="false">IF(COUNT($F1102:$J1102)=0,"",MAX($F1102:$J1102))</f>
        <v/>
      </c>
      <c r="M1102" s="18" t="str">
        <f aca="false">IFERROR(IF(OR($C1102="",COUNT($F1102:$J1102)&lt;3),"",IF(N(INDEX(Lists!$C$2:$C$40,MATCH($C1102,Lists!$A$2:$A$40,0)))=0,"",IF(MIN($F1102:$J1102)&gt;=INDEX(Lists!$C$2:$C$40,MATCH($C1102,Lists!$A$2:$A$40,0)),"LEVEL UP",""))),"")</f>
        <v/>
      </c>
      <c r="N1102" s="20"/>
      <c r="O1102" s="19"/>
    </row>
    <row r="1103" customFormat="false" ht="15" hidden="false" customHeight="false" outlineLevel="0" collapsed="false">
      <c r="A1103" s="17"/>
      <c r="B1103" s="18" t="str">
        <f aca="false">IF($A1103="","",TEXT($A1103,"ddd"))</f>
        <v/>
      </c>
      <c r="C1103" s="19"/>
      <c r="D1103" s="19"/>
      <c r="E1103" s="18" t="str">
        <f aca="false">IF($C1103="","",IFERROR(INDEX(Lists!$B$2:$B$40,MATCH($C1103,Lists!$A$2:$A$40,0)),""))</f>
        <v/>
      </c>
      <c r="F1103" s="20"/>
      <c r="G1103" s="20"/>
      <c r="H1103" s="20"/>
      <c r="I1103" s="20"/>
      <c r="J1103" s="20"/>
      <c r="K1103" s="18" t="str">
        <f aca="false">IF(COUNT($F1103:$J1103)=0,"",SUM($F1103:$J1103))</f>
        <v/>
      </c>
      <c r="L1103" s="18" t="str">
        <f aca="false">IF(COUNT($F1103:$J1103)=0,"",MAX($F1103:$J1103))</f>
        <v/>
      </c>
      <c r="M1103" s="18" t="str">
        <f aca="false">IFERROR(IF(OR($C1103="",COUNT($F1103:$J1103)&lt;3),"",IF(N(INDEX(Lists!$C$2:$C$40,MATCH($C1103,Lists!$A$2:$A$40,0)))=0,"",IF(MIN($F1103:$J1103)&gt;=INDEX(Lists!$C$2:$C$40,MATCH($C1103,Lists!$A$2:$A$40,0)),"LEVEL UP",""))),"")</f>
        <v/>
      </c>
      <c r="N1103" s="20"/>
      <c r="O1103" s="19"/>
    </row>
    <row r="1104" customFormat="false" ht="15" hidden="false" customHeight="false" outlineLevel="0" collapsed="false">
      <c r="A1104" s="17"/>
      <c r="B1104" s="18" t="str">
        <f aca="false">IF($A1104="","",TEXT($A1104,"ddd"))</f>
        <v/>
      </c>
      <c r="C1104" s="19"/>
      <c r="D1104" s="19"/>
      <c r="E1104" s="18" t="str">
        <f aca="false">IF($C1104="","",IFERROR(INDEX(Lists!$B$2:$B$40,MATCH($C1104,Lists!$A$2:$A$40,0)),""))</f>
        <v/>
      </c>
      <c r="F1104" s="20"/>
      <c r="G1104" s="20"/>
      <c r="H1104" s="20"/>
      <c r="I1104" s="20"/>
      <c r="J1104" s="20"/>
      <c r="K1104" s="18" t="str">
        <f aca="false">IF(COUNT($F1104:$J1104)=0,"",SUM($F1104:$J1104))</f>
        <v/>
      </c>
      <c r="L1104" s="18" t="str">
        <f aca="false">IF(COUNT($F1104:$J1104)=0,"",MAX($F1104:$J1104))</f>
        <v/>
      </c>
      <c r="M1104" s="18" t="str">
        <f aca="false">IFERROR(IF(OR($C1104="",COUNT($F1104:$J1104)&lt;3),"",IF(N(INDEX(Lists!$C$2:$C$40,MATCH($C1104,Lists!$A$2:$A$40,0)))=0,"",IF(MIN($F1104:$J1104)&gt;=INDEX(Lists!$C$2:$C$40,MATCH($C1104,Lists!$A$2:$A$40,0)),"LEVEL UP",""))),"")</f>
        <v/>
      </c>
      <c r="N1104" s="20"/>
      <c r="O1104" s="19"/>
    </row>
    <row r="1105" customFormat="false" ht="15" hidden="false" customHeight="false" outlineLevel="0" collapsed="false">
      <c r="A1105" s="17"/>
      <c r="B1105" s="18" t="str">
        <f aca="false">IF($A1105="","",TEXT($A1105,"ddd"))</f>
        <v/>
      </c>
      <c r="C1105" s="19"/>
      <c r="D1105" s="19"/>
      <c r="E1105" s="18" t="str">
        <f aca="false">IF($C1105="","",IFERROR(INDEX(Lists!$B$2:$B$40,MATCH($C1105,Lists!$A$2:$A$40,0)),""))</f>
        <v/>
      </c>
      <c r="F1105" s="20"/>
      <c r="G1105" s="20"/>
      <c r="H1105" s="20"/>
      <c r="I1105" s="20"/>
      <c r="J1105" s="20"/>
      <c r="K1105" s="18" t="str">
        <f aca="false">IF(COUNT($F1105:$J1105)=0,"",SUM($F1105:$J1105))</f>
        <v/>
      </c>
      <c r="L1105" s="18" t="str">
        <f aca="false">IF(COUNT($F1105:$J1105)=0,"",MAX($F1105:$J1105))</f>
        <v/>
      </c>
      <c r="M1105" s="18" t="str">
        <f aca="false">IFERROR(IF(OR($C1105="",COUNT($F1105:$J1105)&lt;3),"",IF(N(INDEX(Lists!$C$2:$C$40,MATCH($C1105,Lists!$A$2:$A$40,0)))=0,"",IF(MIN($F1105:$J1105)&gt;=INDEX(Lists!$C$2:$C$40,MATCH($C1105,Lists!$A$2:$A$40,0)),"LEVEL UP",""))),"")</f>
        <v/>
      </c>
      <c r="N1105" s="20"/>
      <c r="O1105" s="19"/>
    </row>
    <row r="1106" customFormat="false" ht="15" hidden="false" customHeight="false" outlineLevel="0" collapsed="false">
      <c r="A1106" s="17"/>
      <c r="B1106" s="18" t="str">
        <f aca="false">IF($A1106="","",TEXT($A1106,"ddd"))</f>
        <v/>
      </c>
      <c r="C1106" s="19"/>
      <c r="D1106" s="19"/>
      <c r="E1106" s="18" t="str">
        <f aca="false">IF($C1106="","",IFERROR(INDEX(Lists!$B$2:$B$40,MATCH($C1106,Lists!$A$2:$A$40,0)),""))</f>
        <v/>
      </c>
      <c r="F1106" s="20"/>
      <c r="G1106" s="20"/>
      <c r="H1106" s="20"/>
      <c r="I1106" s="20"/>
      <c r="J1106" s="20"/>
      <c r="K1106" s="18" t="str">
        <f aca="false">IF(COUNT($F1106:$J1106)=0,"",SUM($F1106:$J1106))</f>
        <v/>
      </c>
      <c r="L1106" s="18" t="str">
        <f aca="false">IF(COUNT($F1106:$J1106)=0,"",MAX($F1106:$J1106))</f>
        <v/>
      </c>
      <c r="M1106" s="18" t="str">
        <f aca="false">IFERROR(IF(OR($C1106="",COUNT($F1106:$J1106)&lt;3),"",IF(N(INDEX(Lists!$C$2:$C$40,MATCH($C1106,Lists!$A$2:$A$40,0)))=0,"",IF(MIN($F1106:$J1106)&gt;=INDEX(Lists!$C$2:$C$40,MATCH($C1106,Lists!$A$2:$A$40,0)),"LEVEL UP",""))),"")</f>
        <v/>
      </c>
      <c r="N1106" s="20"/>
      <c r="O1106" s="19"/>
    </row>
    <row r="1107" customFormat="false" ht="15" hidden="false" customHeight="false" outlineLevel="0" collapsed="false">
      <c r="A1107" s="17"/>
      <c r="B1107" s="18" t="str">
        <f aca="false">IF($A1107="","",TEXT($A1107,"ddd"))</f>
        <v/>
      </c>
      <c r="C1107" s="19"/>
      <c r="D1107" s="19"/>
      <c r="E1107" s="18" t="str">
        <f aca="false">IF($C1107="","",IFERROR(INDEX(Lists!$B$2:$B$40,MATCH($C1107,Lists!$A$2:$A$40,0)),""))</f>
        <v/>
      </c>
      <c r="F1107" s="20"/>
      <c r="G1107" s="20"/>
      <c r="H1107" s="20"/>
      <c r="I1107" s="20"/>
      <c r="J1107" s="20"/>
      <c r="K1107" s="18" t="str">
        <f aca="false">IF(COUNT($F1107:$J1107)=0,"",SUM($F1107:$J1107))</f>
        <v/>
      </c>
      <c r="L1107" s="18" t="str">
        <f aca="false">IF(COUNT($F1107:$J1107)=0,"",MAX($F1107:$J1107))</f>
        <v/>
      </c>
      <c r="M1107" s="18" t="str">
        <f aca="false">IFERROR(IF(OR($C1107="",COUNT($F1107:$J1107)&lt;3),"",IF(N(INDEX(Lists!$C$2:$C$40,MATCH($C1107,Lists!$A$2:$A$40,0)))=0,"",IF(MIN($F1107:$J1107)&gt;=INDEX(Lists!$C$2:$C$40,MATCH($C1107,Lists!$A$2:$A$40,0)),"LEVEL UP",""))),"")</f>
        <v/>
      </c>
      <c r="N1107" s="20"/>
      <c r="O1107" s="19"/>
    </row>
    <row r="1108" customFormat="false" ht="15" hidden="false" customHeight="false" outlineLevel="0" collapsed="false">
      <c r="A1108" s="17"/>
      <c r="B1108" s="18" t="str">
        <f aca="false">IF($A1108="","",TEXT($A1108,"ddd"))</f>
        <v/>
      </c>
      <c r="C1108" s="19"/>
      <c r="D1108" s="19"/>
      <c r="E1108" s="18" t="str">
        <f aca="false">IF($C1108="","",IFERROR(INDEX(Lists!$B$2:$B$40,MATCH($C1108,Lists!$A$2:$A$40,0)),""))</f>
        <v/>
      </c>
      <c r="F1108" s="20"/>
      <c r="G1108" s="20"/>
      <c r="H1108" s="20"/>
      <c r="I1108" s="20"/>
      <c r="J1108" s="20"/>
      <c r="K1108" s="18" t="str">
        <f aca="false">IF(COUNT($F1108:$J1108)=0,"",SUM($F1108:$J1108))</f>
        <v/>
      </c>
      <c r="L1108" s="18" t="str">
        <f aca="false">IF(COUNT($F1108:$J1108)=0,"",MAX($F1108:$J1108))</f>
        <v/>
      </c>
      <c r="M1108" s="18" t="str">
        <f aca="false">IFERROR(IF(OR($C1108="",COUNT($F1108:$J1108)&lt;3),"",IF(N(INDEX(Lists!$C$2:$C$40,MATCH($C1108,Lists!$A$2:$A$40,0)))=0,"",IF(MIN($F1108:$J1108)&gt;=INDEX(Lists!$C$2:$C$40,MATCH($C1108,Lists!$A$2:$A$40,0)),"LEVEL UP",""))),"")</f>
        <v/>
      </c>
      <c r="N1108" s="20"/>
      <c r="O1108" s="19"/>
    </row>
    <row r="1109" customFormat="false" ht="15" hidden="false" customHeight="false" outlineLevel="0" collapsed="false">
      <c r="A1109" s="17"/>
      <c r="B1109" s="18" t="str">
        <f aca="false">IF($A1109="","",TEXT($A1109,"ddd"))</f>
        <v/>
      </c>
      <c r="C1109" s="19"/>
      <c r="D1109" s="19"/>
      <c r="E1109" s="18" t="str">
        <f aca="false">IF($C1109="","",IFERROR(INDEX(Lists!$B$2:$B$40,MATCH($C1109,Lists!$A$2:$A$40,0)),""))</f>
        <v/>
      </c>
      <c r="F1109" s="20"/>
      <c r="G1109" s="20"/>
      <c r="H1109" s="20"/>
      <c r="I1109" s="20"/>
      <c r="J1109" s="20"/>
      <c r="K1109" s="18" t="str">
        <f aca="false">IF(COUNT($F1109:$J1109)=0,"",SUM($F1109:$J1109))</f>
        <v/>
      </c>
      <c r="L1109" s="18" t="str">
        <f aca="false">IF(COUNT($F1109:$J1109)=0,"",MAX($F1109:$J1109))</f>
        <v/>
      </c>
      <c r="M1109" s="18" t="str">
        <f aca="false">IFERROR(IF(OR($C1109="",COUNT($F1109:$J1109)&lt;3),"",IF(N(INDEX(Lists!$C$2:$C$40,MATCH($C1109,Lists!$A$2:$A$40,0)))=0,"",IF(MIN($F1109:$J1109)&gt;=INDEX(Lists!$C$2:$C$40,MATCH($C1109,Lists!$A$2:$A$40,0)),"LEVEL UP",""))),"")</f>
        <v/>
      </c>
      <c r="N1109" s="20"/>
      <c r="O1109" s="19"/>
    </row>
    <row r="1110" customFormat="false" ht="15" hidden="false" customHeight="false" outlineLevel="0" collapsed="false">
      <c r="A1110" s="17"/>
      <c r="B1110" s="18" t="str">
        <f aca="false">IF($A1110="","",TEXT($A1110,"ddd"))</f>
        <v/>
      </c>
      <c r="C1110" s="19"/>
      <c r="D1110" s="19"/>
      <c r="E1110" s="18" t="str">
        <f aca="false">IF($C1110="","",IFERROR(INDEX(Lists!$B$2:$B$40,MATCH($C1110,Lists!$A$2:$A$40,0)),""))</f>
        <v/>
      </c>
      <c r="F1110" s="20"/>
      <c r="G1110" s="20"/>
      <c r="H1110" s="20"/>
      <c r="I1110" s="20"/>
      <c r="J1110" s="20"/>
      <c r="K1110" s="18" t="str">
        <f aca="false">IF(COUNT($F1110:$J1110)=0,"",SUM($F1110:$J1110))</f>
        <v/>
      </c>
      <c r="L1110" s="18" t="str">
        <f aca="false">IF(COUNT($F1110:$J1110)=0,"",MAX($F1110:$J1110))</f>
        <v/>
      </c>
      <c r="M1110" s="18" t="str">
        <f aca="false">IFERROR(IF(OR($C1110="",COUNT($F1110:$J1110)&lt;3),"",IF(N(INDEX(Lists!$C$2:$C$40,MATCH($C1110,Lists!$A$2:$A$40,0)))=0,"",IF(MIN($F1110:$J1110)&gt;=INDEX(Lists!$C$2:$C$40,MATCH($C1110,Lists!$A$2:$A$40,0)),"LEVEL UP",""))),"")</f>
        <v/>
      </c>
      <c r="N1110" s="20"/>
      <c r="O1110" s="19"/>
    </row>
    <row r="1111" customFormat="false" ht="15" hidden="false" customHeight="false" outlineLevel="0" collapsed="false">
      <c r="A1111" s="17"/>
      <c r="B1111" s="18" t="str">
        <f aca="false">IF($A1111="","",TEXT($A1111,"ddd"))</f>
        <v/>
      </c>
      <c r="C1111" s="19"/>
      <c r="D1111" s="19"/>
      <c r="E1111" s="18" t="str">
        <f aca="false">IF($C1111="","",IFERROR(INDEX(Lists!$B$2:$B$40,MATCH($C1111,Lists!$A$2:$A$40,0)),""))</f>
        <v/>
      </c>
      <c r="F1111" s="20"/>
      <c r="G1111" s="20"/>
      <c r="H1111" s="20"/>
      <c r="I1111" s="20"/>
      <c r="J1111" s="20"/>
      <c r="K1111" s="18" t="str">
        <f aca="false">IF(COUNT($F1111:$J1111)=0,"",SUM($F1111:$J1111))</f>
        <v/>
      </c>
      <c r="L1111" s="18" t="str">
        <f aca="false">IF(COUNT($F1111:$J1111)=0,"",MAX($F1111:$J1111))</f>
        <v/>
      </c>
      <c r="M1111" s="18" t="str">
        <f aca="false">IFERROR(IF(OR($C1111="",COUNT($F1111:$J1111)&lt;3),"",IF(N(INDEX(Lists!$C$2:$C$40,MATCH($C1111,Lists!$A$2:$A$40,0)))=0,"",IF(MIN($F1111:$J1111)&gt;=INDEX(Lists!$C$2:$C$40,MATCH($C1111,Lists!$A$2:$A$40,0)),"LEVEL UP",""))),"")</f>
        <v/>
      </c>
      <c r="N1111" s="20"/>
      <c r="O1111" s="19"/>
    </row>
    <row r="1112" customFormat="false" ht="15" hidden="false" customHeight="false" outlineLevel="0" collapsed="false">
      <c r="A1112" s="17"/>
      <c r="B1112" s="18" t="str">
        <f aca="false">IF($A1112="","",TEXT($A1112,"ddd"))</f>
        <v/>
      </c>
      <c r="C1112" s="19"/>
      <c r="D1112" s="19"/>
      <c r="E1112" s="18" t="str">
        <f aca="false">IF($C1112="","",IFERROR(INDEX(Lists!$B$2:$B$40,MATCH($C1112,Lists!$A$2:$A$40,0)),""))</f>
        <v/>
      </c>
      <c r="F1112" s="20"/>
      <c r="G1112" s="20"/>
      <c r="H1112" s="20"/>
      <c r="I1112" s="20"/>
      <c r="J1112" s="20"/>
      <c r="K1112" s="18" t="str">
        <f aca="false">IF(COUNT($F1112:$J1112)=0,"",SUM($F1112:$J1112))</f>
        <v/>
      </c>
      <c r="L1112" s="18" t="str">
        <f aca="false">IF(COUNT($F1112:$J1112)=0,"",MAX($F1112:$J1112))</f>
        <v/>
      </c>
      <c r="M1112" s="18" t="str">
        <f aca="false">IFERROR(IF(OR($C1112="",COUNT($F1112:$J1112)&lt;3),"",IF(N(INDEX(Lists!$C$2:$C$40,MATCH($C1112,Lists!$A$2:$A$40,0)))=0,"",IF(MIN($F1112:$J1112)&gt;=INDEX(Lists!$C$2:$C$40,MATCH($C1112,Lists!$A$2:$A$40,0)),"LEVEL UP",""))),"")</f>
        <v/>
      </c>
      <c r="N1112" s="20"/>
      <c r="O1112" s="19"/>
    </row>
    <row r="1113" customFormat="false" ht="15" hidden="false" customHeight="false" outlineLevel="0" collapsed="false">
      <c r="A1113" s="17"/>
      <c r="B1113" s="18" t="str">
        <f aca="false">IF($A1113="","",TEXT($A1113,"ddd"))</f>
        <v/>
      </c>
      <c r="C1113" s="19"/>
      <c r="D1113" s="19"/>
      <c r="E1113" s="18" t="str">
        <f aca="false">IF($C1113="","",IFERROR(INDEX(Lists!$B$2:$B$40,MATCH($C1113,Lists!$A$2:$A$40,0)),""))</f>
        <v/>
      </c>
      <c r="F1113" s="20"/>
      <c r="G1113" s="20"/>
      <c r="H1113" s="20"/>
      <c r="I1113" s="20"/>
      <c r="J1113" s="20"/>
      <c r="K1113" s="18" t="str">
        <f aca="false">IF(COUNT($F1113:$J1113)=0,"",SUM($F1113:$J1113))</f>
        <v/>
      </c>
      <c r="L1113" s="18" t="str">
        <f aca="false">IF(COUNT($F1113:$J1113)=0,"",MAX($F1113:$J1113))</f>
        <v/>
      </c>
      <c r="M1113" s="18" t="str">
        <f aca="false">IFERROR(IF(OR($C1113="",COUNT($F1113:$J1113)&lt;3),"",IF(N(INDEX(Lists!$C$2:$C$40,MATCH($C1113,Lists!$A$2:$A$40,0)))=0,"",IF(MIN($F1113:$J1113)&gt;=INDEX(Lists!$C$2:$C$40,MATCH($C1113,Lists!$A$2:$A$40,0)),"LEVEL UP",""))),"")</f>
        <v/>
      </c>
      <c r="N1113" s="20"/>
      <c r="O1113" s="19"/>
    </row>
    <row r="1114" customFormat="false" ht="15" hidden="false" customHeight="false" outlineLevel="0" collapsed="false">
      <c r="A1114" s="17"/>
      <c r="B1114" s="18" t="str">
        <f aca="false">IF($A1114="","",TEXT($A1114,"ddd"))</f>
        <v/>
      </c>
      <c r="C1114" s="19"/>
      <c r="D1114" s="19"/>
      <c r="E1114" s="18" t="str">
        <f aca="false">IF($C1114="","",IFERROR(INDEX(Lists!$B$2:$B$40,MATCH($C1114,Lists!$A$2:$A$40,0)),""))</f>
        <v/>
      </c>
      <c r="F1114" s="20"/>
      <c r="G1114" s="20"/>
      <c r="H1114" s="20"/>
      <c r="I1114" s="20"/>
      <c r="J1114" s="20"/>
      <c r="K1114" s="18" t="str">
        <f aca="false">IF(COUNT($F1114:$J1114)=0,"",SUM($F1114:$J1114))</f>
        <v/>
      </c>
      <c r="L1114" s="18" t="str">
        <f aca="false">IF(COUNT($F1114:$J1114)=0,"",MAX($F1114:$J1114))</f>
        <v/>
      </c>
      <c r="M1114" s="18" t="str">
        <f aca="false">IFERROR(IF(OR($C1114="",COUNT($F1114:$J1114)&lt;3),"",IF(N(INDEX(Lists!$C$2:$C$40,MATCH($C1114,Lists!$A$2:$A$40,0)))=0,"",IF(MIN($F1114:$J1114)&gt;=INDEX(Lists!$C$2:$C$40,MATCH($C1114,Lists!$A$2:$A$40,0)),"LEVEL UP",""))),"")</f>
        <v/>
      </c>
      <c r="N1114" s="20"/>
      <c r="O1114" s="19"/>
    </row>
    <row r="1115" customFormat="false" ht="15" hidden="false" customHeight="false" outlineLevel="0" collapsed="false">
      <c r="A1115" s="17"/>
      <c r="B1115" s="18" t="str">
        <f aca="false">IF($A1115="","",TEXT($A1115,"ddd"))</f>
        <v/>
      </c>
      <c r="C1115" s="19"/>
      <c r="D1115" s="19"/>
      <c r="E1115" s="18" t="str">
        <f aca="false">IF($C1115="","",IFERROR(INDEX(Lists!$B$2:$B$40,MATCH($C1115,Lists!$A$2:$A$40,0)),""))</f>
        <v/>
      </c>
      <c r="F1115" s="20"/>
      <c r="G1115" s="20"/>
      <c r="H1115" s="20"/>
      <c r="I1115" s="20"/>
      <c r="J1115" s="20"/>
      <c r="K1115" s="18" t="str">
        <f aca="false">IF(COUNT($F1115:$J1115)=0,"",SUM($F1115:$J1115))</f>
        <v/>
      </c>
      <c r="L1115" s="18" t="str">
        <f aca="false">IF(COUNT($F1115:$J1115)=0,"",MAX($F1115:$J1115))</f>
        <v/>
      </c>
      <c r="M1115" s="18" t="str">
        <f aca="false">IFERROR(IF(OR($C1115="",COUNT($F1115:$J1115)&lt;3),"",IF(N(INDEX(Lists!$C$2:$C$40,MATCH($C1115,Lists!$A$2:$A$40,0)))=0,"",IF(MIN($F1115:$J1115)&gt;=INDEX(Lists!$C$2:$C$40,MATCH($C1115,Lists!$A$2:$A$40,0)),"LEVEL UP",""))),"")</f>
        <v/>
      </c>
      <c r="N1115" s="20"/>
      <c r="O1115" s="19"/>
    </row>
    <row r="1116" customFormat="false" ht="15" hidden="false" customHeight="false" outlineLevel="0" collapsed="false">
      <c r="A1116" s="17"/>
      <c r="B1116" s="18" t="str">
        <f aca="false">IF($A1116="","",TEXT($A1116,"ddd"))</f>
        <v/>
      </c>
      <c r="C1116" s="19"/>
      <c r="D1116" s="19"/>
      <c r="E1116" s="18" t="str">
        <f aca="false">IF($C1116="","",IFERROR(INDEX(Lists!$B$2:$B$40,MATCH($C1116,Lists!$A$2:$A$40,0)),""))</f>
        <v/>
      </c>
      <c r="F1116" s="20"/>
      <c r="G1116" s="20"/>
      <c r="H1116" s="20"/>
      <c r="I1116" s="20"/>
      <c r="J1116" s="20"/>
      <c r="K1116" s="18" t="str">
        <f aca="false">IF(COUNT($F1116:$J1116)=0,"",SUM($F1116:$J1116))</f>
        <v/>
      </c>
      <c r="L1116" s="18" t="str">
        <f aca="false">IF(COUNT($F1116:$J1116)=0,"",MAX($F1116:$J1116))</f>
        <v/>
      </c>
      <c r="M1116" s="18" t="str">
        <f aca="false">IFERROR(IF(OR($C1116="",COUNT($F1116:$J1116)&lt;3),"",IF(N(INDEX(Lists!$C$2:$C$40,MATCH($C1116,Lists!$A$2:$A$40,0)))=0,"",IF(MIN($F1116:$J1116)&gt;=INDEX(Lists!$C$2:$C$40,MATCH($C1116,Lists!$A$2:$A$40,0)),"LEVEL UP",""))),"")</f>
        <v/>
      </c>
      <c r="N1116" s="20"/>
      <c r="O1116" s="19"/>
    </row>
    <row r="1117" customFormat="false" ht="15" hidden="false" customHeight="false" outlineLevel="0" collapsed="false">
      <c r="A1117" s="17"/>
      <c r="B1117" s="18" t="str">
        <f aca="false">IF($A1117="","",TEXT($A1117,"ddd"))</f>
        <v/>
      </c>
      <c r="C1117" s="19"/>
      <c r="D1117" s="19"/>
      <c r="E1117" s="18" t="str">
        <f aca="false">IF($C1117="","",IFERROR(INDEX(Lists!$B$2:$B$40,MATCH($C1117,Lists!$A$2:$A$40,0)),""))</f>
        <v/>
      </c>
      <c r="F1117" s="20"/>
      <c r="G1117" s="20"/>
      <c r="H1117" s="20"/>
      <c r="I1117" s="20"/>
      <c r="J1117" s="20"/>
      <c r="K1117" s="18" t="str">
        <f aca="false">IF(COUNT($F1117:$J1117)=0,"",SUM($F1117:$J1117))</f>
        <v/>
      </c>
      <c r="L1117" s="18" t="str">
        <f aca="false">IF(COUNT($F1117:$J1117)=0,"",MAX($F1117:$J1117))</f>
        <v/>
      </c>
      <c r="M1117" s="18" t="str">
        <f aca="false">IFERROR(IF(OR($C1117="",COUNT($F1117:$J1117)&lt;3),"",IF(N(INDEX(Lists!$C$2:$C$40,MATCH($C1117,Lists!$A$2:$A$40,0)))=0,"",IF(MIN($F1117:$J1117)&gt;=INDEX(Lists!$C$2:$C$40,MATCH($C1117,Lists!$A$2:$A$40,0)),"LEVEL UP",""))),"")</f>
        <v/>
      </c>
      <c r="N1117" s="20"/>
      <c r="O1117" s="19"/>
    </row>
    <row r="1118" customFormat="false" ht="15" hidden="false" customHeight="false" outlineLevel="0" collapsed="false">
      <c r="A1118" s="17"/>
      <c r="B1118" s="18" t="str">
        <f aca="false">IF($A1118="","",TEXT($A1118,"ddd"))</f>
        <v/>
      </c>
      <c r="C1118" s="19"/>
      <c r="D1118" s="19"/>
      <c r="E1118" s="18" t="str">
        <f aca="false">IF($C1118="","",IFERROR(INDEX(Lists!$B$2:$B$40,MATCH($C1118,Lists!$A$2:$A$40,0)),""))</f>
        <v/>
      </c>
      <c r="F1118" s="20"/>
      <c r="G1118" s="20"/>
      <c r="H1118" s="20"/>
      <c r="I1118" s="20"/>
      <c r="J1118" s="20"/>
      <c r="K1118" s="18" t="str">
        <f aca="false">IF(COUNT($F1118:$J1118)=0,"",SUM($F1118:$J1118))</f>
        <v/>
      </c>
      <c r="L1118" s="18" t="str">
        <f aca="false">IF(COUNT($F1118:$J1118)=0,"",MAX($F1118:$J1118))</f>
        <v/>
      </c>
      <c r="M1118" s="18" t="str">
        <f aca="false">IFERROR(IF(OR($C1118="",COUNT($F1118:$J1118)&lt;3),"",IF(N(INDEX(Lists!$C$2:$C$40,MATCH($C1118,Lists!$A$2:$A$40,0)))=0,"",IF(MIN($F1118:$J1118)&gt;=INDEX(Lists!$C$2:$C$40,MATCH($C1118,Lists!$A$2:$A$40,0)),"LEVEL UP",""))),"")</f>
        <v/>
      </c>
      <c r="N1118" s="20"/>
      <c r="O1118" s="19"/>
    </row>
    <row r="1119" customFormat="false" ht="15" hidden="false" customHeight="false" outlineLevel="0" collapsed="false">
      <c r="A1119" s="17"/>
      <c r="B1119" s="18" t="str">
        <f aca="false">IF($A1119="","",TEXT($A1119,"ddd"))</f>
        <v/>
      </c>
      <c r="C1119" s="19"/>
      <c r="D1119" s="19"/>
      <c r="E1119" s="18" t="str">
        <f aca="false">IF($C1119="","",IFERROR(INDEX(Lists!$B$2:$B$40,MATCH($C1119,Lists!$A$2:$A$40,0)),""))</f>
        <v/>
      </c>
      <c r="F1119" s="20"/>
      <c r="G1119" s="20"/>
      <c r="H1119" s="20"/>
      <c r="I1119" s="20"/>
      <c r="J1119" s="20"/>
      <c r="K1119" s="18" t="str">
        <f aca="false">IF(COUNT($F1119:$J1119)=0,"",SUM($F1119:$J1119))</f>
        <v/>
      </c>
      <c r="L1119" s="18" t="str">
        <f aca="false">IF(COUNT($F1119:$J1119)=0,"",MAX($F1119:$J1119))</f>
        <v/>
      </c>
      <c r="M1119" s="18" t="str">
        <f aca="false">IFERROR(IF(OR($C1119="",COUNT($F1119:$J1119)&lt;3),"",IF(N(INDEX(Lists!$C$2:$C$40,MATCH($C1119,Lists!$A$2:$A$40,0)))=0,"",IF(MIN($F1119:$J1119)&gt;=INDEX(Lists!$C$2:$C$40,MATCH($C1119,Lists!$A$2:$A$40,0)),"LEVEL UP",""))),"")</f>
        <v/>
      </c>
      <c r="N1119" s="20"/>
      <c r="O1119" s="19"/>
    </row>
    <row r="1120" customFormat="false" ht="15" hidden="false" customHeight="false" outlineLevel="0" collapsed="false">
      <c r="A1120" s="17"/>
      <c r="B1120" s="18" t="str">
        <f aca="false">IF($A1120="","",TEXT($A1120,"ddd"))</f>
        <v/>
      </c>
      <c r="C1120" s="19"/>
      <c r="D1120" s="19"/>
      <c r="E1120" s="18" t="str">
        <f aca="false">IF($C1120="","",IFERROR(INDEX(Lists!$B$2:$B$40,MATCH($C1120,Lists!$A$2:$A$40,0)),""))</f>
        <v/>
      </c>
      <c r="F1120" s="20"/>
      <c r="G1120" s="20"/>
      <c r="H1120" s="20"/>
      <c r="I1120" s="20"/>
      <c r="J1120" s="20"/>
      <c r="K1120" s="18" t="str">
        <f aca="false">IF(COUNT($F1120:$J1120)=0,"",SUM($F1120:$J1120))</f>
        <v/>
      </c>
      <c r="L1120" s="18" t="str">
        <f aca="false">IF(COUNT($F1120:$J1120)=0,"",MAX($F1120:$J1120))</f>
        <v/>
      </c>
      <c r="M1120" s="18" t="str">
        <f aca="false">IFERROR(IF(OR($C1120="",COUNT($F1120:$J1120)&lt;3),"",IF(N(INDEX(Lists!$C$2:$C$40,MATCH($C1120,Lists!$A$2:$A$40,0)))=0,"",IF(MIN($F1120:$J1120)&gt;=INDEX(Lists!$C$2:$C$40,MATCH($C1120,Lists!$A$2:$A$40,0)),"LEVEL UP",""))),"")</f>
        <v/>
      </c>
      <c r="N1120" s="20"/>
      <c r="O1120" s="19"/>
    </row>
    <row r="1121" customFormat="false" ht="15" hidden="false" customHeight="false" outlineLevel="0" collapsed="false">
      <c r="A1121" s="17"/>
      <c r="B1121" s="18" t="str">
        <f aca="false">IF($A1121="","",TEXT($A1121,"ddd"))</f>
        <v/>
      </c>
      <c r="C1121" s="19"/>
      <c r="D1121" s="19"/>
      <c r="E1121" s="18" t="str">
        <f aca="false">IF($C1121="","",IFERROR(INDEX(Lists!$B$2:$B$40,MATCH($C1121,Lists!$A$2:$A$40,0)),""))</f>
        <v/>
      </c>
      <c r="F1121" s="20"/>
      <c r="G1121" s="20"/>
      <c r="H1121" s="20"/>
      <c r="I1121" s="20"/>
      <c r="J1121" s="20"/>
      <c r="K1121" s="18" t="str">
        <f aca="false">IF(COUNT($F1121:$J1121)=0,"",SUM($F1121:$J1121))</f>
        <v/>
      </c>
      <c r="L1121" s="18" t="str">
        <f aca="false">IF(COUNT($F1121:$J1121)=0,"",MAX($F1121:$J1121))</f>
        <v/>
      </c>
      <c r="M1121" s="18" t="str">
        <f aca="false">IFERROR(IF(OR($C1121="",COUNT($F1121:$J1121)&lt;3),"",IF(N(INDEX(Lists!$C$2:$C$40,MATCH($C1121,Lists!$A$2:$A$40,0)))=0,"",IF(MIN($F1121:$J1121)&gt;=INDEX(Lists!$C$2:$C$40,MATCH($C1121,Lists!$A$2:$A$40,0)),"LEVEL UP",""))),"")</f>
        <v/>
      </c>
      <c r="N1121" s="20"/>
      <c r="O1121" s="19"/>
    </row>
    <row r="1122" customFormat="false" ht="15" hidden="false" customHeight="false" outlineLevel="0" collapsed="false">
      <c r="A1122" s="17"/>
      <c r="B1122" s="18" t="str">
        <f aca="false">IF($A1122="","",TEXT($A1122,"ddd"))</f>
        <v/>
      </c>
      <c r="C1122" s="19"/>
      <c r="D1122" s="19"/>
      <c r="E1122" s="18" t="str">
        <f aca="false">IF($C1122="","",IFERROR(INDEX(Lists!$B$2:$B$40,MATCH($C1122,Lists!$A$2:$A$40,0)),""))</f>
        <v/>
      </c>
      <c r="F1122" s="20"/>
      <c r="G1122" s="20"/>
      <c r="H1122" s="20"/>
      <c r="I1122" s="20"/>
      <c r="J1122" s="20"/>
      <c r="K1122" s="18" t="str">
        <f aca="false">IF(COUNT($F1122:$J1122)=0,"",SUM($F1122:$J1122))</f>
        <v/>
      </c>
      <c r="L1122" s="18" t="str">
        <f aca="false">IF(COUNT($F1122:$J1122)=0,"",MAX($F1122:$J1122))</f>
        <v/>
      </c>
      <c r="M1122" s="18" t="str">
        <f aca="false">IFERROR(IF(OR($C1122="",COUNT($F1122:$J1122)&lt;3),"",IF(N(INDEX(Lists!$C$2:$C$40,MATCH($C1122,Lists!$A$2:$A$40,0)))=0,"",IF(MIN($F1122:$J1122)&gt;=INDEX(Lists!$C$2:$C$40,MATCH($C1122,Lists!$A$2:$A$40,0)),"LEVEL UP",""))),"")</f>
        <v/>
      </c>
      <c r="N1122" s="20"/>
      <c r="O1122" s="19"/>
    </row>
    <row r="1123" customFormat="false" ht="15" hidden="false" customHeight="false" outlineLevel="0" collapsed="false">
      <c r="A1123" s="17"/>
      <c r="B1123" s="18" t="str">
        <f aca="false">IF($A1123="","",TEXT($A1123,"ddd"))</f>
        <v/>
      </c>
      <c r="C1123" s="19"/>
      <c r="D1123" s="19"/>
      <c r="E1123" s="18" t="str">
        <f aca="false">IF($C1123="","",IFERROR(INDEX(Lists!$B$2:$B$40,MATCH($C1123,Lists!$A$2:$A$40,0)),""))</f>
        <v/>
      </c>
      <c r="F1123" s="20"/>
      <c r="G1123" s="20"/>
      <c r="H1123" s="20"/>
      <c r="I1123" s="20"/>
      <c r="J1123" s="20"/>
      <c r="K1123" s="18" t="str">
        <f aca="false">IF(COUNT($F1123:$J1123)=0,"",SUM($F1123:$J1123))</f>
        <v/>
      </c>
      <c r="L1123" s="18" t="str">
        <f aca="false">IF(COUNT($F1123:$J1123)=0,"",MAX($F1123:$J1123))</f>
        <v/>
      </c>
      <c r="M1123" s="18" t="str">
        <f aca="false">IFERROR(IF(OR($C1123="",COUNT($F1123:$J1123)&lt;3),"",IF(N(INDEX(Lists!$C$2:$C$40,MATCH($C1123,Lists!$A$2:$A$40,0)))=0,"",IF(MIN($F1123:$J1123)&gt;=INDEX(Lists!$C$2:$C$40,MATCH($C1123,Lists!$A$2:$A$40,0)),"LEVEL UP",""))),"")</f>
        <v/>
      </c>
      <c r="N1123" s="20"/>
      <c r="O1123" s="19"/>
    </row>
    <row r="1124" customFormat="false" ht="15" hidden="false" customHeight="false" outlineLevel="0" collapsed="false">
      <c r="A1124" s="17"/>
      <c r="B1124" s="18" t="str">
        <f aca="false">IF($A1124="","",TEXT($A1124,"ddd"))</f>
        <v/>
      </c>
      <c r="C1124" s="19"/>
      <c r="D1124" s="19"/>
      <c r="E1124" s="18" t="str">
        <f aca="false">IF($C1124="","",IFERROR(INDEX(Lists!$B$2:$B$40,MATCH($C1124,Lists!$A$2:$A$40,0)),""))</f>
        <v/>
      </c>
      <c r="F1124" s="20"/>
      <c r="G1124" s="20"/>
      <c r="H1124" s="20"/>
      <c r="I1124" s="20"/>
      <c r="J1124" s="20"/>
      <c r="K1124" s="18" t="str">
        <f aca="false">IF(COUNT($F1124:$J1124)=0,"",SUM($F1124:$J1124))</f>
        <v/>
      </c>
      <c r="L1124" s="18" t="str">
        <f aca="false">IF(COUNT($F1124:$J1124)=0,"",MAX($F1124:$J1124))</f>
        <v/>
      </c>
      <c r="M1124" s="18" t="str">
        <f aca="false">IFERROR(IF(OR($C1124="",COUNT($F1124:$J1124)&lt;3),"",IF(N(INDEX(Lists!$C$2:$C$40,MATCH($C1124,Lists!$A$2:$A$40,0)))=0,"",IF(MIN($F1124:$J1124)&gt;=INDEX(Lists!$C$2:$C$40,MATCH($C1124,Lists!$A$2:$A$40,0)),"LEVEL UP",""))),"")</f>
        <v/>
      </c>
      <c r="N1124" s="20"/>
      <c r="O1124" s="19"/>
    </row>
    <row r="1125" customFormat="false" ht="15" hidden="false" customHeight="false" outlineLevel="0" collapsed="false">
      <c r="A1125" s="17"/>
      <c r="B1125" s="18" t="str">
        <f aca="false">IF($A1125="","",TEXT($A1125,"ddd"))</f>
        <v/>
      </c>
      <c r="C1125" s="19"/>
      <c r="D1125" s="19"/>
      <c r="E1125" s="18" t="str">
        <f aca="false">IF($C1125="","",IFERROR(INDEX(Lists!$B$2:$B$40,MATCH($C1125,Lists!$A$2:$A$40,0)),""))</f>
        <v/>
      </c>
      <c r="F1125" s="20"/>
      <c r="G1125" s="20"/>
      <c r="H1125" s="20"/>
      <c r="I1125" s="20"/>
      <c r="J1125" s="20"/>
      <c r="K1125" s="18" t="str">
        <f aca="false">IF(COUNT($F1125:$J1125)=0,"",SUM($F1125:$J1125))</f>
        <v/>
      </c>
      <c r="L1125" s="18" t="str">
        <f aca="false">IF(COUNT($F1125:$J1125)=0,"",MAX($F1125:$J1125))</f>
        <v/>
      </c>
      <c r="M1125" s="18" t="str">
        <f aca="false">IFERROR(IF(OR($C1125="",COUNT($F1125:$J1125)&lt;3),"",IF(N(INDEX(Lists!$C$2:$C$40,MATCH($C1125,Lists!$A$2:$A$40,0)))=0,"",IF(MIN($F1125:$J1125)&gt;=INDEX(Lists!$C$2:$C$40,MATCH($C1125,Lists!$A$2:$A$40,0)),"LEVEL UP",""))),"")</f>
        <v/>
      </c>
      <c r="N1125" s="20"/>
      <c r="O1125" s="19"/>
    </row>
    <row r="1126" customFormat="false" ht="15" hidden="false" customHeight="false" outlineLevel="0" collapsed="false">
      <c r="A1126" s="17"/>
      <c r="B1126" s="18" t="str">
        <f aca="false">IF($A1126="","",TEXT($A1126,"ddd"))</f>
        <v/>
      </c>
      <c r="C1126" s="19"/>
      <c r="D1126" s="19"/>
      <c r="E1126" s="18" t="str">
        <f aca="false">IF($C1126="","",IFERROR(INDEX(Lists!$B$2:$B$40,MATCH($C1126,Lists!$A$2:$A$40,0)),""))</f>
        <v/>
      </c>
      <c r="F1126" s="20"/>
      <c r="G1126" s="20"/>
      <c r="H1126" s="20"/>
      <c r="I1126" s="20"/>
      <c r="J1126" s="20"/>
      <c r="K1126" s="18" t="str">
        <f aca="false">IF(COUNT($F1126:$J1126)=0,"",SUM($F1126:$J1126))</f>
        <v/>
      </c>
      <c r="L1126" s="18" t="str">
        <f aca="false">IF(COUNT($F1126:$J1126)=0,"",MAX($F1126:$J1126))</f>
        <v/>
      </c>
      <c r="M1126" s="18" t="str">
        <f aca="false">IFERROR(IF(OR($C1126="",COUNT($F1126:$J1126)&lt;3),"",IF(N(INDEX(Lists!$C$2:$C$40,MATCH($C1126,Lists!$A$2:$A$40,0)))=0,"",IF(MIN($F1126:$J1126)&gt;=INDEX(Lists!$C$2:$C$40,MATCH($C1126,Lists!$A$2:$A$40,0)),"LEVEL UP",""))),"")</f>
        <v/>
      </c>
      <c r="N1126" s="20"/>
      <c r="O1126" s="19"/>
    </row>
    <row r="1127" customFormat="false" ht="15" hidden="false" customHeight="false" outlineLevel="0" collapsed="false">
      <c r="A1127" s="17"/>
      <c r="B1127" s="18" t="str">
        <f aca="false">IF($A1127="","",TEXT($A1127,"ddd"))</f>
        <v/>
      </c>
      <c r="C1127" s="19"/>
      <c r="D1127" s="19"/>
      <c r="E1127" s="18" t="str">
        <f aca="false">IF($C1127="","",IFERROR(INDEX(Lists!$B$2:$B$40,MATCH($C1127,Lists!$A$2:$A$40,0)),""))</f>
        <v/>
      </c>
      <c r="F1127" s="20"/>
      <c r="G1127" s="20"/>
      <c r="H1127" s="20"/>
      <c r="I1127" s="20"/>
      <c r="J1127" s="20"/>
      <c r="K1127" s="18" t="str">
        <f aca="false">IF(COUNT($F1127:$J1127)=0,"",SUM($F1127:$J1127))</f>
        <v/>
      </c>
      <c r="L1127" s="18" t="str">
        <f aca="false">IF(COUNT($F1127:$J1127)=0,"",MAX($F1127:$J1127))</f>
        <v/>
      </c>
      <c r="M1127" s="18" t="str">
        <f aca="false">IFERROR(IF(OR($C1127="",COUNT($F1127:$J1127)&lt;3),"",IF(N(INDEX(Lists!$C$2:$C$40,MATCH($C1127,Lists!$A$2:$A$40,0)))=0,"",IF(MIN($F1127:$J1127)&gt;=INDEX(Lists!$C$2:$C$40,MATCH($C1127,Lists!$A$2:$A$40,0)),"LEVEL UP",""))),"")</f>
        <v/>
      </c>
      <c r="N1127" s="20"/>
      <c r="O1127" s="19"/>
    </row>
    <row r="1128" customFormat="false" ht="15" hidden="false" customHeight="false" outlineLevel="0" collapsed="false">
      <c r="A1128" s="17"/>
      <c r="B1128" s="18" t="str">
        <f aca="false">IF($A1128="","",TEXT($A1128,"ddd"))</f>
        <v/>
      </c>
      <c r="C1128" s="19"/>
      <c r="D1128" s="19"/>
      <c r="E1128" s="18" t="str">
        <f aca="false">IF($C1128="","",IFERROR(INDEX(Lists!$B$2:$B$40,MATCH($C1128,Lists!$A$2:$A$40,0)),""))</f>
        <v/>
      </c>
      <c r="F1128" s="20"/>
      <c r="G1128" s="20"/>
      <c r="H1128" s="20"/>
      <c r="I1128" s="20"/>
      <c r="J1128" s="20"/>
      <c r="K1128" s="18" t="str">
        <f aca="false">IF(COUNT($F1128:$J1128)=0,"",SUM($F1128:$J1128))</f>
        <v/>
      </c>
      <c r="L1128" s="18" t="str">
        <f aca="false">IF(COUNT($F1128:$J1128)=0,"",MAX($F1128:$J1128))</f>
        <v/>
      </c>
      <c r="M1128" s="18" t="str">
        <f aca="false">IFERROR(IF(OR($C1128="",COUNT($F1128:$J1128)&lt;3),"",IF(N(INDEX(Lists!$C$2:$C$40,MATCH($C1128,Lists!$A$2:$A$40,0)))=0,"",IF(MIN($F1128:$J1128)&gt;=INDEX(Lists!$C$2:$C$40,MATCH($C1128,Lists!$A$2:$A$40,0)),"LEVEL UP",""))),"")</f>
        <v/>
      </c>
      <c r="N1128" s="20"/>
      <c r="O1128" s="19"/>
    </row>
    <row r="1129" customFormat="false" ht="15" hidden="false" customHeight="false" outlineLevel="0" collapsed="false">
      <c r="A1129" s="17"/>
      <c r="B1129" s="18" t="str">
        <f aca="false">IF($A1129="","",TEXT($A1129,"ddd"))</f>
        <v/>
      </c>
      <c r="C1129" s="19"/>
      <c r="D1129" s="19"/>
      <c r="E1129" s="18" t="str">
        <f aca="false">IF($C1129="","",IFERROR(INDEX(Lists!$B$2:$B$40,MATCH($C1129,Lists!$A$2:$A$40,0)),""))</f>
        <v/>
      </c>
      <c r="F1129" s="20"/>
      <c r="G1129" s="20"/>
      <c r="H1129" s="20"/>
      <c r="I1129" s="20"/>
      <c r="J1129" s="20"/>
      <c r="K1129" s="18" t="str">
        <f aca="false">IF(COUNT($F1129:$J1129)=0,"",SUM($F1129:$J1129))</f>
        <v/>
      </c>
      <c r="L1129" s="18" t="str">
        <f aca="false">IF(COUNT($F1129:$J1129)=0,"",MAX($F1129:$J1129))</f>
        <v/>
      </c>
      <c r="M1129" s="18" t="str">
        <f aca="false">IFERROR(IF(OR($C1129="",COUNT($F1129:$J1129)&lt;3),"",IF(N(INDEX(Lists!$C$2:$C$40,MATCH($C1129,Lists!$A$2:$A$40,0)))=0,"",IF(MIN($F1129:$J1129)&gt;=INDEX(Lists!$C$2:$C$40,MATCH($C1129,Lists!$A$2:$A$40,0)),"LEVEL UP",""))),"")</f>
        <v/>
      </c>
      <c r="N1129" s="20"/>
      <c r="O1129" s="19"/>
    </row>
    <row r="1130" customFormat="false" ht="15" hidden="false" customHeight="false" outlineLevel="0" collapsed="false">
      <c r="A1130" s="17"/>
      <c r="B1130" s="18" t="str">
        <f aca="false">IF($A1130="","",TEXT($A1130,"ddd"))</f>
        <v/>
      </c>
      <c r="C1130" s="19"/>
      <c r="D1130" s="19"/>
      <c r="E1130" s="18" t="str">
        <f aca="false">IF($C1130="","",IFERROR(INDEX(Lists!$B$2:$B$40,MATCH($C1130,Lists!$A$2:$A$40,0)),""))</f>
        <v/>
      </c>
      <c r="F1130" s="20"/>
      <c r="G1130" s="20"/>
      <c r="H1130" s="20"/>
      <c r="I1130" s="20"/>
      <c r="J1130" s="20"/>
      <c r="K1130" s="18" t="str">
        <f aca="false">IF(COUNT($F1130:$J1130)=0,"",SUM($F1130:$J1130))</f>
        <v/>
      </c>
      <c r="L1130" s="18" t="str">
        <f aca="false">IF(COUNT($F1130:$J1130)=0,"",MAX($F1130:$J1130))</f>
        <v/>
      </c>
      <c r="M1130" s="18" t="str">
        <f aca="false">IFERROR(IF(OR($C1130="",COUNT($F1130:$J1130)&lt;3),"",IF(N(INDEX(Lists!$C$2:$C$40,MATCH($C1130,Lists!$A$2:$A$40,0)))=0,"",IF(MIN($F1130:$J1130)&gt;=INDEX(Lists!$C$2:$C$40,MATCH($C1130,Lists!$A$2:$A$40,0)),"LEVEL UP",""))),"")</f>
        <v/>
      </c>
      <c r="N1130" s="20"/>
      <c r="O1130" s="19"/>
    </row>
    <row r="1131" customFormat="false" ht="15" hidden="false" customHeight="false" outlineLevel="0" collapsed="false">
      <c r="A1131" s="17"/>
      <c r="B1131" s="18" t="str">
        <f aca="false">IF($A1131="","",TEXT($A1131,"ddd"))</f>
        <v/>
      </c>
      <c r="C1131" s="19"/>
      <c r="D1131" s="19"/>
      <c r="E1131" s="18" t="str">
        <f aca="false">IF($C1131="","",IFERROR(INDEX(Lists!$B$2:$B$40,MATCH($C1131,Lists!$A$2:$A$40,0)),""))</f>
        <v/>
      </c>
      <c r="F1131" s="20"/>
      <c r="G1131" s="20"/>
      <c r="H1131" s="20"/>
      <c r="I1131" s="20"/>
      <c r="J1131" s="20"/>
      <c r="K1131" s="18" t="str">
        <f aca="false">IF(COUNT($F1131:$J1131)=0,"",SUM($F1131:$J1131))</f>
        <v/>
      </c>
      <c r="L1131" s="18" t="str">
        <f aca="false">IF(COUNT($F1131:$J1131)=0,"",MAX($F1131:$J1131))</f>
        <v/>
      </c>
      <c r="M1131" s="18" t="str">
        <f aca="false">IFERROR(IF(OR($C1131="",COUNT($F1131:$J1131)&lt;3),"",IF(N(INDEX(Lists!$C$2:$C$40,MATCH($C1131,Lists!$A$2:$A$40,0)))=0,"",IF(MIN($F1131:$J1131)&gt;=INDEX(Lists!$C$2:$C$40,MATCH($C1131,Lists!$A$2:$A$40,0)),"LEVEL UP",""))),"")</f>
        <v/>
      </c>
      <c r="N1131" s="20"/>
      <c r="O1131" s="19"/>
    </row>
    <row r="1132" customFormat="false" ht="15" hidden="false" customHeight="false" outlineLevel="0" collapsed="false">
      <c r="A1132" s="17"/>
      <c r="B1132" s="18" t="str">
        <f aca="false">IF($A1132="","",TEXT($A1132,"ddd"))</f>
        <v/>
      </c>
      <c r="C1132" s="19"/>
      <c r="D1132" s="19"/>
      <c r="E1132" s="18" t="str">
        <f aca="false">IF($C1132="","",IFERROR(INDEX(Lists!$B$2:$B$40,MATCH($C1132,Lists!$A$2:$A$40,0)),""))</f>
        <v/>
      </c>
      <c r="F1132" s="20"/>
      <c r="G1132" s="20"/>
      <c r="H1132" s="20"/>
      <c r="I1132" s="20"/>
      <c r="J1132" s="20"/>
      <c r="K1132" s="18" t="str">
        <f aca="false">IF(COUNT($F1132:$J1132)=0,"",SUM($F1132:$J1132))</f>
        <v/>
      </c>
      <c r="L1132" s="18" t="str">
        <f aca="false">IF(COUNT($F1132:$J1132)=0,"",MAX($F1132:$J1132))</f>
        <v/>
      </c>
      <c r="M1132" s="18" t="str">
        <f aca="false">IFERROR(IF(OR($C1132="",COUNT($F1132:$J1132)&lt;3),"",IF(N(INDEX(Lists!$C$2:$C$40,MATCH($C1132,Lists!$A$2:$A$40,0)))=0,"",IF(MIN($F1132:$J1132)&gt;=INDEX(Lists!$C$2:$C$40,MATCH($C1132,Lists!$A$2:$A$40,0)),"LEVEL UP",""))),"")</f>
        <v/>
      </c>
      <c r="N1132" s="20"/>
      <c r="O1132" s="19"/>
    </row>
    <row r="1133" customFormat="false" ht="15" hidden="false" customHeight="false" outlineLevel="0" collapsed="false">
      <c r="A1133" s="17"/>
      <c r="B1133" s="18" t="str">
        <f aca="false">IF($A1133="","",TEXT($A1133,"ddd"))</f>
        <v/>
      </c>
      <c r="C1133" s="19"/>
      <c r="D1133" s="19"/>
      <c r="E1133" s="18" t="str">
        <f aca="false">IF($C1133="","",IFERROR(INDEX(Lists!$B$2:$B$40,MATCH($C1133,Lists!$A$2:$A$40,0)),""))</f>
        <v/>
      </c>
      <c r="F1133" s="20"/>
      <c r="G1133" s="20"/>
      <c r="H1133" s="20"/>
      <c r="I1133" s="20"/>
      <c r="J1133" s="20"/>
      <c r="K1133" s="18" t="str">
        <f aca="false">IF(COUNT($F1133:$J1133)=0,"",SUM($F1133:$J1133))</f>
        <v/>
      </c>
      <c r="L1133" s="18" t="str">
        <f aca="false">IF(COUNT($F1133:$J1133)=0,"",MAX($F1133:$J1133))</f>
        <v/>
      </c>
      <c r="M1133" s="18" t="str">
        <f aca="false">IFERROR(IF(OR($C1133="",COUNT($F1133:$J1133)&lt;3),"",IF(N(INDEX(Lists!$C$2:$C$40,MATCH($C1133,Lists!$A$2:$A$40,0)))=0,"",IF(MIN($F1133:$J1133)&gt;=INDEX(Lists!$C$2:$C$40,MATCH($C1133,Lists!$A$2:$A$40,0)),"LEVEL UP",""))),"")</f>
        <v/>
      </c>
      <c r="N1133" s="20"/>
      <c r="O1133" s="19"/>
    </row>
    <row r="1134" customFormat="false" ht="15" hidden="false" customHeight="false" outlineLevel="0" collapsed="false">
      <c r="A1134" s="17"/>
      <c r="B1134" s="18" t="str">
        <f aca="false">IF($A1134="","",TEXT($A1134,"ddd"))</f>
        <v/>
      </c>
      <c r="C1134" s="19"/>
      <c r="D1134" s="19"/>
      <c r="E1134" s="18" t="str">
        <f aca="false">IF($C1134="","",IFERROR(INDEX(Lists!$B$2:$B$40,MATCH($C1134,Lists!$A$2:$A$40,0)),""))</f>
        <v/>
      </c>
      <c r="F1134" s="20"/>
      <c r="G1134" s="20"/>
      <c r="H1134" s="20"/>
      <c r="I1134" s="20"/>
      <c r="J1134" s="20"/>
      <c r="K1134" s="18" t="str">
        <f aca="false">IF(COUNT($F1134:$J1134)=0,"",SUM($F1134:$J1134))</f>
        <v/>
      </c>
      <c r="L1134" s="18" t="str">
        <f aca="false">IF(COUNT($F1134:$J1134)=0,"",MAX($F1134:$J1134))</f>
        <v/>
      </c>
      <c r="M1134" s="18" t="str">
        <f aca="false">IFERROR(IF(OR($C1134="",COUNT($F1134:$J1134)&lt;3),"",IF(N(INDEX(Lists!$C$2:$C$40,MATCH($C1134,Lists!$A$2:$A$40,0)))=0,"",IF(MIN($F1134:$J1134)&gt;=INDEX(Lists!$C$2:$C$40,MATCH($C1134,Lists!$A$2:$A$40,0)),"LEVEL UP",""))),"")</f>
        <v/>
      </c>
      <c r="N1134" s="20"/>
      <c r="O1134" s="19"/>
    </row>
    <row r="1135" customFormat="false" ht="15" hidden="false" customHeight="false" outlineLevel="0" collapsed="false">
      <c r="A1135" s="17"/>
      <c r="B1135" s="18" t="str">
        <f aca="false">IF($A1135="","",TEXT($A1135,"ddd"))</f>
        <v/>
      </c>
      <c r="C1135" s="19"/>
      <c r="D1135" s="19"/>
      <c r="E1135" s="18" t="str">
        <f aca="false">IF($C1135="","",IFERROR(INDEX(Lists!$B$2:$B$40,MATCH($C1135,Lists!$A$2:$A$40,0)),""))</f>
        <v/>
      </c>
      <c r="F1135" s="20"/>
      <c r="G1135" s="20"/>
      <c r="H1135" s="20"/>
      <c r="I1135" s="20"/>
      <c r="J1135" s="20"/>
      <c r="K1135" s="18" t="str">
        <f aca="false">IF(COUNT($F1135:$J1135)=0,"",SUM($F1135:$J1135))</f>
        <v/>
      </c>
      <c r="L1135" s="18" t="str">
        <f aca="false">IF(COUNT($F1135:$J1135)=0,"",MAX($F1135:$J1135))</f>
        <v/>
      </c>
      <c r="M1135" s="18" t="str">
        <f aca="false">IFERROR(IF(OR($C1135="",COUNT($F1135:$J1135)&lt;3),"",IF(N(INDEX(Lists!$C$2:$C$40,MATCH($C1135,Lists!$A$2:$A$40,0)))=0,"",IF(MIN($F1135:$J1135)&gt;=INDEX(Lists!$C$2:$C$40,MATCH($C1135,Lists!$A$2:$A$40,0)),"LEVEL UP",""))),"")</f>
        <v/>
      </c>
      <c r="N1135" s="20"/>
      <c r="O1135" s="19"/>
    </row>
    <row r="1136" customFormat="false" ht="15" hidden="false" customHeight="false" outlineLevel="0" collapsed="false">
      <c r="A1136" s="17"/>
      <c r="B1136" s="18" t="str">
        <f aca="false">IF($A1136="","",TEXT($A1136,"ddd"))</f>
        <v/>
      </c>
      <c r="C1136" s="19"/>
      <c r="D1136" s="19"/>
      <c r="E1136" s="18" t="str">
        <f aca="false">IF($C1136="","",IFERROR(INDEX(Lists!$B$2:$B$40,MATCH($C1136,Lists!$A$2:$A$40,0)),""))</f>
        <v/>
      </c>
      <c r="F1136" s="20"/>
      <c r="G1136" s="20"/>
      <c r="H1136" s="20"/>
      <c r="I1136" s="20"/>
      <c r="J1136" s="20"/>
      <c r="K1136" s="18" t="str">
        <f aca="false">IF(COUNT($F1136:$J1136)=0,"",SUM($F1136:$J1136))</f>
        <v/>
      </c>
      <c r="L1136" s="18" t="str">
        <f aca="false">IF(COUNT($F1136:$J1136)=0,"",MAX($F1136:$J1136))</f>
        <v/>
      </c>
      <c r="M1136" s="18" t="str">
        <f aca="false">IFERROR(IF(OR($C1136="",COUNT($F1136:$J1136)&lt;3),"",IF(N(INDEX(Lists!$C$2:$C$40,MATCH($C1136,Lists!$A$2:$A$40,0)))=0,"",IF(MIN($F1136:$J1136)&gt;=INDEX(Lists!$C$2:$C$40,MATCH($C1136,Lists!$A$2:$A$40,0)),"LEVEL UP",""))),"")</f>
        <v/>
      </c>
      <c r="N1136" s="20"/>
      <c r="O1136" s="19"/>
    </row>
    <row r="1137" customFormat="false" ht="15" hidden="false" customHeight="false" outlineLevel="0" collapsed="false">
      <c r="A1137" s="17"/>
      <c r="B1137" s="18" t="str">
        <f aca="false">IF($A1137="","",TEXT($A1137,"ddd"))</f>
        <v/>
      </c>
      <c r="C1137" s="19"/>
      <c r="D1137" s="19"/>
      <c r="E1137" s="18" t="str">
        <f aca="false">IF($C1137="","",IFERROR(INDEX(Lists!$B$2:$B$40,MATCH($C1137,Lists!$A$2:$A$40,0)),""))</f>
        <v/>
      </c>
      <c r="F1137" s="20"/>
      <c r="G1137" s="20"/>
      <c r="H1137" s="20"/>
      <c r="I1137" s="20"/>
      <c r="J1137" s="20"/>
      <c r="K1137" s="18" t="str">
        <f aca="false">IF(COUNT($F1137:$J1137)=0,"",SUM($F1137:$J1137))</f>
        <v/>
      </c>
      <c r="L1137" s="18" t="str">
        <f aca="false">IF(COUNT($F1137:$J1137)=0,"",MAX($F1137:$J1137))</f>
        <v/>
      </c>
      <c r="M1137" s="18" t="str">
        <f aca="false">IFERROR(IF(OR($C1137="",COUNT($F1137:$J1137)&lt;3),"",IF(N(INDEX(Lists!$C$2:$C$40,MATCH($C1137,Lists!$A$2:$A$40,0)))=0,"",IF(MIN($F1137:$J1137)&gt;=INDEX(Lists!$C$2:$C$40,MATCH($C1137,Lists!$A$2:$A$40,0)),"LEVEL UP",""))),"")</f>
        <v/>
      </c>
      <c r="N1137" s="20"/>
      <c r="O1137" s="19"/>
    </row>
    <row r="1138" customFormat="false" ht="15" hidden="false" customHeight="false" outlineLevel="0" collapsed="false">
      <c r="A1138" s="17"/>
      <c r="B1138" s="18" t="str">
        <f aca="false">IF($A1138="","",TEXT($A1138,"ddd"))</f>
        <v/>
      </c>
      <c r="C1138" s="19"/>
      <c r="D1138" s="19"/>
      <c r="E1138" s="18" t="str">
        <f aca="false">IF($C1138="","",IFERROR(INDEX(Lists!$B$2:$B$40,MATCH($C1138,Lists!$A$2:$A$40,0)),""))</f>
        <v/>
      </c>
      <c r="F1138" s="20"/>
      <c r="G1138" s="20"/>
      <c r="H1138" s="20"/>
      <c r="I1138" s="20"/>
      <c r="J1138" s="20"/>
      <c r="K1138" s="18" t="str">
        <f aca="false">IF(COUNT($F1138:$J1138)=0,"",SUM($F1138:$J1138))</f>
        <v/>
      </c>
      <c r="L1138" s="18" t="str">
        <f aca="false">IF(COUNT($F1138:$J1138)=0,"",MAX($F1138:$J1138))</f>
        <v/>
      </c>
      <c r="M1138" s="18" t="str">
        <f aca="false">IFERROR(IF(OR($C1138="",COUNT($F1138:$J1138)&lt;3),"",IF(N(INDEX(Lists!$C$2:$C$40,MATCH($C1138,Lists!$A$2:$A$40,0)))=0,"",IF(MIN($F1138:$J1138)&gt;=INDEX(Lists!$C$2:$C$40,MATCH($C1138,Lists!$A$2:$A$40,0)),"LEVEL UP",""))),"")</f>
        <v/>
      </c>
      <c r="N1138" s="20"/>
      <c r="O1138" s="19"/>
    </row>
    <row r="1139" customFormat="false" ht="15" hidden="false" customHeight="false" outlineLevel="0" collapsed="false">
      <c r="A1139" s="17"/>
      <c r="B1139" s="18" t="str">
        <f aca="false">IF($A1139="","",TEXT($A1139,"ddd"))</f>
        <v/>
      </c>
      <c r="C1139" s="19"/>
      <c r="D1139" s="19"/>
      <c r="E1139" s="18" t="str">
        <f aca="false">IF($C1139="","",IFERROR(INDEX(Lists!$B$2:$B$40,MATCH($C1139,Lists!$A$2:$A$40,0)),""))</f>
        <v/>
      </c>
      <c r="F1139" s="20"/>
      <c r="G1139" s="20"/>
      <c r="H1139" s="20"/>
      <c r="I1139" s="20"/>
      <c r="J1139" s="20"/>
      <c r="K1139" s="18" t="str">
        <f aca="false">IF(COUNT($F1139:$J1139)=0,"",SUM($F1139:$J1139))</f>
        <v/>
      </c>
      <c r="L1139" s="18" t="str">
        <f aca="false">IF(COUNT($F1139:$J1139)=0,"",MAX($F1139:$J1139))</f>
        <v/>
      </c>
      <c r="M1139" s="18" t="str">
        <f aca="false">IFERROR(IF(OR($C1139="",COUNT($F1139:$J1139)&lt;3),"",IF(N(INDEX(Lists!$C$2:$C$40,MATCH($C1139,Lists!$A$2:$A$40,0)))=0,"",IF(MIN($F1139:$J1139)&gt;=INDEX(Lists!$C$2:$C$40,MATCH($C1139,Lists!$A$2:$A$40,0)),"LEVEL UP",""))),"")</f>
        <v/>
      </c>
      <c r="N1139" s="20"/>
      <c r="O1139" s="19"/>
    </row>
    <row r="1140" customFormat="false" ht="15" hidden="false" customHeight="false" outlineLevel="0" collapsed="false">
      <c r="A1140" s="17"/>
      <c r="B1140" s="18" t="str">
        <f aca="false">IF($A1140="","",TEXT($A1140,"ddd"))</f>
        <v/>
      </c>
      <c r="C1140" s="19"/>
      <c r="D1140" s="19"/>
      <c r="E1140" s="18" t="str">
        <f aca="false">IF($C1140="","",IFERROR(INDEX(Lists!$B$2:$B$40,MATCH($C1140,Lists!$A$2:$A$40,0)),""))</f>
        <v/>
      </c>
      <c r="F1140" s="20"/>
      <c r="G1140" s="20"/>
      <c r="H1140" s="20"/>
      <c r="I1140" s="20"/>
      <c r="J1140" s="20"/>
      <c r="K1140" s="18" t="str">
        <f aca="false">IF(COUNT($F1140:$J1140)=0,"",SUM($F1140:$J1140))</f>
        <v/>
      </c>
      <c r="L1140" s="18" t="str">
        <f aca="false">IF(COUNT($F1140:$J1140)=0,"",MAX($F1140:$J1140))</f>
        <v/>
      </c>
      <c r="M1140" s="18" t="str">
        <f aca="false">IFERROR(IF(OR($C1140="",COUNT($F1140:$J1140)&lt;3),"",IF(N(INDEX(Lists!$C$2:$C$40,MATCH($C1140,Lists!$A$2:$A$40,0)))=0,"",IF(MIN($F1140:$J1140)&gt;=INDEX(Lists!$C$2:$C$40,MATCH($C1140,Lists!$A$2:$A$40,0)),"LEVEL UP",""))),"")</f>
        <v/>
      </c>
      <c r="N1140" s="20"/>
      <c r="O1140" s="19"/>
    </row>
    <row r="1141" customFormat="false" ht="15" hidden="false" customHeight="false" outlineLevel="0" collapsed="false">
      <c r="A1141" s="17"/>
      <c r="B1141" s="18" t="str">
        <f aca="false">IF($A1141="","",TEXT($A1141,"ddd"))</f>
        <v/>
      </c>
      <c r="C1141" s="19"/>
      <c r="D1141" s="19"/>
      <c r="E1141" s="18" t="str">
        <f aca="false">IF($C1141="","",IFERROR(INDEX(Lists!$B$2:$B$40,MATCH($C1141,Lists!$A$2:$A$40,0)),""))</f>
        <v/>
      </c>
      <c r="F1141" s="20"/>
      <c r="G1141" s="20"/>
      <c r="H1141" s="20"/>
      <c r="I1141" s="20"/>
      <c r="J1141" s="20"/>
      <c r="K1141" s="18" t="str">
        <f aca="false">IF(COUNT($F1141:$J1141)=0,"",SUM($F1141:$J1141))</f>
        <v/>
      </c>
      <c r="L1141" s="18" t="str">
        <f aca="false">IF(COUNT($F1141:$J1141)=0,"",MAX($F1141:$J1141))</f>
        <v/>
      </c>
      <c r="M1141" s="18" t="str">
        <f aca="false">IFERROR(IF(OR($C1141="",COUNT($F1141:$J1141)&lt;3),"",IF(N(INDEX(Lists!$C$2:$C$40,MATCH($C1141,Lists!$A$2:$A$40,0)))=0,"",IF(MIN($F1141:$J1141)&gt;=INDEX(Lists!$C$2:$C$40,MATCH($C1141,Lists!$A$2:$A$40,0)),"LEVEL UP",""))),"")</f>
        <v/>
      </c>
      <c r="N1141" s="20"/>
      <c r="O1141" s="19"/>
    </row>
    <row r="1142" customFormat="false" ht="15" hidden="false" customHeight="false" outlineLevel="0" collapsed="false">
      <c r="A1142" s="17"/>
      <c r="B1142" s="18" t="str">
        <f aca="false">IF($A1142="","",TEXT($A1142,"ddd"))</f>
        <v/>
      </c>
      <c r="C1142" s="19"/>
      <c r="D1142" s="19"/>
      <c r="E1142" s="18" t="str">
        <f aca="false">IF($C1142="","",IFERROR(INDEX(Lists!$B$2:$B$40,MATCH($C1142,Lists!$A$2:$A$40,0)),""))</f>
        <v/>
      </c>
      <c r="F1142" s="20"/>
      <c r="G1142" s="20"/>
      <c r="H1142" s="20"/>
      <c r="I1142" s="20"/>
      <c r="J1142" s="20"/>
      <c r="K1142" s="18" t="str">
        <f aca="false">IF(COUNT($F1142:$J1142)=0,"",SUM($F1142:$J1142))</f>
        <v/>
      </c>
      <c r="L1142" s="18" t="str">
        <f aca="false">IF(COUNT($F1142:$J1142)=0,"",MAX($F1142:$J1142))</f>
        <v/>
      </c>
      <c r="M1142" s="18" t="str">
        <f aca="false">IFERROR(IF(OR($C1142="",COUNT($F1142:$J1142)&lt;3),"",IF(N(INDEX(Lists!$C$2:$C$40,MATCH($C1142,Lists!$A$2:$A$40,0)))=0,"",IF(MIN($F1142:$J1142)&gt;=INDEX(Lists!$C$2:$C$40,MATCH($C1142,Lists!$A$2:$A$40,0)),"LEVEL UP",""))),"")</f>
        <v/>
      </c>
      <c r="N1142" s="20"/>
      <c r="O1142" s="19"/>
    </row>
    <row r="1143" customFormat="false" ht="15" hidden="false" customHeight="false" outlineLevel="0" collapsed="false">
      <c r="A1143" s="17"/>
      <c r="B1143" s="18" t="str">
        <f aca="false">IF($A1143="","",TEXT($A1143,"ddd"))</f>
        <v/>
      </c>
      <c r="C1143" s="19"/>
      <c r="D1143" s="19"/>
      <c r="E1143" s="18" t="str">
        <f aca="false">IF($C1143="","",IFERROR(INDEX(Lists!$B$2:$B$40,MATCH($C1143,Lists!$A$2:$A$40,0)),""))</f>
        <v/>
      </c>
      <c r="F1143" s="20"/>
      <c r="G1143" s="20"/>
      <c r="H1143" s="20"/>
      <c r="I1143" s="20"/>
      <c r="J1143" s="20"/>
      <c r="K1143" s="18" t="str">
        <f aca="false">IF(COUNT($F1143:$J1143)=0,"",SUM($F1143:$J1143))</f>
        <v/>
      </c>
      <c r="L1143" s="18" t="str">
        <f aca="false">IF(COUNT($F1143:$J1143)=0,"",MAX($F1143:$J1143))</f>
        <v/>
      </c>
      <c r="M1143" s="18" t="str">
        <f aca="false">IFERROR(IF(OR($C1143="",COUNT($F1143:$J1143)&lt;3),"",IF(N(INDEX(Lists!$C$2:$C$40,MATCH($C1143,Lists!$A$2:$A$40,0)))=0,"",IF(MIN($F1143:$J1143)&gt;=INDEX(Lists!$C$2:$C$40,MATCH($C1143,Lists!$A$2:$A$40,0)),"LEVEL UP",""))),"")</f>
        <v/>
      </c>
      <c r="N1143" s="20"/>
      <c r="O1143" s="19"/>
    </row>
    <row r="1144" customFormat="false" ht="15" hidden="false" customHeight="false" outlineLevel="0" collapsed="false">
      <c r="A1144" s="17"/>
      <c r="B1144" s="18" t="str">
        <f aca="false">IF($A1144="","",TEXT($A1144,"ddd"))</f>
        <v/>
      </c>
      <c r="C1144" s="19"/>
      <c r="D1144" s="19"/>
      <c r="E1144" s="18" t="str">
        <f aca="false">IF($C1144="","",IFERROR(INDEX(Lists!$B$2:$B$40,MATCH($C1144,Lists!$A$2:$A$40,0)),""))</f>
        <v/>
      </c>
      <c r="F1144" s="20"/>
      <c r="G1144" s="20"/>
      <c r="H1144" s="20"/>
      <c r="I1144" s="20"/>
      <c r="J1144" s="20"/>
      <c r="K1144" s="18" t="str">
        <f aca="false">IF(COUNT($F1144:$J1144)=0,"",SUM($F1144:$J1144))</f>
        <v/>
      </c>
      <c r="L1144" s="18" t="str">
        <f aca="false">IF(COUNT($F1144:$J1144)=0,"",MAX($F1144:$J1144))</f>
        <v/>
      </c>
      <c r="M1144" s="18" t="str">
        <f aca="false">IFERROR(IF(OR($C1144="",COUNT($F1144:$J1144)&lt;3),"",IF(N(INDEX(Lists!$C$2:$C$40,MATCH($C1144,Lists!$A$2:$A$40,0)))=0,"",IF(MIN($F1144:$J1144)&gt;=INDEX(Lists!$C$2:$C$40,MATCH($C1144,Lists!$A$2:$A$40,0)),"LEVEL UP",""))),"")</f>
        <v/>
      </c>
      <c r="N1144" s="20"/>
      <c r="O1144" s="19"/>
    </row>
    <row r="1145" customFormat="false" ht="15" hidden="false" customHeight="false" outlineLevel="0" collapsed="false">
      <c r="A1145" s="17"/>
      <c r="B1145" s="18" t="str">
        <f aca="false">IF($A1145="","",TEXT($A1145,"ddd"))</f>
        <v/>
      </c>
      <c r="C1145" s="19"/>
      <c r="D1145" s="19"/>
      <c r="E1145" s="18" t="str">
        <f aca="false">IF($C1145="","",IFERROR(INDEX(Lists!$B$2:$B$40,MATCH($C1145,Lists!$A$2:$A$40,0)),""))</f>
        <v/>
      </c>
      <c r="F1145" s="20"/>
      <c r="G1145" s="20"/>
      <c r="H1145" s="20"/>
      <c r="I1145" s="20"/>
      <c r="J1145" s="20"/>
      <c r="K1145" s="18" t="str">
        <f aca="false">IF(COUNT($F1145:$J1145)=0,"",SUM($F1145:$J1145))</f>
        <v/>
      </c>
      <c r="L1145" s="18" t="str">
        <f aca="false">IF(COUNT($F1145:$J1145)=0,"",MAX($F1145:$J1145))</f>
        <v/>
      </c>
      <c r="M1145" s="18" t="str">
        <f aca="false">IFERROR(IF(OR($C1145="",COUNT($F1145:$J1145)&lt;3),"",IF(N(INDEX(Lists!$C$2:$C$40,MATCH($C1145,Lists!$A$2:$A$40,0)))=0,"",IF(MIN($F1145:$J1145)&gt;=INDEX(Lists!$C$2:$C$40,MATCH($C1145,Lists!$A$2:$A$40,0)),"LEVEL UP",""))),"")</f>
        <v/>
      </c>
      <c r="N1145" s="20"/>
      <c r="O1145" s="19"/>
    </row>
    <row r="1146" customFormat="false" ht="15" hidden="false" customHeight="false" outlineLevel="0" collapsed="false">
      <c r="A1146" s="17"/>
      <c r="B1146" s="18" t="str">
        <f aca="false">IF($A1146="","",TEXT($A1146,"ddd"))</f>
        <v/>
      </c>
      <c r="C1146" s="19"/>
      <c r="D1146" s="19"/>
      <c r="E1146" s="18" t="str">
        <f aca="false">IF($C1146="","",IFERROR(INDEX(Lists!$B$2:$B$40,MATCH($C1146,Lists!$A$2:$A$40,0)),""))</f>
        <v/>
      </c>
      <c r="F1146" s="20"/>
      <c r="G1146" s="20"/>
      <c r="H1146" s="20"/>
      <c r="I1146" s="20"/>
      <c r="J1146" s="20"/>
      <c r="K1146" s="18" t="str">
        <f aca="false">IF(COUNT($F1146:$J1146)=0,"",SUM($F1146:$J1146))</f>
        <v/>
      </c>
      <c r="L1146" s="18" t="str">
        <f aca="false">IF(COUNT($F1146:$J1146)=0,"",MAX($F1146:$J1146))</f>
        <v/>
      </c>
      <c r="M1146" s="18" t="str">
        <f aca="false">IFERROR(IF(OR($C1146="",COUNT($F1146:$J1146)&lt;3),"",IF(N(INDEX(Lists!$C$2:$C$40,MATCH($C1146,Lists!$A$2:$A$40,0)))=0,"",IF(MIN($F1146:$J1146)&gt;=INDEX(Lists!$C$2:$C$40,MATCH($C1146,Lists!$A$2:$A$40,0)),"LEVEL UP",""))),"")</f>
        <v/>
      </c>
      <c r="N1146" s="20"/>
      <c r="O1146" s="19"/>
    </row>
    <row r="1147" customFormat="false" ht="15" hidden="false" customHeight="false" outlineLevel="0" collapsed="false">
      <c r="A1147" s="17"/>
      <c r="B1147" s="18" t="str">
        <f aca="false">IF($A1147="","",TEXT($A1147,"ddd"))</f>
        <v/>
      </c>
      <c r="C1147" s="19"/>
      <c r="D1147" s="19"/>
      <c r="E1147" s="18" t="str">
        <f aca="false">IF($C1147="","",IFERROR(INDEX(Lists!$B$2:$B$40,MATCH($C1147,Lists!$A$2:$A$40,0)),""))</f>
        <v/>
      </c>
      <c r="F1147" s="20"/>
      <c r="G1147" s="20"/>
      <c r="H1147" s="20"/>
      <c r="I1147" s="20"/>
      <c r="J1147" s="20"/>
      <c r="K1147" s="18" t="str">
        <f aca="false">IF(COUNT($F1147:$J1147)=0,"",SUM($F1147:$J1147))</f>
        <v/>
      </c>
      <c r="L1147" s="18" t="str">
        <f aca="false">IF(COUNT($F1147:$J1147)=0,"",MAX($F1147:$J1147))</f>
        <v/>
      </c>
      <c r="M1147" s="18" t="str">
        <f aca="false">IFERROR(IF(OR($C1147="",COUNT($F1147:$J1147)&lt;3),"",IF(N(INDEX(Lists!$C$2:$C$40,MATCH($C1147,Lists!$A$2:$A$40,0)))=0,"",IF(MIN($F1147:$J1147)&gt;=INDEX(Lists!$C$2:$C$40,MATCH($C1147,Lists!$A$2:$A$40,0)),"LEVEL UP",""))),"")</f>
        <v/>
      </c>
      <c r="N1147" s="20"/>
      <c r="O1147" s="19"/>
    </row>
    <row r="1148" customFormat="false" ht="15" hidden="false" customHeight="false" outlineLevel="0" collapsed="false">
      <c r="A1148" s="17"/>
      <c r="B1148" s="18" t="str">
        <f aca="false">IF($A1148="","",TEXT($A1148,"ddd"))</f>
        <v/>
      </c>
      <c r="C1148" s="19"/>
      <c r="D1148" s="19"/>
      <c r="E1148" s="18" t="str">
        <f aca="false">IF($C1148="","",IFERROR(INDEX(Lists!$B$2:$B$40,MATCH($C1148,Lists!$A$2:$A$40,0)),""))</f>
        <v/>
      </c>
      <c r="F1148" s="20"/>
      <c r="G1148" s="20"/>
      <c r="H1148" s="20"/>
      <c r="I1148" s="20"/>
      <c r="J1148" s="20"/>
      <c r="K1148" s="18" t="str">
        <f aca="false">IF(COUNT($F1148:$J1148)=0,"",SUM($F1148:$J1148))</f>
        <v/>
      </c>
      <c r="L1148" s="18" t="str">
        <f aca="false">IF(COUNT($F1148:$J1148)=0,"",MAX($F1148:$J1148))</f>
        <v/>
      </c>
      <c r="M1148" s="18" t="str">
        <f aca="false">IFERROR(IF(OR($C1148="",COUNT($F1148:$J1148)&lt;3),"",IF(N(INDEX(Lists!$C$2:$C$40,MATCH($C1148,Lists!$A$2:$A$40,0)))=0,"",IF(MIN($F1148:$J1148)&gt;=INDEX(Lists!$C$2:$C$40,MATCH($C1148,Lists!$A$2:$A$40,0)),"LEVEL UP",""))),"")</f>
        <v/>
      </c>
      <c r="N1148" s="20"/>
      <c r="O1148" s="19"/>
    </row>
    <row r="1149" customFormat="false" ht="15" hidden="false" customHeight="false" outlineLevel="0" collapsed="false">
      <c r="A1149" s="17"/>
      <c r="B1149" s="18" t="str">
        <f aca="false">IF($A1149="","",TEXT($A1149,"ddd"))</f>
        <v/>
      </c>
      <c r="C1149" s="19"/>
      <c r="D1149" s="19"/>
      <c r="E1149" s="18" t="str">
        <f aca="false">IF($C1149="","",IFERROR(INDEX(Lists!$B$2:$B$40,MATCH($C1149,Lists!$A$2:$A$40,0)),""))</f>
        <v/>
      </c>
      <c r="F1149" s="20"/>
      <c r="G1149" s="20"/>
      <c r="H1149" s="20"/>
      <c r="I1149" s="20"/>
      <c r="J1149" s="20"/>
      <c r="K1149" s="18" t="str">
        <f aca="false">IF(COUNT($F1149:$J1149)=0,"",SUM($F1149:$J1149))</f>
        <v/>
      </c>
      <c r="L1149" s="18" t="str">
        <f aca="false">IF(COUNT($F1149:$J1149)=0,"",MAX($F1149:$J1149))</f>
        <v/>
      </c>
      <c r="M1149" s="18" t="str">
        <f aca="false">IFERROR(IF(OR($C1149="",COUNT($F1149:$J1149)&lt;3),"",IF(N(INDEX(Lists!$C$2:$C$40,MATCH($C1149,Lists!$A$2:$A$40,0)))=0,"",IF(MIN($F1149:$J1149)&gt;=INDEX(Lists!$C$2:$C$40,MATCH($C1149,Lists!$A$2:$A$40,0)),"LEVEL UP",""))),"")</f>
        <v/>
      </c>
      <c r="N1149" s="20"/>
      <c r="O1149" s="19"/>
    </row>
    <row r="1150" customFormat="false" ht="15" hidden="false" customHeight="false" outlineLevel="0" collapsed="false">
      <c r="A1150" s="17"/>
      <c r="B1150" s="18" t="str">
        <f aca="false">IF($A1150="","",TEXT($A1150,"ddd"))</f>
        <v/>
      </c>
      <c r="C1150" s="19"/>
      <c r="D1150" s="19"/>
      <c r="E1150" s="18" t="str">
        <f aca="false">IF($C1150="","",IFERROR(INDEX(Lists!$B$2:$B$40,MATCH($C1150,Lists!$A$2:$A$40,0)),""))</f>
        <v/>
      </c>
      <c r="F1150" s="20"/>
      <c r="G1150" s="20"/>
      <c r="H1150" s="20"/>
      <c r="I1150" s="20"/>
      <c r="J1150" s="20"/>
      <c r="K1150" s="18" t="str">
        <f aca="false">IF(COUNT($F1150:$J1150)=0,"",SUM($F1150:$J1150))</f>
        <v/>
      </c>
      <c r="L1150" s="18" t="str">
        <f aca="false">IF(COUNT($F1150:$J1150)=0,"",MAX($F1150:$J1150))</f>
        <v/>
      </c>
      <c r="M1150" s="18" t="str">
        <f aca="false">IFERROR(IF(OR($C1150="",COUNT($F1150:$J1150)&lt;3),"",IF(N(INDEX(Lists!$C$2:$C$40,MATCH($C1150,Lists!$A$2:$A$40,0)))=0,"",IF(MIN($F1150:$J1150)&gt;=INDEX(Lists!$C$2:$C$40,MATCH($C1150,Lists!$A$2:$A$40,0)),"LEVEL UP",""))),"")</f>
        <v/>
      </c>
      <c r="N1150" s="20"/>
      <c r="O1150" s="19"/>
    </row>
    <row r="1151" customFormat="false" ht="15" hidden="false" customHeight="false" outlineLevel="0" collapsed="false">
      <c r="A1151" s="17"/>
      <c r="B1151" s="18" t="str">
        <f aca="false">IF($A1151="","",TEXT($A1151,"ddd"))</f>
        <v/>
      </c>
      <c r="C1151" s="19"/>
      <c r="D1151" s="19"/>
      <c r="E1151" s="18" t="str">
        <f aca="false">IF($C1151="","",IFERROR(INDEX(Lists!$B$2:$B$40,MATCH($C1151,Lists!$A$2:$A$40,0)),""))</f>
        <v/>
      </c>
      <c r="F1151" s="20"/>
      <c r="G1151" s="20"/>
      <c r="H1151" s="20"/>
      <c r="I1151" s="20"/>
      <c r="J1151" s="20"/>
      <c r="K1151" s="18" t="str">
        <f aca="false">IF(COUNT($F1151:$J1151)=0,"",SUM($F1151:$J1151))</f>
        <v/>
      </c>
      <c r="L1151" s="18" t="str">
        <f aca="false">IF(COUNT($F1151:$J1151)=0,"",MAX($F1151:$J1151))</f>
        <v/>
      </c>
      <c r="M1151" s="18" t="str">
        <f aca="false">IFERROR(IF(OR($C1151="",COUNT($F1151:$J1151)&lt;3),"",IF(N(INDEX(Lists!$C$2:$C$40,MATCH($C1151,Lists!$A$2:$A$40,0)))=0,"",IF(MIN($F1151:$J1151)&gt;=INDEX(Lists!$C$2:$C$40,MATCH($C1151,Lists!$A$2:$A$40,0)),"LEVEL UP",""))),"")</f>
        <v/>
      </c>
      <c r="N1151" s="20"/>
      <c r="O1151" s="19"/>
    </row>
    <row r="1152" customFormat="false" ht="15" hidden="false" customHeight="false" outlineLevel="0" collapsed="false">
      <c r="A1152" s="17"/>
      <c r="B1152" s="18" t="str">
        <f aca="false">IF($A1152="","",TEXT($A1152,"ddd"))</f>
        <v/>
      </c>
      <c r="C1152" s="19"/>
      <c r="D1152" s="19"/>
      <c r="E1152" s="18" t="str">
        <f aca="false">IF($C1152="","",IFERROR(INDEX(Lists!$B$2:$B$40,MATCH($C1152,Lists!$A$2:$A$40,0)),""))</f>
        <v/>
      </c>
      <c r="F1152" s="20"/>
      <c r="G1152" s="20"/>
      <c r="H1152" s="20"/>
      <c r="I1152" s="20"/>
      <c r="J1152" s="20"/>
      <c r="K1152" s="18" t="str">
        <f aca="false">IF(COUNT($F1152:$J1152)=0,"",SUM($F1152:$J1152))</f>
        <v/>
      </c>
      <c r="L1152" s="18" t="str">
        <f aca="false">IF(COUNT($F1152:$J1152)=0,"",MAX($F1152:$J1152))</f>
        <v/>
      </c>
      <c r="M1152" s="18" t="str">
        <f aca="false">IFERROR(IF(OR($C1152="",COUNT($F1152:$J1152)&lt;3),"",IF(N(INDEX(Lists!$C$2:$C$40,MATCH($C1152,Lists!$A$2:$A$40,0)))=0,"",IF(MIN($F1152:$J1152)&gt;=INDEX(Lists!$C$2:$C$40,MATCH($C1152,Lists!$A$2:$A$40,0)),"LEVEL UP",""))),"")</f>
        <v/>
      </c>
      <c r="N1152" s="20"/>
      <c r="O1152" s="19"/>
    </row>
    <row r="1153" customFormat="false" ht="15" hidden="false" customHeight="false" outlineLevel="0" collapsed="false">
      <c r="A1153" s="17"/>
      <c r="B1153" s="18" t="str">
        <f aca="false">IF($A1153="","",TEXT($A1153,"ddd"))</f>
        <v/>
      </c>
      <c r="C1153" s="19"/>
      <c r="D1153" s="19"/>
      <c r="E1153" s="18" t="str">
        <f aca="false">IF($C1153="","",IFERROR(INDEX(Lists!$B$2:$B$40,MATCH($C1153,Lists!$A$2:$A$40,0)),""))</f>
        <v/>
      </c>
      <c r="F1153" s="20"/>
      <c r="G1153" s="20"/>
      <c r="H1153" s="20"/>
      <c r="I1153" s="20"/>
      <c r="J1153" s="20"/>
      <c r="K1153" s="18" t="str">
        <f aca="false">IF(COUNT($F1153:$J1153)=0,"",SUM($F1153:$J1153))</f>
        <v/>
      </c>
      <c r="L1153" s="18" t="str">
        <f aca="false">IF(COUNT($F1153:$J1153)=0,"",MAX($F1153:$J1153))</f>
        <v/>
      </c>
      <c r="M1153" s="18" t="str">
        <f aca="false">IFERROR(IF(OR($C1153="",COUNT($F1153:$J1153)&lt;3),"",IF(N(INDEX(Lists!$C$2:$C$40,MATCH($C1153,Lists!$A$2:$A$40,0)))=0,"",IF(MIN($F1153:$J1153)&gt;=INDEX(Lists!$C$2:$C$40,MATCH($C1153,Lists!$A$2:$A$40,0)),"LEVEL UP",""))),"")</f>
        <v/>
      </c>
      <c r="N1153" s="20"/>
      <c r="O1153" s="19"/>
    </row>
    <row r="1154" customFormat="false" ht="15" hidden="false" customHeight="false" outlineLevel="0" collapsed="false">
      <c r="A1154" s="17"/>
      <c r="B1154" s="18" t="str">
        <f aca="false">IF($A1154="","",TEXT($A1154,"ddd"))</f>
        <v/>
      </c>
      <c r="C1154" s="19"/>
      <c r="D1154" s="19"/>
      <c r="E1154" s="18" t="str">
        <f aca="false">IF($C1154="","",IFERROR(INDEX(Lists!$B$2:$B$40,MATCH($C1154,Lists!$A$2:$A$40,0)),""))</f>
        <v/>
      </c>
      <c r="F1154" s="20"/>
      <c r="G1154" s="20"/>
      <c r="H1154" s="20"/>
      <c r="I1154" s="20"/>
      <c r="J1154" s="20"/>
      <c r="K1154" s="18" t="str">
        <f aca="false">IF(COUNT($F1154:$J1154)=0,"",SUM($F1154:$J1154))</f>
        <v/>
      </c>
      <c r="L1154" s="18" t="str">
        <f aca="false">IF(COUNT($F1154:$J1154)=0,"",MAX($F1154:$J1154))</f>
        <v/>
      </c>
      <c r="M1154" s="18" t="str">
        <f aca="false">IFERROR(IF(OR($C1154="",COUNT($F1154:$J1154)&lt;3),"",IF(N(INDEX(Lists!$C$2:$C$40,MATCH($C1154,Lists!$A$2:$A$40,0)))=0,"",IF(MIN($F1154:$J1154)&gt;=INDEX(Lists!$C$2:$C$40,MATCH($C1154,Lists!$A$2:$A$40,0)),"LEVEL UP",""))),"")</f>
        <v/>
      </c>
      <c r="N1154" s="20"/>
      <c r="O1154" s="19"/>
    </row>
    <row r="1155" customFormat="false" ht="15" hidden="false" customHeight="false" outlineLevel="0" collapsed="false">
      <c r="A1155" s="17"/>
      <c r="B1155" s="18" t="str">
        <f aca="false">IF($A1155="","",TEXT($A1155,"ddd"))</f>
        <v/>
      </c>
      <c r="C1155" s="19"/>
      <c r="D1155" s="19"/>
      <c r="E1155" s="18" t="str">
        <f aca="false">IF($C1155="","",IFERROR(INDEX(Lists!$B$2:$B$40,MATCH($C1155,Lists!$A$2:$A$40,0)),""))</f>
        <v/>
      </c>
      <c r="F1155" s="20"/>
      <c r="G1155" s="20"/>
      <c r="H1155" s="20"/>
      <c r="I1155" s="20"/>
      <c r="J1155" s="20"/>
      <c r="K1155" s="18" t="str">
        <f aca="false">IF(COUNT($F1155:$J1155)=0,"",SUM($F1155:$J1155))</f>
        <v/>
      </c>
      <c r="L1155" s="18" t="str">
        <f aca="false">IF(COUNT($F1155:$J1155)=0,"",MAX($F1155:$J1155))</f>
        <v/>
      </c>
      <c r="M1155" s="18" t="str">
        <f aca="false">IFERROR(IF(OR($C1155="",COUNT($F1155:$J1155)&lt;3),"",IF(N(INDEX(Lists!$C$2:$C$40,MATCH($C1155,Lists!$A$2:$A$40,0)))=0,"",IF(MIN($F1155:$J1155)&gt;=INDEX(Lists!$C$2:$C$40,MATCH($C1155,Lists!$A$2:$A$40,0)),"LEVEL UP",""))),"")</f>
        <v/>
      </c>
      <c r="N1155" s="20"/>
      <c r="O1155" s="19"/>
    </row>
    <row r="1156" customFormat="false" ht="15" hidden="false" customHeight="false" outlineLevel="0" collapsed="false">
      <c r="A1156" s="17"/>
      <c r="B1156" s="18" t="str">
        <f aca="false">IF($A1156="","",TEXT($A1156,"ddd"))</f>
        <v/>
      </c>
      <c r="C1156" s="19"/>
      <c r="D1156" s="19"/>
      <c r="E1156" s="18" t="str">
        <f aca="false">IF($C1156="","",IFERROR(INDEX(Lists!$B$2:$B$40,MATCH($C1156,Lists!$A$2:$A$40,0)),""))</f>
        <v/>
      </c>
      <c r="F1156" s="20"/>
      <c r="G1156" s="20"/>
      <c r="H1156" s="20"/>
      <c r="I1156" s="20"/>
      <c r="J1156" s="20"/>
      <c r="K1156" s="18" t="str">
        <f aca="false">IF(COUNT($F1156:$J1156)=0,"",SUM($F1156:$J1156))</f>
        <v/>
      </c>
      <c r="L1156" s="18" t="str">
        <f aca="false">IF(COUNT($F1156:$J1156)=0,"",MAX($F1156:$J1156))</f>
        <v/>
      </c>
      <c r="M1156" s="18" t="str">
        <f aca="false">IFERROR(IF(OR($C1156="",COUNT($F1156:$J1156)&lt;3),"",IF(N(INDEX(Lists!$C$2:$C$40,MATCH($C1156,Lists!$A$2:$A$40,0)))=0,"",IF(MIN($F1156:$J1156)&gt;=INDEX(Lists!$C$2:$C$40,MATCH($C1156,Lists!$A$2:$A$40,0)),"LEVEL UP",""))),"")</f>
        <v/>
      </c>
      <c r="N1156" s="20"/>
      <c r="O1156" s="19"/>
    </row>
    <row r="1157" customFormat="false" ht="15" hidden="false" customHeight="false" outlineLevel="0" collapsed="false">
      <c r="A1157" s="17"/>
      <c r="B1157" s="18" t="str">
        <f aca="false">IF($A1157="","",TEXT($A1157,"ddd"))</f>
        <v/>
      </c>
      <c r="C1157" s="19"/>
      <c r="D1157" s="19"/>
      <c r="E1157" s="18" t="str">
        <f aca="false">IF($C1157="","",IFERROR(INDEX(Lists!$B$2:$B$40,MATCH($C1157,Lists!$A$2:$A$40,0)),""))</f>
        <v/>
      </c>
      <c r="F1157" s="20"/>
      <c r="G1157" s="20"/>
      <c r="H1157" s="20"/>
      <c r="I1157" s="20"/>
      <c r="J1157" s="20"/>
      <c r="K1157" s="18" t="str">
        <f aca="false">IF(COUNT($F1157:$J1157)=0,"",SUM($F1157:$J1157))</f>
        <v/>
      </c>
      <c r="L1157" s="18" t="str">
        <f aca="false">IF(COUNT($F1157:$J1157)=0,"",MAX($F1157:$J1157))</f>
        <v/>
      </c>
      <c r="M1157" s="18" t="str">
        <f aca="false">IFERROR(IF(OR($C1157="",COUNT($F1157:$J1157)&lt;3),"",IF(N(INDEX(Lists!$C$2:$C$40,MATCH($C1157,Lists!$A$2:$A$40,0)))=0,"",IF(MIN($F1157:$J1157)&gt;=INDEX(Lists!$C$2:$C$40,MATCH($C1157,Lists!$A$2:$A$40,0)),"LEVEL UP",""))),"")</f>
        <v/>
      </c>
      <c r="N1157" s="20"/>
      <c r="O1157" s="19"/>
    </row>
    <row r="1158" customFormat="false" ht="15" hidden="false" customHeight="false" outlineLevel="0" collapsed="false">
      <c r="A1158" s="17"/>
      <c r="B1158" s="18" t="str">
        <f aca="false">IF($A1158="","",TEXT($A1158,"ddd"))</f>
        <v/>
      </c>
      <c r="C1158" s="19"/>
      <c r="D1158" s="19"/>
      <c r="E1158" s="18" t="str">
        <f aca="false">IF($C1158="","",IFERROR(INDEX(Lists!$B$2:$B$40,MATCH($C1158,Lists!$A$2:$A$40,0)),""))</f>
        <v/>
      </c>
      <c r="F1158" s="20"/>
      <c r="G1158" s="20"/>
      <c r="H1158" s="20"/>
      <c r="I1158" s="20"/>
      <c r="J1158" s="20"/>
      <c r="K1158" s="18" t="str">
        <f aca="false">IF(COUNT($F1158:$J1158)=0,"",SUM($F1158:$J1158))</f>
        <v/>
      </c>
      <c r="L1158" s="18" t="str">
        <f aca="false">IF(COUNT($F1158:$J1158)=0,"",MAX($F1158:$J1158))</f>
        <v/>
      </c>
      <c r="M1158" s="18" t="str">
        <f aca="false">IFERROR(IF(OR($C1158="",COUNT($F1158:$J1158)&lt;3),"",IF(N(INDEX(Lists!$C$2:$C$40,MATCH($C1158,Lists!$A$2:$A$40,0)))=0,"",IF(MIN($F1158:$J1158)&gt;=INDEX(Lists!$C$2:$C$40,MATCH($C1158,Lists!$A$2:$A$40,0)),"LEVEL UP",""))),"")</f>
        <v/>
      </c>
      <c r="N1158" s="20"/>
      <c r="O1158" s="19"/>
    </row>
    <row r="1159" customFormat="false" ht="15" hidden="false" customHeight="false" outlineLevel="0" collapsed="false">
      <c r="A1159" s="17"/>
      <c r="B1159" s="18" t="str">
        <f aca="false">IF($A1159="","",TEXT($A1159,"ddd"))</f>
        <v/>
      </c>
      <c r="C1159" s="19"/>
      <c r="D1159" s="19"/>
      <c r="E1159" s="18" t="str">
        <f aca="false">IF($C1159="","",IFERROR(INDEX(Lists!$B$2:$B$40,MATCH($C1159,Lists!$A$2:$A$40,0)),""))</f>
        <v/>
      </c>
      <c r="F1159" s="20"/>
      <c r="G1159" s="20"/>
      <c r="H1159" s="20"/>
      <c r="I1159" s="20"/>
      <c r="J1159" s="20"/>
      <c r="K1159" s="18" t="str">
        <f aca="false">IF(COUNT($F1159:$J1159)=0,"",SUM($F1159:$J1159))</f>
        <v/>
      </c>
      <c r="L1159" s="18" t="str">
        <f aca="false">IF(COUNT($F1159:$J1159)=0,"",MAX($F1159:$J1159))</f>
        <v/>
      </c>
      <c r="M1159" s="18" t="str">
        <f aca="false">IFERROR(IF(OR($C1159="",COUNT($F1159:$J1159)&lt;3),"",IF(N(INDEX(Lists!$C$2:$C$40,MATCH($C1159,Lists!$A$2:$A$40,0)))=0,"",IF(MIN($F1159:$J1159)&gt;=INDEX(Lists!$C$2:$C$40,MATCH($C1159,Lists!$A$2:$A$40,0)),"LEVEL UP",""))),"")</f>
        <v/>
      </c>
      <c r="N1159" s="20"/>
      <c r="O1159" s="19"/>
    </row>
    <row r="1160" customFormat="false" ht="15" hidden="false" customHeight="false" outlineLevel="0" collapsed="false">
      <c r="A1160" s="17"/>
      <c r="B1160" s="18" t="str">
        <f aca="false">IF($A1160="","",TEXT($A1160,"ddd"))</f>
        <v/>
      </c>
      <c r="C1160" s="19"/>
      <c r="D1160" s="19"/>
      <c r="E1160" s="18" t="str">
        <f aca="false">IF($C1160="","",IFERROR(INDEX(Lists!$B$2:$B$40,MATCH($C1160,Lists!$A$2:$A$40,0)),""))</f>
        <v/>
      </c>
      <c r="F1160" s="20"/>
      <c r="G1160" s="20"/>
      <c r="H1160" s="20"/>
      <c r="I1160" s="20"/>
      <c r="J1160" s="20"/>
      <c r="K1160" s="18" t="str">
        <f aca="false">IF(COUNT($F1160:$J1160)=0,"",SUM($F1160:$J1160))</f>
        <v/>
      </c>
      <c r="L1160" s="18" t="str">
        <f aca="false">IF(COUNT($F1160:$J1160)=0,"",MAX($F1160:$J1160))</f>
        <v/>
      </c>
      <c r="M1160" s="18" t="str">
        <f aca="false">IFERROR(IF(OR($C1160="",COUNT($F1160:$J1160)&lt;3),"",IF(N(INDEX(Lists!$C$2:$C$40,MATCH($C1160,Lists!$A$2:$A$40,0)))=0,"",IF(MIN($F1160:$J1160)&gt;=INDEX(Lists!$C$2:$C$40,MATCH($C1160,Lists!$A$2:$A$40,0)),"LEVEL UP",""))),"")</f>
        <v/>
      </c>
      <c r="N1160" s="20"/>
      <c r="O1160" s="19"/>
    </row>
    <row r="1161" customFormat="false" ht="15" hidden="false" customHeight="false" outlineLevel="0" collapsed="false">
      <c r="A1161" s="17"/>
      <c r="B1161" s="18" t="str">
        <f aca="false">IF($A1161="","",TEXT($A1161,"ddd"))</f>
        <v/>
      </c>
      <c r="C1161" s="19"/>
      <c r="D1161" s="19"/>
      <c r="E1161" s="18" t="str">
        <f aca="false">IF($C1161="","",IFERROR(INDEX(Lists!$B$2:$B$40,MATCH($C1161,Lists!$A$2:$A$40,0)),""))</f>
        <v/>
      </c>
      <c r="F1161" s="20"/>
      <c r="G1161" s="20"/>
      <c r="H1161" s="20"/>
      <c r="I1161" s="20"/>
      <c r="J1161" s="20"/>
      <c r="K1161" s="18" t="str">
        <f aca="false">IF(COUNT($F1161:$J1161)=0,"",SUM($F1161:$J1161))</f>
        <v/>
      </c>
      <c r="L1161" s="18" t="str">
        <f aca="false">IF(COUNT($F1161:$J1161)=0,"",MAX($F1161:$J1161))</f>
        <v/>
      </c>
      <c r="M1161" s="18" t="str">
        <f aca="false">IFERROR(IF(OR($C1161="",COUNT($F1161:$J1161)&lt;3),"",IF(N(INDEX(Lists!$C$2:$C$40,MATCH($C1161,Lists!$A$2:$A$40,0)))=0,"",IF(MIN($F1161:$J1161)&gt;=INDEX(Lists!$C$2:$C$40,MATCH($C1161,Lists!$A$2:$A$40,0)),"LEVEL UP",""))),"")</f>
        <v/>
      </c>
      <c r="N1161" s="20"/>
      <c r="O1161" s="19"/>
    </row>
    <row r="1162" customFormat="false" ht="15" hidden="false" customHeight="false" outlineLevel="0" collapsed="false">
      <c r="A1162" s="17"/>
      <c r="B1162" s="18" t="str">
        <f aca="false">IF($A1162="","",TEXT($A1162,"ddd"))</f>
        <v/>
      </c>
      <c r="C1162" s="19"/>
      <c r="D1162" s="19"/>
      <c r="E1162" s="18" t="str">
        <f aca="false">IF($C1162="","",IFERROR(INDEX(Lists!$B$2:$B$40,MATCH($C1162,Lists!$A$2:$A$40,0)),""))</f>
        <v/>
      </c>
      <c r="F1162" s="20"/>
      <c r="G1162" s="20"/>
      <c r="H1162" s="20"/>
      <c r="I1162" s="20"/>
      <c r="J1162" s="20"/>
      <c r="K1162" s="18" t="str">
        <f aca="false">IF(COUNT($F1162:$J1162)=0,"",SUM($F1162:$J1162))</f>
        <v/>
      </c>
      <c r="L1162" s="18" t="str">
        <f aca="false">IF(COUNT($F1162:$J1162)=0,"",MAX($F1162:$J1162))</f>
        <v/>
      </c>
      <c r="M1162" s="18" t="str">
        <f aca="false">IFERROR(IF(OR($C1162="",COUNT($F1162:$J1162)&lt;3),"",IF(N(INDEX(Lists!$C$2:$C$40,MATCH($C1162,Lists!$A$2:$A$40,0)))=0,"",IF(MIN($F1162:$J1162)&gt;=INDEX(Lists!$C$2:$C$40,MATCH($C1162,Lists!$A$2:$A$40,0)),"LEVEL UP",""))),"")</f>
        <v/>
      </c>
      <c r="N1162" s="20"/>
      <c r="O1162" s="19"/>
    </row>
    <row r="1163" customFormat="false" ht="15" hidden="false" customHeight="false" outlineLevel="0" collapsed="false">
      <c r="A1163" s="17"/>
      <c r="B1163" s="18" t="str">
        <f aca="false">IF($A1163="","",TEXT($A1163,"ddd"))</f>
        <v/>
      </c>
      <c r="C1163" s="19"/>
      <c r="D1163" s="19"/>
      <c r="E1163" s="18" t="str">
        <f aca="false">IF($C1163="","",IFERROR(INDEX(Lists!$B$2:$B$40,MATCH($C1163,Lists!$A$2:$A$40,0)),""))</f>
        <v/>
      </c>
      <c r="F1163" s="20"/>
      <c r="G1163" s="20"/>
      <c r="H1163" s="20"/>
      <c r="I1163" s="20"/>
      <c r="J1163" s="20"/>
      <c r="K1163" s="18" t="str">
        <f aca="false">IF(COUNT($F1163:$J1163)=0,"",SUM($F1163:$J1163))</f>
        <v/>
      </c>
      <c r="L1163" s="18" t="str">
        <f aca="false">IF(COUNT($F1163:$J1163)=0,"",MAX($F1163:$J1163))</f>
        <v/>
      </c>
      <c r="M1163" s="18" t="str">
        <f aca="false">IFERROR(IF(OR($C1163="",COUNT($F1163:$J1163)&lt;3),"",IF(N(INDEX(Lists!$C$2:$C$40,MATCH($C1163,Lists!$A$2:$A$40,0)))=0,"",IF(MIN($F1163:$J1163)&gt;=INDEX(Lists!$C$2:$C$40,MATCH($C1163,Lists!$A$2:$A$40,0)),"LEVEL UP",""))),"")</f>
        <v/>
      </c>
      <c r="N1163" s="20"/>
      <c r="O1163" s="19"/>
    </row>
    <row r="1164" customFormat="false" ht="15" hidden="false" customHeight="false" outlineLevel="0" collapsed="false">
      <c r="A1164" s="17"/>
      <c r="B1164" s="18" t="str">
        <f aca="false">IF($A1164="","",TEXT($A1164,"ddd"))</f>
        <v/>
      </c>
      <c r="C1164" s="19"/>
      <c r="D1164" s="19"/>
      <c r="E1164" s="18" t="str">
        <f aca="false">IF($C1164="","",IFERROR(INDEX(Lists!$B$2:$B$40,MATCH($C1164,Lists!$A$2:$A$40,0)),""))</f>
        <v/>
      </c>
      <c r="F1164" s="20"/>
      <c r="G1164" s="20"/>
      <c r="H1164" s="20"/>
      <c r="I1164" s="20"/>
      <c r="J1164" s="20"/>
      <c r="K1164" s="18" t="str">
        <f aca="false">IF(COUNT($F1164:$J1164)=0,"",SUM($F1164:$J1164))</f>
        <v/>
      </c>
      <c r="L1164" s="18" t="str">
        <f aca="false">IF(COUNT($F1164:$J1164)=0,"",MAX($F1164:$J1164))</f>
        <v/>
      </c>
      <c r="M1164" s="18" t="str">
        <f aca="false">IFERROR(IF(OR($C1164="",COUNT($F1164:$J1164)&lt;3),"",IF(N(INDEX(Lists!$C$2:$C$40,MATCH($C1164,Lists!$A$2:$A$40,0)))=0,"",IF(MIN($F1164:$J1164)&gt;=INDEX(Lists!$C$2:$C$40,MATCH($C1164,Lists!$A$2:$A$40,0)),"LEVEL UP",""))),"")</f>
        <v/>
      </c>
      <c r="N1164" s="20"/>
      <c r="O1164" s="19"/>
    </row>
    <row r="1165" customFormat="false" ht="15" hidden="false" customHeight="false" outlineLevel="0" collapsed="false">
      <c r="A1165" s="17"/>
      <c r="B1165" s="18" t="str">
        <f aca="false">IF($A1165="","",TEXT($A1165,"ddd"))</f>
        <v/>
      </c>
      <c r="C1165" s="19"/>
      <c r="D1165" s="19"/>
      <c r="E1165" s="18" t="str">
        <f aca="false">IF($C1165="","",IFERROR(INDEX(Lists!$B$2:$B$40,MATCH($C1165,Lists!$A$2:$A$40,0)),""))</f>
        <v/>
      </c>
      <c r="F1165" s="20"/>
      <c r="G1165" s="20"/>
      <c r="H1165" s="20"/>
      <c r="I1165" s="20"/>
      <c r="J1165" s="20"/>
      <c r="K1165" s="18" t="str">
        <f aca="false">IF(COUNT($F1165:$J1165)=0,"",SUM($F1165:$J1165))</f>
        <v/>
      </c>
      <c r="L1165" s="18" t="str">
        <f aca="false">IF(COUNT($F1165:$J1165)=0,"",MAX($F1165:$J1165))</f>
        <v/>
      </c>
      <c r="M1165" s="18" t="str">
        <f aca="false">IFERROR(IF(OR($C1165="",COUNT($F1165:$J1165)&lt;3),"",IF(N(INDEX(Lists!$C$2:$C$40,MATCH($C1165,Lists!$A$2:$A$40,0)))=0,"",IF(MIN($F1165:$J1165)&gt;=INDEX(Lists!$C$2:$C$40,MATCH($C1165,Lists!$A$2:$A$40,0)),"LEVEL UP",""))),"")</f>
        <v/>
      </c>
      <c r="N1165" s="20"/>
      <c r="O1165" s="19"/>
    </row>
    <row r="1166" customFormat="false" ht="15" hidden="false" customHeight="false" outlineLevel="0" collapsed="false">
      <c r="A1166" s="17"/>
      <c r="B1166" s="18" t="str">
        <f aca="false">IF($A1166="","",TEXT($A1166,"ddd"))</f>
        <v/>
      </c>
      <c r="C1166" s="19"/>
      <c r="D1166" s="19"/>
      <c r="E1166" s="18" t="str">
        <f aca="false">IF($C1166="","",IFERROR(INDEX(Lists!$B$2:$B$40,MATCH($C1166,Lists!$A$2:$A$40,0)),""))</f>
        <v/>
      </c>
      <c r="F1166" s="20"/>
      <c r="G1166" s="20"/>
      <c r="H1166" s="20"/>
      <c r="I1166" s="20"/>
      <c r="J1166" s="20"/>
      <c r="K1166" s="18" t="str">
        <f aca="false">IF(COUNT($F1166:$J1166)=0,"",SUM($F1166:$J1166))</f>
        <v/>
      </c>
      <c r="L1166" s="18" t="str">
        <f aca="false">IF(COUNT($F1166:$J1166)=0,"",MAX($F1166:$J1166))</f>
        <v/>
      </c>
      <c r="M1166" s="18" t="str">
        <f aca="false">IFERROR(IF(OR($C1166="",COUNT($F1166:$J1166)&lt;3),"",IF(N(INDEX(Lists!$C$2:$C$40,MATCH($C1166,Lists!$A$2:$A$40,0)))=0,"",IF(MIN($F1166:$J1166)&gt;=INDEX(Lists!$C$2:$C$40,MATCH($C1166,Lists!$A$2:$A$40,0)),"LEVEL UP",""))),"")</f>
        <v/>
      </c>
      <c r="N1166" s="20"/>
      <c r="O1166" s="19"/>
    </row>
    <row r="1167" customFormat="false" ht="15" hidden="false" customHeight="false" outlineLevel="0" collapsed="false">
      <c r="A1167" s="17"/>
      <c r="B1167" s="18" t="str">
        <f aca="false">IF($A1167="","",TEXT($A1167,"ddd"))</f>
        <v/>
      </c>
      <c r="C1167" s="19"/>
      <c r="D1167" s="19"/>
      <c r="E1167" s="18" t="str">
        <f aca="false">IF($C1167="","",IFERROR(INDEX(Lists!$B$2:$B$40,MATCH($C1167,Lists!$A$2:$A$40,0)),""))</f>
        <v/>
      </c>
      <c r="F1167" s="20"/>
      <c r="G1167" s="20"/>
      <c r="H1167" s="20"/>
      <c r="I1167" s="20"/>
      <c r="J1167" s="20"/>
      <c r="K1167" s="18" t="str">
        <f aca="false">IF(COUNT($F1167:$J1167)=0,"",SUM($F1167:$J1167))</f>
        <v/>
      </c>
      <c r="L1167" s="18" t="str">
        <f aca="false">IF(COUNT($F1167:$J1167)=0,"",MAX($F1167:$J1167))</f>
        <v/>
      </c>
      <c r="M1167" s="18" t="str">
        <f aca="false">IFERROR(IF(OR($C1167="",COUNT($F1167:$J1167)&lt;3),"",IF(N(INDEX(Lists!$C$2:$C$40,MATCH($C1167,Lists!$A$2:$A$40,0)))=0,"",IF(MIN($F1167:$J1167)&gt;=INDEX(Lists!$C$2:$C$40,MATCH($C1167,Lists!$A$2:$A$40,0)),"LEVEL UP",""))),"")</f>
        <v/>
      </c>
      <c r="N1167" s="20"/>
      <c r="O1167" s="19"/>
    </row>
    <row r="1168" customFormat="false" ht="15" hidden="false" customHeight="false" outlineLevel="0" collapsed="false">
      <c r="A1168" s="17"/>
      <c r="B1168" s="18" t="str">
        <f aca="false">IF($A1168="","",TEXT($A1168,"ddd"))</f>
        <v/>
      </c>
      <c r="C1168" s="19"/>
      <c r="D1168" s="19"/>
      <c r="E1168" s="18" t="str">
        <f aca="false">IF($C1168="","",IFERROR(INDEX(Lists!$B$2:$B$40,MATCH($C1168,Lists!$A$2:$A$40,0)),""))</f>
        <v/>
      </c>
      <c r="F1168" s="20"/>
      <c r="G1168" s="20"/>
      <c r="H1168" s="20"/>
      <c r="I1168" s="20"/>
      <c r="J1168" s="20"/>
      <c r="K1168" s="18" t="str">
        <f aca="false">IF(COUNT($F1168:$J1168)=0,"",SUM($F1168:$J1168))</f>
        <v/>
      </c>
      <c r="L1168" s="18" t="str">
        <f aca="false">IF(COUNT($F1168:$J1168)=0,"",MAX($F1168:$J1168))</f>
        <v/>
      </c>
      <c r="M1168" s="18" t="str">
        <f aca="false">IFERROR(IF(OR($C1168="",COUNT($F1168:$J1168)&lt;3),"",IF(N(INDEX(Lists!$C$2:$C$40,MATCH($C1168,Lists!$A$2:$A$40,0)))=0,"",IF(MIN($F1168:$J1168)&gt;=INDEX(Lists!$C$2:$C$40,MATCH($C1168,Lists!$A$2:$A$40,0)),"LEVEL UP",""))),"")</f>
        <v/>
      </c>
      <c r="N1168" s="20"/>
      <c r="O1168" s="19"/>
    </row>
    <row r="1169" customFormat="false" ht="15" hidden="false" customHeight="false" outlineLevel="0" collapsed="false">
      <c r="A1169" s="17"/>
      <c r="B1169" s="18" t="str">
        <f aca="false">IF($A1169="","",TEXT($A1169,"ddd"))</f>
        <v/>
      </c>
      <c r="C1169" s="19"/>
      <c r="D1169" s="19"/>
      <c r="E1169" s="18" t="str">
        <f aca="false">IF($C1169="","",IFERROR(INDEX(Lists!$B$2:$B$40,MATCH($C1169,Lists!$A$2:$A$40,0)),""))</f>
        <v/>
      </c>
      <c r="F1169" s="20"/>
      <c r="G1169" s="20"/>
      <c r="H1169" s="20"/>
      <c r="I1169" s="20"/>
      <c r="J1169" s="20"/>
      <c r="K1169" s="18" t="str">
        <f aca="false">IF(COUNT($F1169:$J1169)=0,"",SUM($F1169:$J1169))</f>
        <v/>
      </c>
      <c r="L1169" s="18" t="str">
        <f aca="false">IF(COUNT($F1169:$J1169)=0,"",MAX($F1169:$J1169))</f>
        <v/>
      </c>
      <c r="M1169" s="18" t="str">
        <f aca="false">IFERROR(IF(OR($C1169="",COUNT($F1169:$J1169)&lt;3),"",IF(N(INDEX(Lists!$C$2:$C$40,MATCH($C1169,Lists!$A$2:$A$40,0)))=0,"",IF(MIN($F1169:$J1169)&gt;=INDEX(Lists!$C$2:$C$40,MATCH($C1169,Lists!$A$2:$A$40,0)),"LEVEL UP",""))),"")</f>
        <v/>
      </c>
      <c r="N1169" s="20"/>
      <c r="O1169" s="19"/>
    </row>
    <row r="1170" customFormat="false" ht="15" hidden="false" customHeight="false" outlineLevel="0" collapsed="false">
      <c r="A1170" s="17"/>
      <c r="B1170" s="18" t="str">
        <f aca="false">IF($A1170="","",TEXT($A1170,"ddd"))</f>
        <v/>
      </c>
      <c r="C1170" s="19"/>
      <c r="D1170" s="19"/>
      <c r="E1170" s="18" t="str">
        <f aca="false">IF($C1170="","",IFERROR(INDEX(Lists!$B$2:$B$40,MATCH($C1170,Lists!$A$2:$A$40,0)),""))</f>
        <v/>
      </c>
      <c r="F1170" s="20"/>
      <c r="G1170" s="20"/>
      <c r="H1170" s="20"/>
      <c r="I1170" s="20"/>
      <c r="J1170" s="20"/>
      <c r="K1170" s="18" t="str">
        <f aca="false">IF(COUNT($F1170:$J1170)=0,"",SUM($F1170:$J1170))</f>
        <v/>
      </c>
      <c r="L1170" s="18" t="str">
        <f aca="false">IF(COUNT($F1170:$J1170)=0,"",MAX($F1170:$J1170))</f>
        <v/>
      </c>
      <c r="M1170" s="18" t="str">
        <f aca="false">IFERROR(IF(OR($C1170="",COUNT($F1170:$J1170)&lt;3),"",IF(N(INDEX(Lists!$C$2:$C$40,MATCH($C1170,Lists!$A$2:$A$40,0)))=0,"",IF(MIN($F1170:$J1170)&gt;=INDEX(Lists!$C$2:$C$40,MATCH($C1170,Lists!$A$2:$A$40,0)),"LEVEL UP",""))),"")</f>
        <v/>
      </c>
      <c r="N1170" s="20"/>
      <c r="O1170" s="19"/>
    </row>
    <row r="1171" customFormat="false" ht="15" hidden="false" customHeight="false" outlineLevel="0" collapsed="false">
      <c r="A1171" s="17"/>
      <c r="B1171" s="18" t="str">
        <f aca="false">IF($A1171="","",TEXT($A1171,"ddd"))</f>
        <v/>
      </c>
      <c r="C1171" s="19"/>
      <c r="D1171" s="19"/>
      <c r="E1171" s="18" t="str">
        <f aca="false">IF($C1171="","",IFERROR(INDEX(Lists!$B$2:$B$40,MATCH($C1171,Lists!$A$2:$A$40,0)),""))</f>
        <v/>
      </c>
      <c r="F1171" s="20"/>
      <c r="G1171" s="20"/>
      <c r="H1171" s="20"/>
      <c r="I1171" s="20"/>
      <c r="J1171" s="20"/>
      <c r="K1171" s="18" t="str">
        <f aca="false">IF(COUNT($F1171:$J1171)=0,"",SUM($F1171:$J1171))</f>
        <v/>
      </c>
      <c r="L1171" s="18" t="str">
        <f aca="false">IF(COUNT($F1171:$J1171)=0,"",MAX($F1171:$J1171))</f>
        <v/>
      </c>
      <c r="M1171" s="18" t="str">
        <f aca="false">IFERROR(IF(OR($C1171="",COUNT($F1171:$J1171)&lt;3),"",IF(N(INDEX(Lists!$C$2:$C$40,MATCH($C1171,Lists!$A$2:$A$40,0)))=0,"",IF(MIN($F1171:$J1171)&gt;=INDEX(Lists!$C$2:$C$40,MATCH($C1171,Lists!$A$2:$A$40,0)),"LEVEL UP",""))),"")</f>
        <v/>
      </c>
      <c r="N1171" s="20"/>
      <c r="O1171" s="19"/>
    </row>
    <row r="1172" customFormat="false" ht="15" hidden="false" customHeight="false" outlineLevel="0" collapsed="false">
      <c r="A1172" s="17"/>
      <c r="B1172" s="18" t="str">
        <f aca="false">IF($A1172="","",TEXT($A1172,"ddd"))</f>
        <v/>
      </c>
      <c r="C1172" s="19"/>
      <c r="D1172" s="19"/>
      <c r="E1172" s="18" t="str">
        <f aca="false">IF($C1172="","",IFERROR(INDEX(Lists!$B$2:$B$40,MATCH($C1172,Lists!$A$2:$A$40,0)),""))</f>
        <v/>
      </c>
      <c r="F1172" s="20"/>
      <c r="G1172" s="20"/>
      <c r="H1172" s="20"/>
      <c r="I1172" s="20"/>
      <c r="J1172" s="20"/>
      <c r="K1172" s="18" t="str">
        <f aca="false">IF(COUNT($F1172:$J1172)=0,"",SUM($F1172:$J1172))</f>
        <v/>
      </c>
      <c r="L1172" s="18" t="str">
        <f aca="false">IF(COUNT($F1172:$J1172)=0,"",MAX($F1172:$J1172))</f>
        <v/>
      </c>
      <c r="M1172" s="18" t="str">
        <f aca="false">IFERROR(IF(OR($C1172="",COUNT($F1172:$J1172)&lt;3),"",IF(N(INDEX(Lists!$C$2:$C$40,MATCH($C1172,Lists!$A$2:$A$40,0)))=0,"",IF(MIN($F1172:$J1172)&gt;=INDEX(Lists!$C$2:$C$40,MATCH($C1172,Lists!$A$2:$A$40,0)),"LEVEL UP",""))),"")</f>
        <v/>
      </c>
      <c r="N1172" s="20"/>
      <c r="O1172" s="19"/>
    </row>
    <row r="1173" customFormat="false" ht="15" hidden="false" customHeight="false" outlineLevel="0" collapsed="false">
      <c r="A1173" s="17"/>
      <c r="B1173" s="18" t="str">
        <f aca="false">IF($A1173="","",TEXT($A1173,"ddd"))</f>
        <v/>
      </c>
      <c r="C1173" s="19"/>
      <c r="D1173" s="19"/>
      <c r="E1173" s="18" t="str">
        <f aca="false">IF($C1173="","",IFERROR(INDEX(Lists!$B$2:$B$40,MATCH($C1173,Lists!$A$2:$A$40,0)),""))</f>
        <v/>
      </c>
      <c r="F1173" s="20"/>
      <c r="G1173" s="20"/>
      <c r="H1173" s="20"/>
      <c r="I1173" s="20"/>
      <c r="J1173" s="20"/>
      <c r="K1173" s="18" t="str">
        <f aca="false">IF(COUNT($F1173:$J1173)=0,"",SUM($F1173:$J1173))</f>
        <v/>
      </c>
      <c r="L1173" s="18" t="str">
        <f aca="false">IF(COUNT($F1173:$J1173)=0,"",MAX($F1173:$J1173))</f>
        <v/>
      </c>
      <c r="M1173" s="18" t="str">
        <f aca="false">IFERROR(IF(OR($C1173="",COUNT($F1173:$J1173)&lt;3),"",IF(N(INDEX(Lists!$C$2:$C$40,MATCH($C1173,Lists!$A$2:$A$40,0)))=0,"",IF(MIN($F1173:$J1173)&gt;=INDEX(Lists!$C$2:$C$40,MATCH($C1173,Lists!$A$2:$A$40,0)),"LEVEL UP",""))),"")</f>
        <v/>
      </c>
      <c r="N1173" s="20"/>
      <c r="O1173" s="19"/>
    </row>
    <row r="1174" customFormat="false" ht="15" hidden="false" customHeight="false" outlineLevel="0" collapsed="false">
      <c r="A1174" s="17"/>
      <c r="B1174" s="18" t="str">
        <f aca="false">IF($A1174="","",TEXT($A1174,"ddd"))</f>
        <v/>
      </c>
      <c r="C1174" s="19"/>
      <c r="D1174" s="19"/>
      <c r="E1174" s="18" t="str">
        <f aca="false">IF($C1174="","",IFERROR(INDEX(Lists!$B$2:$B$40,MATCH($C1174,Lists!$A$2:$A$40,0)),""))</f>
        <v/>
      </c>
      <c r="F1174" s="20"/>
      <c r="G1174" s="20"/>
      <c r="H1174" s="20"/>
      <c r="I1174" s="20"/>
      <c r="J1174" s="20"/>
      <c r="K1174" s="18" t="str">
        <f aca="false">IF(COUNT($F1174:$J1174)=0,"",SUM($F1174:$J1174))</f>
        <v/>
      </c>
      <c r="L1174" s="18" t="str">
        <f aca="false">IF(COUNT($F1174:$J1174)=0,"",MAX($F1174:$J1174))</f>
        <v/>
      </c>
      <c r="M1174" s="18" t="str">
        <f aca="false">IFERROR(IF(OR($C1174="",COUNT($F1174:$J1174)&lt;3),"",IF(N(INDEX(Lists!$C$2:$C$40,MATCH($C1174,Lists!$A$2:$A$40,0)))=0,"",IF(MIN($F1174:$J1174)&gt;=INDEX(Lists!$C$2:$C$40,MATCH($C1174,Lists!$A$2:$A$40,0)),"LEVEL UP",""))),"")</f>
        <v/>
      </c>
      <c r="N1174" s="20"/>
      <c r="O1174" s="19"/>
    </row>
    <row r="1175" customFormat="false" ht="15" hidden="false" customHeight="false" outlineLevel="0" collapsed="false">
      <c r="A1175" s="17"/>
      <c r="B1175" s="18" t="str">
        <f aca="false">IF($A1175="","",TEXT($A1175,"ddd"))</f>
        <v/>
      </c>
      <c r="C1175" s="19"/>
      <c r="D1175" s="19"/>
      <c r="E1175" s="18" t="str">
        <f aca="false">IF($C1175="","",IFERROR(INDEX(Lists!$B$2:$B$40,MATCH($C1175,Lists!$A$2:$A$40,0)),""))</f>
        <v/>
      </c>
      <c r="F1175" s="20"/>
      <c r="G1175" s="20"/>
      <c r="H1175" s="20"/>
      <c r="I1175" s="20"/>
      <c r="J1175" s="20"/>
      <c r="K1175" s="18" t="str">
        <f aca="false">IF(COUNT($F1175:$J1175)=0,"",SUM($F1175:$J1175))</f>
        <v/>
      </c>
      <c r="L1175" s="18" t="str">
        <f aca="false">IF(COUNT($F1175:$J1175)=0,"",MAX($F1175:$J1175))</f>
        <v/>
      </c>
      <c r="M1175" s="18" t="str">
        <f aca="false">IFERROR(IF(OR($C1175="",COUNT($F1175:$J1175)&lt;3),"",IF(N(INDEX(Lists!$C$2:$C$40,MATCH($C1175,Lists!$A$2:$A$40,0)))=0,"",IF(MIN($F1175:$J1175)&gt;=INDEX(Lists!$C$2:$C$40,MATCH($C1175,Lists!$A$2:$A$40,0)),"LEVEL UP",""))),"")</f>
        <v/>
      </c>
      <c r="N1175" s="20"/>
      <c r="O1175" s="19"/>
    </row>
    <row r="1176" customFormat="false" ht="15" hidden="false" customHeight="false" outlineLevel="0" collapsed="false">
      <c r="A1176" s="17"/>
      <c r="B1176" s="18" t="str">
        <f aca="false">IF($A1176="","",TEXT($A1176,"ddd"))</f>
        <v/>
      </c>
      <c r="C1176" s="19"/>
      <c r="D1176" s="19"/>
      <c r="E1176" s="18" t="str">
        <f aca="false">IF($C1176="","",IFERROR(INDEX(Lists!$B$2:$B$40,MATCH($C1176,Lists!$A$2:$A$40,0)),""))</f>
        <v/>
      </c>
      <c r="F1176" s="20"/>
      <c r="G1176" s="20"/>
      <c r="H1176" s="20"/>
      <c r="I1176" s="20"/>
      <c r="J1176" s="20"/>
      <c r="K1176" s="18" t="str">
        <f aca="false">IF(COUNT($F1176:$J1176)=0,"",SUM($F1176:$J1176))</f>
        <v/>
      </c>
      <c r="L1176" s="18" t="str">
        <f aca="false">IF(COUNT($F1176:$J1176)=0,"",MAX($F1176:$J1176))</f>
        <v/>
      </c>
      <c r="M1176" s="18" t="str">
        <f aca="false">IFERROR(IF(OR($C1176="",COUNT($F1176:$J1176)&lt;3),"",IF(N(INDEX(Lists!$C$2:$C$40,MATCH($C1176,Lists!$A$2:$A$40,0)))=0,"",IF(MIN($F1176:$J1176)&gt;=INDEX(Lists!$C$2:$C$40,MATCH($C1176,Lists!$A$2:$A$40,0)),"LEVEL UP",""))),"")</f>
        <v/>
      </c>
      <c r="N1176" s="20"/>
      <c r="O1176" s="19"/>
    </row>
    <row r="1177" customFormat="false" ht="15" hidden="false" customHeight="false" outlineLevel="0" collapsed="false">
      <c r="A1177" s="17"/>
      <c r="B1177" s="18" t="str">
        <f aca="false">IF($A1177="","",TEXT($A1177,"ddd"))</f>
        <v/>
      </c>
      <c r="C1177" s="19"/>
      <c r="D1177" s="19"/>
      <c r="E1177" s="18" t="str">
        <f aca="false">IF($C1177="","",IFERROR(INDEX(Lists!$B$2:$B$40,MATCH($C1177,Lists!$A$2:$A$40,0)),""))</f>
        <v/>
      </c>
      <c r="F1177" s="20"/>
      <c r="G1177" s="20"/>
      <c r="H1177" s="20"/>
      <c r="I1177" s="20"/>
      <c r="J1177" s="20"/>
      <c r="K1177" s="18" t="str">
        <f aca="false">IF(COUNT($F1177:$J1177)=0,"",SUM($F1177:$J1177))</f>
        <v/>
      </c>
      <c r="L1177" s="18" t="str">
        <f aca="false">IF(COUNT($F1177:$J1177)=0,"",MAX($F1177:$J1177))</f>
        <v/>
      </c>
      <c r="M1177" s="18" t="str">
        <f aca="false">IFERROR(IF(OR($C1177="",COUNT($F1177:$J1177)&lt;3),"",IF(N(INDEX(Lists!$C$2:$C$40,MATCH($C1177,Lists!$A$2:$A$40,0)))=0,"",IF(MIN($F1177:$J1177)&gt;=INDEX(Lists!$C$2:$C$40,MATCH($C1177,Lists!$A$2:$A$40,0)),"LEVEL UP",""))),"")</f>
        <v/>
      </c>
      <c r="N1177" s="20"/>
      <c r="O1177" s="19"/>
    </row>
    <row r="1178" customFormat="false" ht="15" hidden="false" customHeight="false" outlineLevel="0" collapsed="false">
      <c r="A1178" s="17"/>
      <c r="B1178" s="18" t="str">
        <f aca="false">IF($A1178="","",TEXT($A1178,"ddd"))</f>
        <v/>
      </c>
      <c r="C1178" s="19"/>
      <c r="D1178" s="19"/>
      <c r="E1178" s="18" t="str">
        <f aca="false">IF($C1178="","",IFERROR(INDEX(Lists!$B$2:$B$40,MATCH($C1178,Lists!$A$2:$A$40,0)),""))</f>
        <v/>
      </c>
      <c r="F1178" s="20"/>
      <c r="G1178" s="20"/>
      <c r="H1178" s="20"/>
      <c r="I1178" s="20"/>
      <c r="J1178" s="20"/>
      <c r="K1178" s="18" t="str">
        <f aca="false">IF(COUNT($F1178:$J1178)=0,"",SUM($F1178:$J1178))</f>
        <v/>
      </c>
      <c r="L1178" s="18" t="str">
        <f aca="false">IF(COUNT($F1178:$J1178)=0,"",MAX($F1178:$J1178))</f>
        <v/>
      </c>
      <c r="M1178" s="18" t="str">
        <f aca="false">IFERROR(IF(OR($C1178="",COUNT($F1178:$J1178)&lt;3),"",IF(N(INDEX(Lists!$C$2:$C$40,MATCH($C1178,Lists!$A$2:$A$40,0)))=0,"",IF(MIN($F1178:$J1178)&gt;=INDEX(Lists!$C$2:$C$40,MATCH($C1178,Lists!$A$2:$A$40,0)),"LEVEL UP",""))),"")</f>
        <v/>
      </c>
      <c r="N1178" s="20"/>
      <c r="O1178" s="19"/>
    </row>
    <row r="1179" customFormat="false" ht="15" hidden="false" customHeight="false" outlineLevel="0" collapsed="false">
      <c r="A1179" s="17"/>
      <c r="B1179" s="18" t="str">
        <f aca="false">IF($A1179="","",TEXT($A1179,"ddd"))</f>
        <v/>
      </c>
      <c r="C1179" s="19"/>
      <c r="D1179" s="19"/>
      <c r="E1179" s="18" t="str">
        <f aca="false">IF($C1179="","",IFERROR(INDEX(Lists!$B$2:$B$40,MATCH($C1179,Lists!$A$2:$A$40,0)),""))</f>
        <v/>
      </c>
      <c r="F1179" s="20"/>
      <c r="G1179" s="20"/>
      <c r="H1179" s="20"/>
      <c r="I1179" s="20"/>
      <c r="J1179" s="20"/>
      <c r="K1179" s="18" t="str">
        <f aca="false">IF(COUNT($F1179:$J1179)=0,"",SUM($F1179:$J1179))</f>
        <v/>
      </c>
      <c r="L1179" s="18" t="str">
        <f aca="false">IF(COUNT($F1179:$J1179)=0,"",MAX($F1179:$J1179))</f>
        <v/>
      </c>
      <c r="M1179" s="18" t="str">
        <f aca="false">IFERROR(IF(OR($C1179="",COUNT($F1179:$J1179)&lt;3),"",IF(N(INDEX(Lists!$C$2:$C$40,MATCH($C1179,Lists!$A$2:$A$40,0)))=0,"",IF(MIN($F1179:$J1179)&gt;=INDEX(Lists!$C$2:$C$40,MATCH($C1179,Lists!$A$2:$A$40,0)),"LEVEL UP",""))),"")</f>
        <v/>
      </c>
      <c r="N1179" s="20"/>
      <c r="O1179" s="19"/>
    </row>
    <row r="1180" customFormat="false" ht="15" hidden="false" customHeight="false" outlineLevel="0" collapsed="false">
      <c r="A1180" s="17"/>
      <c r="B1180" s="18" t="str">
        <f aca="false">IF($A1180="","",TEXT($A1180,"ddd"))</f>
        <v/>
      </c>
      <c r="C1180" s="19"/>
      <c r="D1180" s="19"/>
      <c r="E1180" s="18" t="str">
        <f aca="false">IF($C1180="","",IFERROR(INDEX(Lists!$B$2:$B$40,MATCH($C1180,Lists!$A$2:$A$40,0)),""))</f>
        <v/>
      </c>
      <c r="F1180" s="20"/>
      <c r="G1180" s="20"/>
      <c r="H1180" s="20"/>
      <c r="I1180" s="20"/>
      <c r="J1180" s="20"/>
      <c r="K1180" s="18" t="str">
        <f aca="false">IF(COUNT($F1180:$J1180)=0,"",SUM($F1180:$J1180))</f>
        <v/>
      </c>
      <c r="L1180" s="18" t="str">
        <f aca="false">IF(COUNT($F1180:$J1180)=0,"",MAX($F1180:$J1180))</f>
        <v/>
      </c>
      <c r="M1180" s="18" t="str">
        <f aca="false">IFERROR(IF(OR($C1180="",COUNT($F1180:$J1180)&lt;3),"",IF(N(INDEX(Lists!$C$2:$C$40,MATCH($C1180,Lists!$A$2:$A$40,0)))=0,"",IF(MIN($F1180:$J1180)&gt;=INDEX(Lists!$C$2:$C$40,MATCH($C1180,Lists!$A$2:$A$40,0)),"LEVEL UP",""))),"")</f>
        <v/>
      </c>
      <c r="N1180" s="20"/>
      <c r="O1180" s="19"/>
    </row>
    <row r="1181" customFormat="false" ht="15" hidden="false" customHeight="false" outlineLevel="0" collapsed="false">
      <c r="A1181" s="17"/>
      <c r="B1181" s="18" t="str">
        <f aca="false">IF($A1181="","",TEXT($A1181,"ddd"))</f>
        <v/>
      </c>
      <c r="C1181" s="19"/>
      <c r="D1181" s="19"/>
      <c r="E1181" s="18" t="str">
        <f aca="false">IF($C1181="","",IFERROR(INDEX(Lists!$B$2:$B$40,MATCH($C1181,Lists!$A$2:$A$40,0)),""))</f>
        <v/>
      </c>
      <c r="F1181" s="20"/>
      <c r="G1181" s="20"/>
      <c r="H1181" s="20"/>
      <c r="I1181" s="20"/>
      <c r="J1181" s="20"/>
      <c r="K1181" s="18" t="str">
        <f aca="false">IF(COUNT($F1181:$J1181)=0,"",SUM($F1181:$J1181))</f>
        <v/>
      </c>
      <c r="L1181" s="18" t="str">
        <f aca="false">IF(COUNT($F1181:$J1181)=0,"",MAX($F1181:$J1181))</f>
        <v/>
      </c>
      <c r="M1181" s="18" t="str">
        <f aca="false">IFERROR(IF(OR($C1181="",COUNT($F1181:$J1181)&lt;3),"",IF(N(INDEX(Lists!$C$2:$C$40,MATCH($C1181,Lists!$A$2:$A$40,0)))=0,"",IF(MIN($F1181:$J1181)&gt;=INDEX(Lists!$C$2:$C$40,MATCH($C1181,Lists!$A$2:$A$40,0)),"LEVEL UP",""))),"")</f>
        <v/>
      </c>
      <c r="N1181" s="20"/>
      <c r="O1181" s="19"/>
    </row>
    <row r="1182" customFormat="false" ht="15" hidden="false" customHeight="false" outlineLevel="0" collapsed="false">
      <c r="A1182" s="17"/>
      <c r="B1182" s="18" t="str">
        <f aca="false">IF($A1182="","",TEXT($A1182,"ddd"))</f>
        <v/>
      </c>
      <c r="C1182" s="19"/>
      <c r="D1182" s="19"/>
      <c r="E1182" s="18" t="str">
        <f aca="false">IF($C1182="","",IFERROR(INDEX(Lists!$B$2:$B$40,MATCH($C1182,Lists!$A$2:$A$40,0)),""))</f>
        <v/>
      </c>
      <c r="F1182" s="20"/>
      <c r="G1182" s="20"/>
      <c r="H1182" s="20"/>
      <c r="I1182" s="20"/>
      <c r="J1182" s="20"/>
      <c r="K1182" s="18" t="str">
        <f aca="false">IF(COUNT($F1182:$J1182)=0,"",SUM($F1182:$J1182))</f>
        <v/>
      </c>
      <c r="L1182" s="18" t="str">
        <f aca="false">IF(COUNT($F1182:$J1182)=0,"",MAX($F1182:$J1182))</f>
        <v/>
      </c>
      <c r="M1182" s="18" t="str">
        <f aca="false">IFERROR(IF(OR($C1182="",COUNT($F1182:$J1182)&lt;3),"",IF(N(INDEX(Lists!$C$2:$C$40,MATCH($C1182,Lists!$A$2:$A$40,0)))=0,"",IF(MIN($F1182:$J1182)&gt;=INDEX(Lists!$C$2:$C$40,MATCH($C1182,Lists!$A$2:$A$40,0)),"LEVEL UP",""))),"")</f>
        <v/>
      </c>
      <c r="N1182" s="20"/>
      <c r="O1182" s="19"/>
    </row>
    <row r="1183" customFormat="false" ht="15" hidden="false" customHeight="false" outlineLevel="0" collapsed="false">
      <c r="A1183" s="17"/>
      <c r="B1183" s="18" t="str">
        <f aca="false">IF($A1183="","",TEXT($A1183,"ddd"))</f>
        <v/>
      </c>
      <c r="C1183" s="19"/>
      <c r="D1183" s="19"/>
      <c r="E1183" s="18" t="str">
        <f aca="false">IF($C1183="","",IFERROR(INDEX(Lists!$B$2:$B$40,MATCH($C1183,Lists!$A$2:$A$40,0)),""))</f>
        <v/>
      </c>
      <c r="F1183" s="20"/>
      <c r="G1183" s="20"/>
      <c r="H1183" s="20"/>
      <c r="I1183" s="20"/>
      <c r="J1183" s="20"/>
      <c r="K1183" s="18" t="str">
        <f aca="false">IF(COUNT($F1183:$J1183)=0,"",SUM($F1183:$J1183))</f>
        <v/>
      </c>
      <c r="L1183" s="18" t="str">
        <f aca="false">IF(COUNT($F1183:$J1183)=0,"",MAX($F1183:$J1183))</f>
        <v/>
      </c>
      <c r="M1183" s="18" t="str">
        <f aca="false">IFERROR(IF(OR($C1183="",COUNT($F1183:$J1183)&lt;3),"",IF(N(INDEX(Lists!$C$2:$C$40,MATCH($C1183,Lists!$A$2:$A$40,0)))=0,"",IF(MIN($F1183:$J1183)&gt;=INDEX(Lists!$C$2:$C$40,MATCH($C1183,Lists!$A$2:$A$40,0)),"LEVEL UP",""))),"")</f>
        <v/>
      </c>
      <c r="N1183" s="20"/>
      <c r="O1183" s="19"/>
    </row>
    <row r="1184" customFormat="false" ht="15" hidden="false" customHeight="false" outlineLevel="0" collapsed="false">
      <c r="A1184" s="17"/>
      <c r="B1184" s="18" t="str">
        <f aca="false">IF($A1184="","",TEXT($A1184,"ddd"))</f>
        <v/>
      </c>
      <c r="C1184" s="19"/>
      <c r="D1184" s="19"/>
      <c r="E1184" s="18" t="str">
        <f aca="false">IF($C1184="","",IFERROR(INDEX(Lists!$B$2:$B$40,MATCH($C1184,Lists!$A$2:$A$40,0)),""))</f>
        <v/>
      </c>
      <c r="F1184" s="20"/>
      <c r="G1184" s="20"/>
      <c r="H1184" s="20"/>
      <c r="I1184" s="20"/>
      <c r="J1184" s="20"/>
      <c r="K1184" s="18" t="str">
        <f aca="false">IF(COUNT($F1184:$J1184)=0,"",SUM($F1184:$J1184))</f>
        <v/>
      </c>
      <c r="L1184" s="18" t="str">
        <f aca="false">IF(COUNT($F1184:$J1184)=0,"",MAX($F1184:$J1184))</f>
        <v/>
      </c>
      <c r="M1184" s="18" t="str">
        <f aca="false">IFERROR(IF(OR($C1184="",COUNT($F1184:$J1184)&lt;3),"",IF(N(INDEX(Lists!$C$2:$C$40,MATCH($C1184,Lists!$A$2:$A$40,0)))=0,"",IF(MIN($F1184:$J1184)&gt;=INDEX(Lists!$C$2:$C$40,MATCH($C1184,Lists!$A$2:$A$40,0)),"LEVEL UP",""))),"")</f>
        <v/>
      </c>
      <c r="N1184" s="20"/>
      <c r="O1184" s="19"/>
    </row>
    <row r="1185" customFormat="false" ht="15" hidden="false" customHeight="false" outlineLevel="0" collapsed="false">
      <c r="A1185" s="17"/>
      <c r="B1185" s="18" t="str">
        <f aca="false">IF($A1185="","",TEXT($A1185,"ddd"))</f>
        <v/>
      </c>
      <c r="C1185" s="19"/>
      <c r="D1185" s="19"/>
      <c r="E1185" s="18" t="str">
        <f aca="false">IF($C1185="","",IFERROR(INDEX(Lists!$B$2:$B$40,MATCH($C1185,Lists!$A$2:$A$40,0)),""))</f>
        <v/>
      </c>
      <c r="F1185" s="20"/>
      <c r="G1185" s="20"/>
      <c r="H1185" s="20"/>
      <c r="I1185" s="20"/>
      <c r="J1185" s="20"/>
      <c r="K1185" s="18" t="str">
        <f aca="false">IF(COUNT($F1185:$J1185)=0,"",SUM($F1185:$J1185))</f>
        <v/>
      </c>
      <c r="L1185" s="18" t="str">
        <f aca="false">IF(COUNT($F1185:$J1185)=0,"",MAX($F1185:$J1185))</f>
        <v/>
      </c>
      <c r="M1185" s="18" t="str">
        <f aca="false">IFERROR(IF(OR($C1185="",COUNT($F1185:$J1185)&lt;3),"",IF(N(INDEX(Lists!$C$2:$C$40,MATCH($C1185,Lists!$A$2:$A$40,0)))=0,"",IF(MIN($F1185:$J1185)&gt;=INDEX(Lists!$C$2:$C$40,MATCH($C1185,Lists!$A$2:$A$40,0)),"LEVEL UP",""))),"")</f>
        <v/>
      </c>
      <c r="N1185" s="20"/>
      <c r="O1185" s="19"/>
    </row>
    <row r="1186" customFormat="false" ht="15" hidden="false" customHeight="false" outlineLevel="0" collapsed="false">
      <c r="A1186" s="17"/>
      <c r="B1186" s="18" t="str">
        <f aca="false">IF($A1186="","",TEXT($A1186,"ddd"))</f>
        <v/>
      </c>
      <c r="C1186" s="19"/>
      <c r="D1186" s="19"/>
      <c r="E1186" s="18" t="str">
        <f aca="false">IF($C1186="","",IFERROR(INDEX(Lists!$B$2:$B$40,MATCH($C1186,Lists!$A$2:$A$40,0)),""))</f>
        <v/>
      </c>
      <c r="F1186" s="20"/>
      <c r="G1186" s="20"/>
      <c r="H1186" s="20"/>
      <c r="I1186" s="20"/>
      <c r="J1186" s="20"/>
      <c r="K1186" s="18" t="str">
        <f aca="false">IF(COUNT($F1186:$J1186)=0,"",SUM($F1186:$J1186))</f>
        <v/>
      </c>
      <c r="L1186" s="18" t="str">
        <f aca="false">IF(COUNT($F1186:$J1186)=0,"",MAX($F1186:$J1186))</f>
        <v/>
      </c>
      <c r="M1186" s="18" t="str">
        <f aca="false">IFERROR(IF(OR($C1186="",COUNT($F1186:$J1186)&lt;3),"",IF(N(INDEX(Lists!$C$2:$C$40,MATCH($C1186,Lists!$A$2:$A$40,0)))=0,"",IF(MIN($F1186:$J1186)&gt;=INDEX(Lists!$C$2:$C$40,MATCH($C1186,Lists!$A$2:$A$40,0)),"LEVEL UP",""))),"")</f>
        <v/>
      </c>
      <c r="N1186" s="20"/>
      <c r="O1186" s="19"/>
    </row>
    <row r="1187" customFormat="false" ht="15" hidden="false" customHeight="false" outlineLevel="0" collapsed="false">
      <c r="A1187" s="17"/>
      <c r="B1187" s="18" t="str">
        <f aca="false">IF($A1187="","",TEXT($A1187,"ddd"))</f>
        <v/>
      </c>
      <c r="C1187" s="19"/>
      <c r="D1187" s="19"/>
      <c r="E1187" s="18" t="str">
        <f aca="false">IF($C1187="","",IFERROR(INDEX(Lists!$B$2:$B$40,MATCH($C1187,Lists!$A$2:$A$40,0)),""))</f>
        <v/>
      </c>
      <c r="F1187" s="20"/>
      <c r="G1187" s="20"/>
      <c r="H1187" s="20"/>
      <c r="I1187" s="20"/>
      <c r="J1187" s="20"/>
      <c r="K1187" s="18" t="str">
        <f aca="false">IF(COUNT($F1187:$J1187)=0,"",SUM($F1187:$J1187))</f>
        <v/>
      </c>
      <c r="L1187" s="18" t="str">
        <f aca="false">IF(COUNT($F1187:$J1187)=0,"",MAX($F1187:$J1187))</f>
        <v/>
      </c>
      <c r="M1187" s="18" t="str">
        <f aca="false">IFERROR(IF(OR($C1187="",COUNT($F1187:$J1187)&lt;3),"",IF(N(INDEX(Lists!$C$2:$C$40,MATCH($C1187,Lists!$A$2:$A$40,0)))=0,"",IF(MIN($F1187:$J1187)&gt;=INDEX(Lists!$C$2:$C$40,MATCH($C1187,Lists!$A$2:$A$40,0)),"LEVEL UP",""))),"")</f>
        <v/>
      </c>
      <c r="N1187" s="20"/>
      <c r="O1187" s="19"/>
    </row>
    <row r="1188" customFormat="false" ht="15" hidden="false" customHeight="false" outlineLevel="0" collapsed="false">
      <c r="A1188" s="17"/>
      <c r="B1188" s="18" t="str">
        <f aca="false">IF($A1188="","",TEXT($A1188,"ddd"))</f>
        <v/>
      </c>
      <c r="C1188" s="19"/>
      <c r="D1188" s="19"/>
      <c r="E1188" s="18" t="str">
        <f aca="false">IF($C1188="","",IFERROR(INDEX(Lists!$B$2:$B$40,MATCH($C1188,Lists!$A$2:$A$40,0)),""))</f>
        <v/>
      </c>
      <c r="F1188" s="20"/>
      <c r="G1188" s="20"/>
      <c r="H1188" s="20"/>
      <c r="I1188" s="20"/>
      <c r="J1188" s="20"/>
      <c r="K1188" s="18" t="str">
        <f aca="false">IF(COUNT($F1188:$J1188)=0,"",SUM($F1188:$J1188))</f>
        <v/>
      </c>
      <c r="L1188" s="18" t="str">
        <f aca="false">IF(COUNT($F1188:$J1188)=0,"",MAX($F1188:$J1188))</f>
        <v/>
      </c>
      <c r="M1188" s="18" t="str">
        <f aca="false">IFERROR(IF(OR($C1188="",COUNT($F1188:$J1188)&lt;3),"",IF(N(INDEX(Lists!$C$2:$C$40,MATCH($C1188,Lists!$A$2:$A$40,0)))=0,"",IF(MIN($F1188:$J1188)&gt;=INDEX(Lists!$C$2:$C$40,MATCH($C1188,Lists!$A$2:$A$40,0)),"LEVEL UP",""))),"")</f>
        <v/>
      </c>
      <c r="N1188" s="20"/>
      <c r="O1188" s="19"/>
    </row>
    <row r="1189" customFormat="false" ht="15" hidden="false" customHeight="false" outlineLevel="0" collapsed="false">
      <c r="A1189" s="17"/>
      <c r="B1189" s="18" t="str">
        <f aca="false">IF($A1189="","",TEXT($A1189,"ddd"))</f>
        <v/>
      </c>
      <c r="C1189" s="19"/>
      <c r="D1189" s="19"/>
      <c r="E1189" s="18" t="str">
        <f aca="false">IF($C1189="","",IFERROR(INDEX(Lists!$B$2:$B$40,MATCH($C1189,Lists!$A$2:$A$40,0)),""))</f>
        <v/>
      </c>
      <c r="F1189" s="20"/>
      <c r="G1189" s="20"/>
      <c r="H1189" s="20"/>
      <c r="I1189" s="20"/>
      <c r="J1189" s="20"/>
      <c r="K1189" s="18" t="str">
        <f aca="false">IF(COUNT($F1189:$J1189)=0,"",SUM($F1189:$J1189))</f>
        <v/>
      </c>
      <c r="L1189" s="18" t="str">
        <f aca="false">IF(COUNT($F1189:$J1189)=0,"",MAX($F1189:$J1189))</f>
        <v/>
      </c>
      <c r="M1189" s="18" t="str">
        <f aca="false">IFERROR(IF(OR($C1189="",COUNT($F1189:$J1189)&lt;3),"",IF(N(INDEX(Lists!$C$2:$C$40,MATCH($C1189,Lists!$A$2:$A$40,0)))=0,"",IF(MIN($F1189:$J1189)&gt;=INDEX(Lists!$C$2:$C$40,MATCH($C1189,Lists!$A$2:$A$40,0)),"LEVEL UP",""))),"")</f>
        <v/>
      </c>
      <c r="N1189" s="20"/>
      <c r="O1189" s="19"/>
    </row>
    <row r="1190" customFormat="false" ht="15" hidden="false" customHeight="false" outlineLevel="0" collapsed="false">
      <c r="A1190" s="17"/>
      <c r="B1190" s="18" t="str">
        <f aca="false">IF($A1190="","",TEXT($A1190,"ddd"))</f>
        <v/>
      </c>
      <c r="C1190" s="19"/>
      <c r="D1190" s="19"/>
      <c r="E1190" s="18" t="str">
        <f aca="false">IF($C1190="","",IFERROR(INDEX(Lists!$B$2:$B$40,MATCH($C1190,Lists!$A$2:$A$40,0)),""))</f>
        <v/>
      </c>
      <c r="F1190" s="20"/>
      <c r="G1190" s="20"/>
      <c r="H1190" s="20"/>
      <c r="I1190" s="20"/>
      <c r="J1190" s="20"/>
      <c r="K1190" s="18" t="str">
        <f aca="false">IF(COUNT($F1190:$J1190)=0,"",SUM($F1190:$J1190))</f>
        <v/>
      </c>
      <c r="L1190" s="18" t="str">
        <f aca="false">IF(COUNT($F1190:$J1190)=0,"",MAX($F1190:$J1190))</f>
        <v/>
      </c>
      <c r="M1190" s="18" t="str">
        <f aca="false">IFERROR(IF(OR($C1190="",COUNT($F1190:$J1190)&lt;3),"",IF(N(INDEX(Lists!$C$2:$C$40,MATCH($C1190,Lists!$A$2:$A$40,0)))=0,"",IF(MIN($F1190:$J1190)&gt;=INDEX(Lists!$C$2:$C$40,MATCH($C1190,Lists!$A$2:$A$40,0)),"LEVEL UP",""))),"")</f>
        <v/>
      </c>
      <c r="N1190" s="20"/>
      <c r="O1190" s="19"/>
    </row>
    <row r="1191" customFormat="false" ht="15" hidden="false" customHeight="false" outlineLevel="0" collapsed="false">
      <c r="A1191" s="17"/>
      <c r="B1191" s="18" t="str">
        <f aca="false">IF($A1191="","",TEXT($A1191,"ddd"))</f>
        <v/>
      </c>
      <c r="C1191" s="19"/>
      <c r="D1191" s="19"/>
      <c r="E1191" s="18" t="str">
        <f aca="false">IF($C1191="","",IFERROR(INDEX(Lists!$B$2:$B$40,MATCH($C1191,Lists!$A$2:$A$40,0)),""))</f>
        <v/>
      </c>
      <c r="F1191" s="20"/>
      <c r="G1191" s="20"/>
      <c r="H1191" s="20"/>
      <c r="I1191" s="20"/>
      <c r="J1191" s="20"/>
      <c r="K1191" s="18" t="str">
        <f aca="false">IF(COUNT($F1191:$J1191)=0,"",SUM($F1191:$J1191))</f>
        <v/>
      </c>
      <c r="L1191" s="18" t="str">
        <f aca="false">IF(COUNT($F1191:$J1191)=0,"",MAX($F1191:$J1191))</f>
        <v/>
      </c>
      <c r="M1191" s="18" t="str">
        <f aca="false">IFERROR(IF(OR($C1191="",COUNT($F1191:$J1191)&lt;3),"",IF(N(INDEX(Lists!$C$2:$C$40,MATCH($C1191,Lists!$A$2:$A$40,0)))=0,"",IF(MIN($F1191:$J1191)&gt;=INDEX(Lists!$C$2:$C$40,MATCH($C1191,Lists!$A$2:$A$40,0)),"LEVEL UP",""))),"")</f>
        <v/>
      </c>
      <c r="N1191" s="20"/>
      <c r="O1191" s="19"/>
    </row>
    <row r="1192" customFormat="false" ht="15" hidden="false" customHeight="false" outlineLevel="0" collapsed="false">
      <c r="A1192" s="17"/>
      <c r="B1192" s="18" t="str">
        <f aca="false">IF($A1192="","",TEXT($A1192,"ddd"))</f>
        <v/>
      </c>
      <c r="C1192" s="19"/>
      <c r="D1192" s="19"/>
      <c r="E1192" s="18" t="str">
        <f aca="false">IF($C1192="","",IFERROR(INDEX(Lists!$B$2:$B$40,MATCH($C1192,Lists!$A$2:$A$40,0)),""))</f>
        <v/>
      </c>
      <c r="F1192" s="20"/>
      <c r="G1192" s="20"/>
      <c r="H1192" s="20"/>
      <c r="I1192" s="20"/>
      <c r="J1192" s="20"/>
      <c r="K1192" s="18" t="str">
        <f aca="false">IF(COUNT($F1192:$J1192)=0,"",SUM($F1192:$J1192))</f>
        <v/>
      </c>
      <c r="L1192" s="18" t="str">
        <f aca="false">IF(COUNT($F1192:$J1192)=0,"",MAX($F1192:$J1192))</f>
        <v/>
      </c>
      <c r="M1192" s="18" t="str">
        <f aca="false">IFERROR(IF(OR($C1192="",COUNT($F1192:$J1192)&lt;3),"",IF(N(INDEX(Lists!$C$2:$C$40,MATCH($C1192,Lists!$A$2:$A$40,0)))=0,"",IF(MIN($F1192:$J1192)&gt;=INDEX(Lists!$C$2:$C$40,MATCH($C1192,Lists!$A$2:$A$40,0)),"LEVEL UP",""))),"")</f>
        <v/>
      </c>
      <c r="N1192" s="20"/>
      <c r="O1192" s="19"/>
    </row>
    <row r="1193" customFormat="false" ht="15" hidden="false" customHeight="false" outlineLevel="0" collapsed="false">
      <c r="A1193" s="17"/>
      <c r="B1193" s="18" t="str">
        <f aca="false">IF($A1193="","",TEXT($A1193,"ddd"))</f>
        <v/>
      </c>
      <c r="C1193" s="19"/>
      <c r="D1193" s="19"/>
      <c r="E1193" s="18" t="str">
        <f aca="false">IF($C1193="","",IFERROR(INDEX(Lists!$B$2:$B$40,MATCH($C1193,Lists!$A$2:$A$40,0)),""))</f>
        <v/>
      </c>
      <c r="F1193" s="20"/>
      <c r="G1193" s="20"/>
      <c r="H1193" s="20"/>
      <c r="I1193" s="20"/>
      <c r="J1193" s="20"/>
      <c r="K1193" s="18" t="str">
        <f aca="false">IF(COUNT($F1193:$J1193)=0,"",SUM($F1193:$J1193))</f>
        <v/>
      </c>
      <c r="L1193" s="18" t="str">
        <f aca="false">IF(COUNT($F1193:$J1193)=0,"",MAX($F1193:$J1193))</f>
        <v/>
      </c>
      <c r="M1193" s="18" t="str">
        <f aca="false">IFERROR(IF(OR($C1193="",COUNT($F1193:$J1193)&lt;3),"",IF(N(INDEX(Lists!$C$2:$C$40,MATCH($C1193,Lists!$A$2:$A$40,0)))=0,"",IF(MIN($F1193:$J1193)&gt;=INDEX(Lists!$C$2:$C$40,MATCH($C1193,Lists!$A$2:$A$40,0)),"LEVEL UP",""))),"")</f>
        <v/>
      </c>
      <c r="N1193" s="20"/>
      <c r="O1193" s="19"/>
    </row>
    <row r="1194" customFormat="false" ht="15" hidden="false" customHeight="false" outlineLevel="0" collapsed="false">
      <c r="A1194" s="17"/>
      <c r="B1194" s="18" t="str">
        <f aca="false">IF($A1194="","",TEXT($A1194,"ddd"))</f>
        <v/>
      </c>
      <c r="C1194" s="19"/>
      <c r="D1194" s="19"/>
      <c r="E1194" s="18" t="str">
        <f aca="false">IF($C1194="","",IFERROR(INDEX(Lists!$B$2:$B$40,MATCH($C1194,Lists!$A$2:$A$40,0)),""))</f>
        <v/>
      </c>
      <c r="F1194" s="20"/>
      <c r="G1194" s="20"/>
      <c r="H1194" s="20"/>
      <c r="I1194" s="20"/>
      <c r="J1194" s="20"/>
      <c r="K1194" s="18" t="str">
        <f aca="false">IF(COUNT($F1194:$J1194)=0,"",SUM($F1194:$J1194))</f>
        <v/>
      </c>
      <c r="L1194" s="18" t="str">
        <f aca="false">IF(COUNT($F1194:$J1194)=0,"",MAX($F1194:$J1194))</f>
        <v/>
      </c>
      <c r="M1194" s="18" t="str">
        <f aca="false">IFERROR(IF(OR($C1194="",COUNT($F1194:$J1194)&lt;3),"",IF(N(INDEX(Lists!$C$2:$C$40,MATCH($C1194,Lists!$A$2:$A$40,0)))=0,"",IF(MIN($F1194:$J1194)&gt;=INDEX(Lists!$C$2:$C$40,MATCH($C1194,Lists!$A$2:$A$40,0)),"LEVEL UP",""))),"")</f>
        <v/>
      </c>
      <c r="N1194" s="20"/>
      <c r="O1194" s="19"/>
    </row>
    <row r="1195" customFormat="false" ht="15" hidden="false" customHeight="false" outlineLevel="0" collapsed="false">
      <c r="A1195" s="17"/>
      <c r="B1195" s="18" t="str">
        <f aca="false">IF($A1195="","",TEXT($A1195,"ddd"))</f>
        <v/>
      </c>
      <c r="C1195" s="19"/>
      <c r="D1195" s="19"/>
      <c r="E1195" s="18" t="str">
        <f aca="false">IF($C1195="","",IFERROR(INDEX(Lists!$B$2:$B$40,MATCH($C1195,Lists!$A$2:$A$40,0)),""))</f>
        <v/>
      </c>
      <c r="F1195" s="20"/>
      <c r="G1195" s="20"/>
      <c r="H1195" s="20"/>
      <c r="I1195" s="20"/>
      <c r="J1195" s="20"/>
      <c r="K1195" s="18" t="str">
        <f aca="false">IF(COUNT($F1195:$J1195)=0,"",SUM($F1195:$J1195))</f>
        <v/>
      </c>
      <c r="L1195" s="18" t="str">
        <f aca="false">IF(COUNT($F1195:$J1195)=0,"",MAX($F1195:$J1195))</f>
        <v/>
      </c>
      <c r="M1195" s="18" t="str">
        <f aca="false">IFERROR(IF(OR($C1195="",COUNT($F1195:$J1195)&lt;3),"",IF(N(INDEX(Lists!$C$2:$C$40,MATCH($C1195,Lists!$A$2:$A$40,0)))=0,"",IF(MIN($F1195:$J1195)&gt;=INDEX(Lists!$C$2:$C$40,MATCH($C1195,Lists!$A$2:$A$40,0)),"LEVEL UP",""))),"")</f>
        <v/>
      </c>
      <c r="N1195" s="20"/>
      <c r="O1195" s="19"/>
    </row>
    <row r="1196" customFormat="false" ht="15" hidden="false" customHeight="false" outlineLevel="0" collapsed="false">
      <c r="A1196" s="17"/>
      <c r="B1196" s="18" t="str">
        <f aca="false">IF($A1196="","",TEXT($A1196,"ddd"))</f>
        <v/>
      </c>
      <c r="C1196" s="19"/>
      <c r="D1196" s="19"/>
      <c r="E1196" s="18" t="str">
        <f aca="false">IF($C1196="","",IFERROR(INDEX(Lists!$B$2:$B$40,MATCH($C1196,Lists!$A$2:$A$40,0)),""))</f>
        <v/>
      </c>
      <c r="F1196" s="20"/>
      <c r="G1196" s="20"/>
      <c r="H1196" s="20"/>
      <c r="I1196" s="20"/>
      <c r="J1196" s="20"/>
      <c r="K1196" s="18" t="str">
        <f aca="false">IF(COUNT($F1196:$J1196)=0,"",SUM($F1196:$J1196))</f>
        <v/>
      </c>
      <c r="L1196" s="18" t="str">
        <f aca="false">IF(COUNT($F1196:$J1196)=0,"",MAX($F1196:$J1196))</f>
        <v/>
      </c>
      <c r="M1196" s="18" t="str">
        <f aca="false">IFERROR(IF(OR($C1196="",COUNT($F1196:$J1196)&lt;3),"",IF(N(INDEX(Lists!$C$2:$C$40,MATCH($C1196,Lists!$A$2:$A$40,0)))=0,"",IF(MIN($F1196:$J1196)&gt;=INDEX(Lists!$C$2:$C$40,MATCH($C1196,Lists!$A$2:$A$40,0)),"LEVEL UP",""))),"")</f>
        <v/>
      </c>
      <c r="N1196" s="20"/>
      <c r="O1196" s="19"/>
    </row>
    <row r="1197" customFormat="false" ht="15" hidden="false" customHeight="false" outlineLevel="0" collapsed="false">
      <c r="A1197" s="17"/>
      <c r="B1197" s="18" t="str">
        <f aca="false">IF($A1197="","",TEXT($A1197,"ddd"))</f>
        <v/>
      </c>
      <c r="C1197" s="19"/>
      <c r="D1197" s="19"/>
      <c r="E1197" s="18" t="str">
        <f aca="false">IF($C1197="","",IFERROR(INDEX(Lists!$B$2:$B$40,MATCH($C1197,Lists!$A$2:$A$40,0)),""))</f>
        <v/>
      </c>
      <c r="F1197" s="20"/>
      <c r="G1197" s="20"/>
      <c r="H1197" s="20"/>
      <c r="I1197" s="20"/>
      <c r="J1197" s="20"/>
      <c r="K1197" s="18" t="str">
        <f aca="false">IF(COUNT($F1197:$J1197)=0,"",SUM($F1197:$J1197))</f>
        <v/>
      </c>
      <c r="L1197" s="18" t="str">
        <f aca="false">IF(COUNT($F1197:$J1197)=0,"",MAX($F1197:$J1197))</f>
        <v/>
      </c>
      <c r="M1197" s="18" t="str">
        <f aca="false">IFERROR(IF(OR($C1197="",COUNT($F1197:$J1197)&lt;3),"",IF(N(INDEX(Lists!$C$2:$C$40,MATCH($C1197,Lists!$A$2:$A$40,0)))=0,"",IF(MIN($F1197:$J1197)&gt;=INDEX(Lists!$C$2:$C$40,MATCH($C1197,Lists!$A$2:$A$40,0)),"LEVEL UP",""))),"")</f>
        <v/>
      </c>
      <c r="N1197" s="20"/>
      <c r="O1197" s="19"/>
    </row>
    <row r="1198" customFormat="false" ht="15" hidden="false" customHeight="false" outlineLevel="0" collapsed="false">
      <c r="A1198" s="17"/>
      <c r="B1198" s="18" t="str">
        <f aca="false">IF($A1198="","",TEXT($A1198,"ddd"))</f>
        <v/>
      </c>
      <c r="C1198" s="19"/>
      <c r="D1198" s="19"/>
      <c r="E1198" s="18" t="str">
        <f aca="false">IF($C1198="","",IFERROR(INDEX(Lists!$B$2:$B$40,MATCH($C1198,Lists!$A$2:$A$40,0)),""))</f>
        <v/>
      </c>
      <c r="F1198" s="20"/>
      <c r="G1198" s="20"/>
      <c r="H1198" s="20"/>
      <c r="I1198" s="20"/>
      <c r="J1198" s="20"/>
      <c r="K1198" s="18" t="str">
        <f aca="false">IF(COUNT($F1198:$J1198)=0,"",SUM($F1198:$J1198))</f>
        <v/>
      </c>
      <c r="L1198" s="18" t="str">
        <f aca="false">IF(COUNT($F1198:$J1198)=0,"",MAX($F1198:$J1198))</f>
        <v/>
      </c>
      <c r="M1198" s="18" t="str">
        <f aca="false">IFERROR(IF(OR($C1198="",COUNT($F1198:$J1198)&lt;3),"",IF(N(INDEX(Lists!$C$2:$C$40,MATCH($C1198,Lists!$A$2:$A$40,0)))=0,"",IF(MIN($F1198:$J1198)&gt;=INDEX(Lists!$C$2:$C$40,MATCH($C1198,Lists!$A$2:$A$40,0)),"LEVEL UP",""))),"")</f>
        <v/>
      </c>
      <c r="N1198" s="20"/>
      <c r="O1198" s="19"/>
    </row>
    <row r="1199" customFormat="false" ht="15" hidden="false" customHeight="false" outlineLevel="0" collapsed="false">
      <c r="A1199" s="17"/>
      <c r="B1199" s="18" t="str">
        <f aca="false">IF($A1199="","",TEXT($A1199,"ddd"))</f>
        <v/>
      </c>
      <c r="C1199" s="19"/>
      <c r="D1199" s="19"/>
      <c r="E1199" s="18" t="str">
        <f aca="false">IF($C1199="","",IFERROR(INDEX(Lists!$B$2:$B$40,MATCH($C1199,Lists!$A$2:$A$40,0)),""))</f>
        <v/>
      </c>
      <c r="F1199" s="20"/>
      <c r="G1199" s="20"/>
      <c r="H1199" s="20"/>
      <c r="I1199" s="20"/>
      <c r="J1199" s="20"/>
      <c r="K1199" s="18" t="str">
        <f aca="false">IF(COUNT($F1199:$J1199)=0,"",SUM($F1199:$J1199))</f>
        <v/>
      </c>
      <c r="L1199" s="18" t="str">
        <f aca="false">IF(COUNT($F1199:$J1199)=0,"",MAX($F1199:$J1199))</f>
        <v/>
      </c>
      <c r="M1199" s="18" t="str">
        <f aca="false">IFERROR(IF(OR($C1199="",COUNT($F1199:$J1199)&lt;3),"",IF(N(INDEX(Lists!$C$2:$C$40,MATCH($C1199,Lists!$A$2:$A$40,0)))=0,"",IF(MIN($F1199:$J1199)&gt;=INDEX(Lists!$C$2:$C$40,MATCH($C1199,Lists!$A$2:$A$40,0)),"LEVEL UP",""))),"")</f>
        <v/>
      </c>
      <c r="N1199" s="20"/>
      <c r="O1199" s="19"/>
    </row>
    <row r="1200" customFormat="false" ht="15" hidden="false" customHeight="false" outlineLevel="0" collapsed="false">
      <c r="A1200" s="17"/>
      <c r="B1200" s="18" t="str">
        <f aca="false">IF($A1200="","",TEXT($A1200,"ddd"))</f>
        <v/>
      </c>
      <c r="C1200" s="19"/>
      <c r="D1200" s="19"/>
      <c r="E1200" s="18" t="str">
        <f aca="false">IF($C1200="","",IFERROR(INDEX(Lists!$B$2:$B$40,MATCH($C1200,Lists!$A$2:$A$40,0)),""))</f>
        <v/>
      </c>
      <c r="F1200" s="20"/>
      <c r="G1200" s="20"/>
      <c r="H1200" s="20"/>
      <c r="I1200" s="20"/>
      <c r="J1200" s="20"/>
      <c r="K1200" s="18" t="str">
        <f aca="false">IF(COUNT($F1200:$J1200)=0,"",SUM($F1200:$J1200))</f>
        <v/>
      </c>
      <c r="L1200" s="18" t="str">
        <f aca="false">IF(COUNT($F1200:$J1200)=0,"",MAX($F1200:$J1200))</f>
        <v/>
      </c>
      <c r="M1200" s="18" t="str">
        <f aca="false">IFERROR(IF(OR($C1200="",COUNT($F1200:$J1200)&lt;3),"",IF(N(INDEX(Lists!$C$2:$C$40,MATCH($C1200,Lists!$A$2:$A$40,0)))=0,"",IF(MIN($F1200:$J1200)&gt;=INDEX(Lists!$C$2:$C$40,MATCH($C1200,Lists!$A$2:$A$40,0)),"LEVEL UP",""))),"")</f>
        <v/>
      </c>
      <c r="N1200" s="20"/>
      <c r="O1200" s="19"/>
    </row>
    <row r="1201" customFormat="false" ht="15" hidden="false" customHeight="false" outlineLevel="0" collapsed="false">
      <c r="A1201" s="17"/>
      <c r="B1201" s="18" t="str">
        <f aca="false">IF($A1201="","",TEXT($A1201,"ddd"))</f>
        <v/>
      </c>
      <c r="C1201" s="19"/>
      <c r="D1201" s="19"/>
      <c r="E1201" s="18" t="str">
        <f aca="false">IF($C1201="","",IFERROR(INDEX(Lists!$B$2:$B$40,MATCH($C1201,Lists!$A$2:$A$40,0)),""))</f>
        <v/>
      </c>
      <c r="F1201" s="20"/>
      <c r="G1201" s="20"/>
      <c r="H1201" s="20"/>
      <c r="I1201" s="20"/>
      <c r="J1201" s="20"/>
      <c r="K1201" s="18" t="str">
        <f aca="false">IF(COUNT($F1201:$J1201)=0,"",SUM($F1201:$J1201))</f>
        <v/>
      </c>
      <c r="L1201" s="18" t="str">
        <f aca="false">IF(COUNT($F1201:$J1201)=0,"",MAX($F1201:$J1201))</f>
        <v/>
      </c>
      <c r="M1201" s="18" t="str">
        <f aca="false">IFERROR(IF(OR($C1201="",COUNT($F1201:$J1201)&lt;3),"",IF(N(INDEX(Lists!$C$2:$C$40,MATCH($C1201,Lists!$A$2:$A$40,0)))=0,"",IF(MIN($F1201:$J1201)&gt;=INDEX(Lists!$C$2:$C$40,MATCH($C1201,Lists!$A$2:$A$40,0)),"LEVEL UP",""))),"")</f>
        <v/>
      </c>
      <c r="N1201" s="20"/>
      <c r="O1201" s="19"/>
    </row>
    <row r="1202" customFormat="false" ht="15" hidden="false" customHeight="false" outlineLevel="0" collapsed="false">
      <c r="A1202" s="17"/>
      <c r="B1202" s="18" t="str">
        <f aca="false">IF($A1202="","",TEXT($A1202,"ddd"))</f>
        <v/>
      </c>
      <c r="C1202" s="19"/>
      <c r="D1202" s="19"/>
      <c r="E1202" s="18" t="str">
        <f aca="false">IF($C1202="","",IFERROR(INDEX(Lists!$B$2:$B$40,MATCH($C1202,Lists!$A$2:$A$40,0)),""))</f>
        <v/>
      </c>
      <c r="F1202" s="20"/>
      <c r="G1202" s="20"/>
      <c r="H1202" s="20"/>
      <c r="I1202" s="20"/>
      <c r="J1202" s="20"/>
      <c r="K1202" s="18" t="str">
        <f aca="false">IF(COUNT($F1202:$J1202)=0,"",SUM($F1202:$J1202))</f>
        <v/>
      </c>
      <c r="L1202" s="18" t="str">
        <f aca="false">IF(COUNT($F1202:$J1202)=0,"",MAX($F1202:$J1202))</f>
        <v/>
      </c>
      <c r="M1202" s="18" t="str">
        <f aca="false">IFERROR(IF(OR($C1202="",COUNT($F1202:$J1202)&lt;3),"",IF(N(INDEX(Lists!$C$2:$C$40,MATCH($C1202,Lists!$A$2:$A$40,0)))=0,"",IF(MIN($F1202:$J1202)&gt;=INDEX(Lists!$C$2:$C$40,MATCH($C1202,Lists!$A$2:$A$40,0)),"LEVEL UP",""))),"")</f>
        <v/>
      </c>
      <c r="N1202" s="20"/>
      <c r="O1202" s="19"/>
    </row>
    <row r="1203" customFormat="false" ht="15" hidden="false" customHeight="false" outlineLevel="0" collapsed="false">
      <c r="A1203" s="17"/>
      <c r="B1203" s="18" t="str">
        <f aca="false">IF($A1203="","",TEXT($A1203,"ddd"))</f>
        <v/>
      </c>
      <c r="C1203" s="19"/>
      <c r="D1203" s="19"/>
      <c r="E1203" s="18" t="str">
        <f aca="false">IF($C1203="","",IFERROR(INDEX(Lists!$B$2:$B$40,MATCH($C1203,Lists!$A$2:$A$40,0)),""))</f>
        <v/>
      </c>
      <c r="F1203" s="20"/>
      <c r="G1203" s="20"/>
      <c r="H1203" s="20"/>
      <c r="I1203" s="20"/>
      <c r="J1203" s="20"/>
      <c r="K1203" s="18" t="str">
        <f aca="false">IF(COUNT($F1203:$J1203)=0,"",SUM($F1203:$J1203))</f>
        <v/>
      </c>
      <c r="L1203" s="18" t="str">
        <f aca="false">IF(COUNT($F1203:$J1203)=0,"",MAX($F1203:$J1203))</f>
        <v/>
      </c>
      <c r="M1203" s="18" t="str">
        <f aca="false">IFERROR(IF(OR($C1203="",COUNT($F1203:$J1203)&lt;3),"",IF(N(INDEX(Lists!$C$2:$C$40,MATCH($C1203,Lists!$A$2:$A$40,0)))=0,"",IF(MIN($F1203:$J1203)&gt;=INDEX(Lists!$C$2:$C$40,MATCH($C1203,Lists!$A$2:$A$40,0)),"LEVEL UP",""))),"")</f>
        <v/>
      </c>
      <c r="N1203" s="20"/>
      <c r="O1203" s="19"/>
    </row>
    <row r="1204" customFormat="false" ht="15" hidden="false" customHeight="false" outlineLevel="0" collapsed="false">
      <c r="A1204" s="17"/>
      <c r="B1204" s="18" t="str">
        <f aca="false">IF($A1204="","",TEXT($A1204,"ddd"))</f>
        <v/>
      </c>
      <c r="C1204" s="19"/>
      <c r="D1204" s="19"/>
      <c r="E1204" s="18" t="str">
        <f aca="false">IF($C1204="","",IFERROR(INDEX(Lists!$B$2:$B$40,MATCH($C1204,Lists!$A$2:$A$40,0)),""))</f>
        <v/>
      </c>
      <c r="F1204" s="20"/>
      <c r="G1204" s="20"/>
      <c r="H1204" s="20"/>
      <c r="I1204" s="20"/>
      <c r="J1204" s="20"/>
      <c r="K1204" s="18" t="str">
        <f aca="false">IF(COUNT($F1204:$J1204)=0,"",SUM($F1204:$J1204))</f>
        <v/>
      </c>
      <c r="L1204" s="18" t="str">
        <f aca="false">IF(COUNT($F1204:$J1204)=0,"",MAX($F1204:$J1204))</f>
        <v/>
      </c>
      <c r="M1204" s="18" t="str">
        <f aca="false">IFERROR(IF(OR($C1204="",COUNT($F1204:$J1204)&lt;3),"",IF(N(INDEX(Lists!$C$2:$C$40,MATCH($C1204,Lists!$A$2:$A$40,0)))=0,"",IF(MIN($F1204:$J1204)&gt;=INDEX(Lists!$C$2:$C$40,MATCH($C1204,Lists!$A$2:$A$40,0)),"LEVEL UP",""))),"")</f>
        <v/>
      </c>
      <c r="N1204" s="20"/>
      <c r="O1204" s="19"/>
    </row>
    <row r="1205" customFormat="false" ht="15" hidden="false" customHeight="false" outlineLevel="0" collapsed="false">
      <c r="A1205" s="17"/>
      <c r="B1205" s="18" t="str">
        <f aca="false">IF($A1205="","",TEXT($A1205,"ddd"))</f>
        <v/>
      </c>
      <c r="C1205" s="19"/>
      <c r="D1205" s="19"/>
      <c r="E1205" s="18" t="str">
        <f aca="false">IF($C1205="","",IFERROR(INDEX(Lists!$B$2:$B$40,MATCH($C1205,Lists!$A$2:$A$40,0)),""))</f>
        <v/>
      </c>
      <c r="F1205" s="20"/>
      <c r="G1205" s="20"/>
      <c r="H1205" s="20"/>
      <c r="I1205" s="20"/>
      <c r="J1205" s="20"/>
      <c r="K1205" s="18" t="str">
        <f aca="false">IF(COUNT($F1205:$J1205)=0,"",SUM($F1205:$J1205))</f>
        <v/>
      </c>
      <c r="L1205" s="18" t="str">
        <f aca="false">IF(COUNT($F1205:$J1205)=0,"",MAX($F1205:$J1205))</f>
        <v/>
      </c>
      <c r="M1205" s="18" t="str">
        <f aca="false">IFERROR(IF(OR($C1205="",COUNT($F1205:$J1205)&lt;3),"",IF(N(INDEX(Lists!$C$2:$C$40,MATCH($C1205,Lists!$A$2:$A$40,0)))=0,"",IF(MIN($F1205:$J1205)&gt;=INDEX(Lists!$C$2:$C$40,MATCH($C1205,Lists!$A$2:$A$40,0)),"LEVEL UP",""))),"")</f>
        <v/>
      </c>
      <c r="N1205" s="20"/>
      <c r="O1205" s="19"/>
    </row>
    <row r="1206" customFormat="false" ht="15" hidden="false" customHeight="false" outlineLevel="0" collapsed="false">
      <c r="A1206" s="17"/>
      <c r="B1206" s="18" t="str">
        <f aca="false">IF($A1206="","",TEXT($A1206,"ddd"))</f>
        <v/>
      </c>
      <c r="C1206" s="19"/>
      <c r="D1206" s="19"/>
      <c r="E1206" s="18" t="str">
        <f aca="false">IF($C1206="","",IFERROR(INDEX(Lists!$B$2:$B$40,MATCH($C1206,Lists!$A$2:$A$40,0)),""))</f>
        <v/>
      </c>
      <c r="F1206" s="20"/>
      <c r="G1206" s="20"/>
      <c r="H1206" s="20"/>
      <c r="I1206" s="20"/>
      <c r="J1206" s="20"/>
      <c r="K1206" s="18" t="str">
        <f aca="false">IF(COUNT($F1206:$J1206)=0,"",SUM($F1206:$J1206))</f>
        <v/>
      </c>
      <c r="L1206" s="18" t="str">
        <f aca="false">IF(COUNT($F1206:$J1206)=0,"",MAX($F1206:$J1206))</f>
        <v/>
      </c>
      <c r="M1206" s="18" t="str">
        <f aca="false">IFERROR(IF(OR($C1206="",COUNT($F1206:$J1206)&lt;3),"",IF(N(INDEX(Lists!$C$2:$C$40,MATCH($C1206,Lists!$A$2:$A$40,0)))=0,"",IF(MIN($F1206:$J1206)&gt;=INDEX(Lists!$C$2:$C$40,MATCH($C1206,Lists!$A$2:$A$40,0)),"LEVEL UP",""))),"")</f>
        <v/>
      </c>
      <c r="N1206" s="20"/>
      <c r="O1206" s="19"/>
    </row>
    <row r="1207" customFormat="false" ht="15" hidden="false" customHeight="false" outlineLevel="0" collapsed="false">
      <c r="A1207" s="17"/>
      <c r="B1207" s="18" t="str">
        <f aca="false">IF($A1207="","",TEXT($A1207,"ddd"))</f>
        <v/>
      </c>
      <c r="C1207" s="19"/>
      <c r="D1207" s="19"/>
      <c r="E1207" s="18" t="str">
        <f aca="false">IF($C1207="","",IFERROR(INDEX(Lists!$B$2:$B$40,MATCH($C1207,Lists!$A$2:$A$40,0)),""))</f>
        <v/>
      </c>
      <c r="F1207" s="20"/>
      <c r="G1207" s="20"/>
      <c r="H1207" s="20"/>
      <c r="I1207" s="20"/>
      <c r="J1207" s="20"/>
      <c r="K1207" s="18" t="str">
        <f aca="false">IF(COUNT($F1207:$J1207)=0,"",SUM($F1207:$J1207))</f>
        <v/>
      </c>
      <c r="L1207" s="18" t="str">
        <f aca="false">IF(COUNT($F1207:$J1207)=0,"",MAX($F1207:$J1207))</f>
        <v/>
      </c>
      <c r="M1207" s="18" t="str">
        <f aca="false">IFERROR(IF(OR($C1207="",COUNT($F1207:$J1207)&lt;3),"",IF(N(INDEX(Lists!$C$2:$C$40,MATCH($C1207,Lists!$A$2:$A$40,0)))=0,"",IF(MIN($F1207:$J1207)&gt;=INDEX(Lists!$C$2:$C$40,MATCH($C1207,Lists!$A$2:$A$40,0)),"LEVEL UP",""))),"")</f>
        <v/>
      </c>
      <c r="N1207" s="20"/>
      <c r="O1207" s="19"/>
    </row>
    <row r="1208" customFormat="false" ht="15" hidden="false" customHeight="false" outlineLevel="0" collapsed="false">
      <c r="A1208" s="17"/>
      <c r="B1208" s="18" t="str">
        <f aca="false">IF($A1208="","",TEXT($A1208,"ddd"))</f>
        <v/>
      </c>
      <c r="C1208" s="19"/>
      <c r="D1208" s="19"/>
      <c r="E1208" s="18" t="str">
        <f aca="false">IF($C1208="","",IFERROR(INDEX(Lists!$B$2:$B$40,MATCH($C1208,Lists!$A$2:$A$40,0)),""))</f>
        <v/>
      </c>
      <c r="F1208" s="20"/>
      <c r="G1208" s="20"/>
      <c r="H1208" s="20"/>
      <c r="I1208" s="20"/>
      <c r="J1208" s="20"/>
      <c r="K1208" s="18" t="str">
        <f aca="false">IF(COUNT($F1208:$J1208)=0,"",SUM($F1208:$J1208))</f>
        <v/>
      </c>
      <c r="L1208" s="18" t="str">
        <f aca="false">IF(COUNT($F1208:$J1208)=0,"",MAX($F1208:$J1208))</f>
        <v/>
      </c>
      <c r="M1208" s="18" t="str">
        <f aca="false">IFERROR(IF(OR($C1208="",COUNT($F1208:$J1208)&lt;3),"",IF(N(INDEX(Lists!$C$2:$C$40,MATCH($C1208,Lists!$A$2:$A$40,0)))=0,"",IF(MIN($F1208:$J1208)&gt;=INDEX(Lists!$C$2:$C$40,MATCH($C1208,Lists!$A$2:$A$40,0)),"LEVEL UP",""))),"")</f>
        <v/>
      </c>
      <c r="N1208" s="20"/>
      <c r="O1208" s="19"/>
    </row>
    <row r="1209" customFormat="false" ht="15" hidden="false" customHeight="false" outlineLevel="0" collapsed="false">
      <c r="A1209" s="17"/>
      <c r="B1209" s="18" t="str">
        <f aca="false">IF($A1209="","",TEXT($A1209,"ddd"))</f>
        <v/>
      </c>
      <c r="C1209" s="19"/>
      <c r="D1209" s="19"/>
      <c r="E1209" s="18" t="str">
        <f aca="false">IF($C1209="","",IFERROR(INDEX(Lists!$B$2:$B$40,MATCH($C1209,Lists!$A$2:$A$40,0)),""))</f>
        <v/>
      </c>
      <c r="F1209" s="20"/>
      <c r="G1209" s="20"/>
      <c r="H1209" s="20"/>
      <c r="I1209" s="20"/>
      <c r="J1209" s="20"/>
      <c r="K1209" s="18" t="str">
        <f aca="false">IF(COUNT($F1209:$J1209)=0,"",SUM($F1209:$J1209))</f>
        <v/>
      </c>
      <c r="L1209" s="18" t="str">
        <f aca="false">IF(COUNT($F1209:$J1209)=0,"",MAX($F1209:$J1209))</f>
        <v/>
      </c>
      <c r="M1209" s="18" t="str">
        <f aca="false">IFERROR(IF(OR($C1209="",COUNT($F1209:$J1209)&lt;3),"",IF(N(INDEX(Lists!$C$2:$C$40,MATCH($C1209,Lists!$A$2:$A$40,0)))=0,"",IF(MIN($F1209:$J1209)&gt;=INDEX(Lists!$C$2:$C$40,MATCH($C1209,Lists!$A$2:$A$40,0)),"LEVEL UP",""))),"")</f>
        <v/>
      </c>
      <c r="N1209" s="20"/>
      <c r="O1209" s="19"/>
    </row>
    <row r="1210" customFormat="false" ht="15" hidden="false" customHeight="false" outlineLevel="0" collapsed="false">
      <c r="A1210" s="17"/>
      <c r="B1210" s="18" t="str">
        <f aca="false">IF($A1210="","",TEXT($A1210,"ddd"))</f>
        <v/>
      </c>
      <c r="C1210" s="19"/>
      <c r="D1210" s="19"/>
      <c r="E1210" s="18" t="str">
        <f aca="false">IF($C1210="","",IFERROR(INDEX(Lists!$B$2:$B$40,MATCH($C1210,Lists!$A$2:$A$40,0)),""))</f>
        <v/>
      </c>
      <c r="F1210" s="20"/>
      <c r="G1210" s="20"/>
      <c r="H1210" s="20"/>
      <c r="I1210" s="20"/>
      <c r="J1210" s="20"/>
      <c r="K1210" s="18" t="str">
        <f aca="false">IF(COUNT($F1210:$J1210)=0,"",SUM($F1210:$J1210))</f>
        <v/>
      </c>
      <c r="L1210" s="18" t="str">
        <f aca="false">IF(COUNT($F1210:$J1210)=0,"",MAX($F1210:$J1210))</f>
        <v/>
      </c>
      <c r="M1210" s="18" t="str">
        <f aca="false">IFERROR(IF(OR($C1210="",COUNT($F1210:$J1210)&lt;3),"",IF(N(INDEX(Lists!$C$2:$C$40,MATCH($C1210,Lists!$A$2:$A$40,0)))=0,"",IF(MIN($F1210:$J1210)&gt;=INDEX(Lists!$C$2:$C$40,MATCH($C1210,Lists!$A$2:$A$40,0)),"LEVEL UP",""))),"")</f>
        <v/>
      </c>
      <c r="N1210" s="20"/>
      <c r="O1210" s="19"/>
    </row>
    <row r="1211" customFormat="false" ht="15" hidden="false" customHeight="false" outlineLevel="0" collapsed="false">
      <c r="A1211" s="17"/>
      <c r="B1211" s="18" t="str">
        <f aca="false">IF($A1211="","",TEXT($A1211,"ddd"))</f>
        <v/>
      </c>
      <c r="C1211" s="19"/>
      <c r="D1211" s="19"/>
      <c r="E1211" s="18" t="str">
        <f aca="false">IF($C1211="","",IFERROR(INDEX(Lists!$B$2:$B$40,MATCH($C1211,Lists!$A$2:$A$40,0)),""))</f>
        <v/>
      </c>
      <c r="F1211" s="20"/>
      <c r="G1211" s="20"/>
      <c r="H1211" s="20"/>
      <c r="I1211" s="20"/>
      <c r="J1211" s="20"/>
      <c r="K1211" s="18" t="str">
        <f aca="false">IF(COUNT($F1211:$J1211)=0,"",SUM($F1211:$J1211))</f>
        <v/>
      </c>
      <c r="L1211" s="18" t="str">
        <f aca="false">IF(COUNT($F1211:$J1211)=0,"",MAX($F1211:$J1211))</f>
        <v/>
      </c>
      <c r="M1211" s="18" t="str">
        <f aca="false">IFERROR(IF(OR($C1211="",COUNT($F1211:$J1211)&lt;3),"",IF(N(INDEX(Lists!$C$2:$C$40,MATCH($C1211,Lists!$A$2:$A$40,0)))=0,"",IF(MIN($F1211:$J1211)&gt;=INDEX(Lists!$C$2:$C$40,MATCH($C1211,Lists!$A$2:$A$40,0)),"LEVEL UP",""))),"")</f>
        <v/>
      </c>
      <c r="N1211" s="20"/>
      <c r="O1211" s="19"/>
    </row>
    <row r="1212" customFormat="false" ht="15" hidden="false" customHeight="false" outlineLevel="0" collapsed="false">
      <c r="A1212" s="17"/>
      <c r="B1212" s="18" t="str">
        <f aca="false">IF($A1212="","",TEXT($A1212,"ddd"))</f>
        <v/>
      </c>
      <c r="C1212" s="19"/>
      <c r="D1212" s="19"/>
      <c r="E1212" s="18" t="str">
        <f aca="false">IF($C1212="","",IFERROR(INDEX(Lists!$B$2:$B$40,MATCH($C1212,Lists!$A$2:$A$40,0)),""))</f>
        <v/>
      </c>
      <c r="F1212" s="20"/>
      <c r="G1212" s="20"/>
      <c r="H1212" s="20"/>
      <c r="I1212" s="20"/>
      <c r="J1212" s="20"/>
      <c r="K1212" s="18" t="str">
        <f aca="false">IF(COUNT($F1212:$J1212)=0,"",SUM($F1212:$J1212))</f>
        <v/>
      </c>
      <c r="L1212" s="18" t="str">
        <f aca="false">IF(COUNT($F1212:$J1212)=0,"",MAX($F1212:$J1212))</f>
        <v/>
      </c>
      <c r="M1212" s="18" t="str">
        <f aca="false">IFERROR(IF(OR($C1212="",COUNT($F1212:$J1212)&lt;3),"",IF(N(INDEX(Lists!$C$2:$C$40,MATCH($C1212,Lists!$A$2:$A$40,0)))=0,"",IF(MIN($F1212:$J1212)&gt;=INDEX(Lists!$C$2:$C$40,MATCH($C1212,Lists!$A$2:$A$40,0)),"LEVEL UP",""))),"")</f>
        <v/>
      </c>
      <c r="N1212" s="20"/>
      <c r="O1212" s="19"/>
    </row>
    <row r="1213" customFormat="false" ht="15" hidden="false" customHeight="false" outlineLevel="0" collapsed="false">
      <c r="A1213" s="17"/>
      <c r="B1213" s="18" t="str">
        <f aca="false">IF($A1213="","",TEXT($A1213,"ddd"))</f>
        <v/>
      </c>
      <c r="C1213" s="19"/>
      <c r="D1213" s="19"/>
      <c r="E1213" s="18" t="str">
        <f aca="false">IF($C1213="","",IFERROR(INDEX(Lists!$B$2:$B$40,MATCH($C1213,Lists!$A$2:$A$40,0)),""))</f>
        <v/>
      </c>
      <c r="F1213" s="20"/>
      <c r="G1213" s="20"/>
      <c r="H1213" s="20"/>
      <c r="I1213" s="20"/>
      <c r="J1213" s="20"/>
      <c r="K1213" s="18" t="str">
        <f aca="false">IF(COUNT($F1213:$J1213)=0,"",SUM($F1213:$J1213))</f>
        <v/>
      </c>
      <c r="L1213" s="18" t="str">
        <f aca="false">IF(COUNT($F1213:$J1213)=0,"",MAX($F1213:$J1213))</f>
        <v/>
      </c>
      <c r="M1213" s="18" t="str">
        <f aca="false">IFERROR(IF(OR($C1213="",COUNT($F1213:$J1213)&lt;3),"",IF(N(INDEX(Lists!$C$2:$C$40,MATCH($C1213,Lists!$A$2:$A$40,0)))=0,"",IF(MIN($F1213:$J1213)&gt;=INDEX(Lists!$C$2:$C$40,MATCH($C1213,Lists!$A$2:$A$40,0)),"LEVEL UP",""))),"")</f>
        <v/>
      </c>
      <c r="N1213" s="20"/>
      <c r="O1213" s="19"/>
    </row>
    <row r="1214" customFormat="false" ht="15" hidden="false" customHeight="false" outlineLevel="0" collapsed="false">
      <c r="A1214" s="17"/>
      <c r="B1214" s="18" t="str">
        <f aca="false">IF($A1214="","",TEXT($A1214,"ddd"))</f>
        <v/>
      </c>
      <c r="C1214" s="19"/>
      <c r="D1214" s="19"/>
      <c r="E1214" s="18" t="str">
        <f aca="false">IF($C1214="","",IFERROR(INDEX(Lists!$B$2:$B$40,MATCH($C1214,Lists!$A$2:$A$40,0)),""))</f>
        <v/>
      </c>
      <c r="F1214" s="20"/>
      <c r="G1214" s="20"/>
      <c r="H1214" s="20"/>
      <c r="I1214" s="20"/>
      <c r="J1214" s="20"/>
      <c r="K1214" s="18" t="str">
        <f aca="false">IF(COUNT($F1214:$J1214)=0,"",SUM($F1214:$J1214))</f>
        <v/>
      </c>
      <c r="L1214" s="18" t="str">
        <f aca="false">IF(COUNT($F1214:$J1214)=0,"",MAX($F1214:$J1214))</f>
        <v/>
      </c>
      <c r="M1214" s="18" t="str">
        <f aca="false">IFERROR(IF(OR($C1214="",COUNT($F1214:$J1214)&lt;3),"",IF(N(INDEX(Lists!$C$2:$C$40,MATCH($C1214,Lists!$A$2:$A$40,0)))=0,"",IF(MIN($F1214:$J1214)&gt;=INDEX(Lists!$C$2:$C$40,MATCH($C1214,Lists!$A$2:$A$40,0)),"LEVEL UP",""))),"")</f>
        <v/>
      </c>
      <c r="N1214" s="20"/>
      <c r="O1214" s="19"/>
    </row>
    <row r="1215" customFormat="false" ht="15" hidden="false" customHeight="false" outlineLevel="0" collapsed="false">
      <c r="A1215" s="17"/>
      <c r="B1215" s="18" t="str">
        <f aca="false">IF($A1215="","",TEXT($A1215,"ddd"))</f>
        <v/>
      </c>
      <c r="C1215" s="19"/>
      <c r="D1215" s="19"/>
      <c r="E1215" s="18" t="str">
        <f aca="false">IF($C1215="","",IFERROR(INDEX(Lists!$B$2:$B$40,MATCH($C1215,Lists!$A$2:$A$40,0)),""))</f>
        <v/>
      </c>
      <c r="F1215" s="20"/>
      <c r="G1215" s="20"/>
      <c r="H1215" s="20"/>
      <c r="I1215" s="20"/>
      <c r="J1215" s="20"/>
      <c r="K1215" s="18" t="str">
        <f aca="false">IF(COUNT($F1215:$J1215)=0,"",SUM($F1215:$J1215))</f>
        <v/>
      </c>
      <c r="L1215" s="18" t="str">
        <f aca="false">IF(COUNT($F1215:$J1215)=0,"",MAX($F1215:$J1215))</f>
        <v/>
      </c>
      <c r="M1215" s="18" t="str">
        <f aca="false">IFERROR(IF(OR($C1215="",COUNT($F1215:$J1215)&lt;3),"",IF(N(INDEX(Lists!$C$2:$C$40,MATCH($C1215,Lists!$A$2:$A$40,0)))=0,"",IF(MIN($F1215:$J1215)&gt;=INDEX(Lists!$C$2:$C$40,MATCH($C1215,Lists!$A$2:$A$40,0)),"LEVEL UP",""))),"")</f>
        <v/>
      </c>
      <c r="N1215" s="20"/>
      <c r="O1215" s="19"/>
    </row>
    <row r="1216" customFormat="false" ht="15" hidden="false" customHeight="false" outlineLevel="0" collapsed="false">
      <c r="A1216" s="17"/>
      <c r="B1216" s="18" t="str">
        <f aca="false">IF($A1216="","",TEXT($A1216,"ddd"))</f>
        <v/>
      </c>
      <c r="C1216" s="19"/>
      <c r="D1216" s="19"/>
      <c r="E1216" s="18" t="str">
        <f aca="false">IF($C1216="","",IFERROR(INDEX(Lists!$B$2:$B$40,MATCH($C1216,Lists!$A$2:$A$40,0)),""))</f>
        <v/>
      </c>
      <c r="F1216" s="20"/>
      <c r="G1216" s="20"/>
      <c r="H1216" s="20"/>
      <c r="I1216" s="20"/>
      <c r="J1216" s="20"/>
      <c r="K1216" s="18" t="str">
        <f aca="false">IF(COUNT($F1216:$J1216)=0,"",SUM($F1216:$J1216))</f>
        <v/>
      </c>
      <c r="L1216" s="18" t="str">
        <f aca="false">IF(COUNT($F1216:$J1216)=0,"",MAX($F1216:$J1216))</f>
        <v/>
      </c>
      <c r="M1216" s="18" t="str">
        <f aca="false">IFERROR(IF(OR($C1216="",COUNT($F1216:$J1216)&lt;3),"",IF(N(INDEX(Lists!$C$2:$C$40,MATCH($C1216,Lists!$A$2:$A$40,0)))=0,"",IF(MIN($F1216:$J1216)&gt;=INDEX(Lists!$C$2:$C$40,MATCH($C1216,Lists!$A$2:$A$40,0)),"LEVEL UP",""))),"")</f>
        <v/>
      </c>
      <c r="N1216" s="20"/>
      <c r="O1216" s="19"/>
    </row>
    <row r="1217" customFormat="false" ht="15" hidden="false" customHeight="false" outlineLevel="0" collapsed="false">
      <c r="A1217" s="17"/>
      <c r="B1217" s="18" t="str">
        <f aca="false">IF($A1217="","",TEXT($A1217,"ddd"))</f>
        <v/>
      </c>
      <c r="C1217" s="19"/>
      <c r="D1217" s="19"/>
      <c r="E1217" s="18" t="str">
        <f aca="false">IF($C1217="","",IFERROR(INDEX(Lists!$B$2:$B$40,MATCH($C1217,Lists!$A$2:$A$40,0)),""))</f>
        <v/>
      </c>
      <c r="F1217" s="20"/>
      <c r="G1217" s="20"/>
      <c r="H1217" s="20"/>
      <c r="I1217" s="20"/>
      <c r="J1217" s="20"/>
      <c r="K1217" s="18" t="str">
        <f aca="false">IF(COUNT($F1217:$J1217)=0,"",SUM($F1217:$J1217))</f>
        <v/>
      </c>
      <c r="L1217" s="18" t="str">
        <f aca="false">IF(COUNT($F1217:$J1217)=0,"",MAX($F1217:$J1217))</f>
        <v/>
      </c>
      <c r="M1217" s="18" t="str">
        <f aca="false">IFERROR(IF(OR($C1217="",COUNT($F1217:$J1217)&lt;3),"",IF(N(INDEX(Lists!$C$2:$C$40,MATCH($C1217,Lists!$A$2:$A$40,0)))=0,"",IF(MIN($F1217:$J1217)&gt;=INDEX(Lists!$C$2:$C$40,MATCH($C1217,Lists!$A$2:$A$40,0)),"LEVEL UP",""))),"")</f>
        <v/>
      </c>
      <c r="N1217" s="20"/>
      <c r="O1217" s="19"/>
    </row>
    <row r="1218" customFormat="false" ht="15" hidden="false" customHeight="false" outlineLevel="0" collapsed="false">
      <c r="A1218" s="17"/>
      <c r="B1218" s="18" t="str">
        <f aca="false">IF($A1218="","",TEXT($A1218,"ddd"))</f>
        <v/>
      </c>
      <c r="C1218" s="19"/>
      <c r="D1218" s="19"/>
      <c r="E1218" s="18" t="str">
        <f aca="false">IF($C1218="","",IFERROR(INDEX(Lists!$B$2:$B$40,MATCH($C1218,Lists!$A$2:$A$40,0)),""))</f>
        <v/>
      </c>
      <c r="F1218" s="20"/>
      <c r="G1218" s="20"/>
      <c r="H1218" s="20"/>
      <c r="I1218" s="20"/>
      <c r="J1218" s="20"/>
      <c r="K1218" s="18" t="str">
        <f aca="false">IF(COUNT($F1218:$J1218)=0,"",SUM($F1218:$J1218))</f>
        <v/>
      </c>
      <c r="L1218" s="18" t="str">
        <f aca="false">IF(COUNT($F1218:$J1218)=0,"",MAX($F1218:$J1218))</f>
        <v/>
      </c>
      <c r="M1218" s="18" t="str">
        <f aca="false">IFERROR(IF(OR($C1218="",COUNT($F1218:$J1218)&lt;3),"",IF(N(INDEX(Lists!$C$2:$C$40,MATCH($C1218,Lists!$A$2:$A$40,0)))=0,"",IF(MIN($F1218:$J1218)&gt;=INDEX(Lists!$C$2:$C$40,MATCH($C1218,Lists!$A$2:$A$40,0)),"LEVEL UP",""))),"")</f>
        <v/>
      </c>
      <c r="N1218" s="20"/>
      <c r="O1218" s="19"/>
    </row>
    <row r="1219" customFormat="false" ht="15" hidden="false" customHeight="false" outlineLevel="0" collapsed="false">
      <c r="A1219" s="17"/>
      <c r="B1219" s="18" t="str">
        <f aca="false">IF($A1219="","",TEXT($A1219,"ddd"))</f>
        <v/>
      </c>
      <c r="C1219" s="19"/>
      <c r="D1219" s="19"/>
      <c r="E1219" s="18" t="str">
        <f aca="false">IF($C1219="","",IFERROR(INDEX(Lists!$B$2:$B$40,MATCH($C1219,Lists!$A$2:$A$40,0)),""))</f>
        <v/>
      </c>
      <c r="F1219" s="20"/>
      <c r="G1219" s="20"/>
      <c r="H1219" s="20"/>
      <c r="I1219" s="20"/>
      <c r="J1219" s="20"/>
      <c r="K1219" s="18" t="str">
        <f aca="false">IF(COUNT($F1219:$J1219)=0,"",SUM($F1219:$J1219))</f>
        <v/>
      </c>
      <c r="L1219" s="18" t="str">
        <f aca="false">IF(COUNT($F1219:$J1219)=0,"",MAX($F1219:$J1219))</f>
        <v/>
      </c>
      <c r="M1219" s="18" t="str">
        <f aca="false">IFERROR(IF(OR($C1219="",COUNT($F1219:$J1219)&lt;3),"",IF(N(INDEX(Lists!$C$2:$C$40,MATCH($C1219,Lists!$A$2:$A$40,0)))=0,"",IF(MIN($F1219:$J1219)&gt;=INDEX(Lists!$C$2:$C$40,MATCH($C1219,Lists!$A$2:$A$40,0)),"LEVEL UP",""))),"")</f>
        <v/>
      </c>
      <c r="N1219" s="20"/>
      <c r="O1219" s="19"/>
    </row>
    <row r="1220" customFormat="false" ht="15" hidden="false" customHeight="false" outlineLevel="0" collapsed="false">
      <c r="A1220" s="17"/>
      <c r="B1220" s="18" t="str">
        <f aca="false">IF($A1220="","",TEXT($A1220,"ddd"))</f>
        <v/>
      </c>
      <c r="C1220" s="19"/>
      <c r="D1220" s="19"/>
      <c r="E1220" s="18" t="str">
        <f aca="false">IF($C1220="","",IFERROR(INDEX(Lists!$B$2:$B$40,MATCH($C1220,Lists!$A$2:$A$40,0)),""))</f>
        <v/>
      </c>
      <c r="F1220" s="20"/>
      <c r="G1220" s="20"/>
      <c r="H1220" s="20"/>
      <c r="I1220" s="20"/>
      <c r="J1220" s="20"/>
      <c r="K1220" s="18" t="str">
        <f aca="false">IF(COUNT($F1220:$J1220)=0,"",SUM($F1220:$J1220))</f>
        <v/>
      </c>
      <c r="L1220" s="18" t="str">
        <f aca="false">IF(COUNT($F1220:$J1220)=0,"",MAX($F1220:$J1220))</f>
        <v/>
      </c>
      <c r="M1220" s="18" t="str">
        <f aca="false">IFERROR(IF(OR($C1220="",COUNT($F1220:$J1220)&lt;3),"",IF(N(INDEX(Lists!$C$2:$C$40,MATCH($C1220,Lists!$A$2:$A$40,0)))=0,"",IF(MIN($F1220:$J1220)&gt;=INDEX(Lists!$C$2:$C$40,MATCH($C1220,Lists!$A$2:$A$40,0)),"LEVEL UP",""))),"")</f>
        <v/>
      </c>
      <c r="N1220" s="20"/>
      <c r="O1220" s="19"/>
    </row>
    <row r="1221" customFormat="false" ht="15" hidden="false" customHeight="false" outlineLevel="0" collapsed="false">
      <c r="A1221" s="17"/>
      <c r="B1221" s="18" t="str">
        <f aca="false">IF($A1221="","",TEXT($A1221,"ddd"))</f>
        <v/>
      </c>
      <c r="C1221" s="19"/>
      <c r="D1221" s="19"/>
      <c r="E1221" s="18" t="str">
        <f aca="false">IF($C1221="","",IFERROR(INDEX(Lists!$B$2:$B$40,MATCH($C1221,Lists!$A$2:$A$40,0)),""))</f>
        <v/>
      </c>
      <c r="F1221" s="20"/>
      <c r="G1221" s="20"/>
      <c r="H1221" s="20"/>
      <c r="I1221" s="20"/>
      <c r="J1221" s="20"/>
      <c r="K1221" s="18" t="str">
        <f aca="false">IF(COUNT($F1221:$J1221)=0,"",SUM($F1221:$J1221))</f>
        <v/>
      </c>
      <c r="L1221" s="18" t="str">
        <f aca="false">IF(COUNT($F1221:$J1221)=0,"",MAX($F1221:$J1221))</f>
        <v/>
      </c>
      <c r="M1221" s="18" t="str">
        <f aca="false">IFERROR(IF(OR($C1221="",COUNT($F1221:$J1221)&lt;3),"",IF(N(INDEX(Lists!$C$2:$C$40,MATCH($C1221,Lists!$A$2:$A$40,0)))=0,"",IF(MIN($F1221:$J1221)&gt;=INDEX(Lists!$C$2:$C$40,MATCH($C1221,Lists!$A$2:$A$40,0)),"LEVEL UP",""))),"")</f>
        <v/>
      </c>
      <c r="N1221" s="20"/>
      <c r="O1221" s="19"/>
    </row>
    <row r="1222" customFormat="false" ht="15" hidden="false" customHeight="false" outlineLevel="0" collapsed="false">
      <c r="A1222" s="17"/>
      <c r="B1222" s="18" t="str">
        <f aca="false">IF($A1222="","",TEXT($A1222,"ddd"))</f>
        <v/>
      </c>
      <c r="C1222" s="19"/>
      <c r="D1222" s="19"/>
      <c r="E1222" s="18" t="str">
        <f aca="false">IF($C1222="","",IFERROR(INDEX(Lists!$B$2:$B$40,MATCH($C1222,Lists!$A$2:$A$40,0)),""))</f>
        <v/>
      </c>
      <c r="F1222" s="20"/>
      <c r="G1222" s="20"/>
      <c r="H1222" s="20"/>
      <c r="I1222" s="20"/>
      <c r="J1222" s="20"/>
      <c r="K1222" s="18" t="str">
        <f aca="false">IF(COUNT($F1222:$J1222)=0,"",SUM($F1222:$J1222))</f>
        <v/>
      </c>
      <c r="L1222" s="18" t="str">
        <f aca="false">IF(COUNT($F1222:$J1222)=0,"",MAX($F1222:$J1222))</f>
        <v/>
      </c>
      <c r="M1222" s="18" t="str">
        <f aca="false">IFERROR(IF(OR($C1222="",COUNT($F1222:$J1222)&lt;3),"",IF(N(INDEX(Lists!$C$2:$C$40,MATCH($C1222,Lists!$A$2:$A$40,0)))=0,"",IF(MIN($F1222:$J1222)&gt;=INDEX(Lists!$C$2:$C$40,MATCH($C1222,Lists!$A$2:$A$40,0)),"LEVEL UP",""))),"")</f>
        <v/>
      </c>
      <c r="N1222" s="20"/>
      <c r="O1222" s="19"/>
    </row>
    <row r="1223" customFormat="false" ht="15" hidden="false" customHeight="false" outlineLevel="0" collapsed="false">
      <c r="A1223" s="17"/>
      <c r="B1223" s="18" t="str">
        <f aca="false">IF($A1223="","",TEXT($A1223,"ddd"))</f>
        <v/>
      </c>
      <c r="C1223" s="19"/>
      <c r="D1223" s="19"/>
      <c r="E1223" s="18" t="str">
        <f aca="false">IF($C1223="","",IFERROR(INDEX(Lists!$B$2:$B$40,MATCH($C1223,Lists!$A$2:$A$40,0)),""))</f>
        <v/>
      </c>
      <c r="F1223" s="20"/>
      <c r="G1223" s="20"/>
      <c r="H1223" s="20"/>
      <c r="I1223" s="20"/>
      <c r="J1223" s="20"/>
      <c r="K1223" s="18" t="str">
        <f aca="false">IF(COUNT($F1223:$J1223)=0,"",SUM($F1223:$J1223))</f>
        <v/>
      </c>
      <c r="L1223" s="18" t="str">
        <f aca="false">IF(COUNT($F1223:$J1223)=0,"",MAX($F1223:$J1223))</f>
        <v/>
      </c>
      <c r="M1223" s="18" t="str">
        <f aca="false">IFERROR(IF(OR($C1223="",COUNT($F1223:$J1223)&lt;3),"",IF(N(INDEX(Lists!$C$2:$C$40,MATCH($C1223,Lists!$A$2:$A$40,0)))=0,"",IF(MIN($F1223:$J1223)&gt;=INDEX(Lists!$C$2:$C$40,MATCH($C1223,Lists!$A$2:$A$40,0)),"LEVEL UP",""))),"")</f>
        <v/>
      </c>
      <c r="N1223" s="20"/>
      <c r="O1223" s="19"/>
    </row>
    <row r="1224" customFormat="false" ht="15" hidden="false" customHeight="false" outlineLevel="0" collapsed="false">
      <c r="A1224" s="17"/>
      <c r="B1224" s="18" t="str">
        <f aca="false">IF($A1224="","",TEXT($A1224,"ddd"))</f>
        <v/>
      </c>
      <c r="C1224" s="19"/>
      <c r="D1224" s="19"/>
      <c r="E1224" s="18" t="str">
        <f aca="false">IF($C1224="","",IFERROR(INDEX(Lists!$B$2:$B$40,MATCH($C1224,Lists!$A$2:$A$40,0)),""))</f>
        <v/>
      </c>
      <c r="F1224" s="20"/>
      <c r="G1224" s="20"/>
      <c r="H1224" s="20"/>
      <c r="I1224" s="20"/>
      <c r="J1224" s="20"/>
      <c r="K1224" s="18" t="str">
        <f aca="false">IF(COUNT($F1224:$J1224)=0,"",SUM($F1224:$J1224))</f>
        <v/>
      </c>
      <c r="L1224" s="18" t="str">
        <f aca="false">IF(COUNT($F1224:$J1224)=0,"",MAX($F1224:$J1224))</f>
        <v/>
      </c>
      <c r="M1224" s="18" t="str">
        <f aca="false">IFERROR(IF(OR($C1224="",COUNT($F1224:$J1224)&lt;3),"",IF(N(INDEX(Lists!$C$2:$C$40,MATCH($C1224,Lists!$A$2:$A$40,0)))=0,"",IF(MIN($F1224:$J1224)&gt;=INDEX(Lists!$C$2:$C$40,MATCH($C1224,Lists!$A$2:$A$40,0)),"LEVEL UP",""))),"")</f>
        <v/>
      </c>
      <c r="N1224" s="20"/>
      <c r="O1224" s="19"/>
    </row>
    <row r="1225" customFormat="false" ht="15" hidden="false" customHeight="false" outlineLevel="0" collapsed="false">
      <c r="A1225" s="17"/>
      <c r="B1225" s="18" t="str">
        <f aca="false">IF($A1225="","",TEXT($A1225,"ddd"))</f>
        <v/>
      </c>
      <c r="C1225" s="19"/>
      <c r="D1225" s="19"/>
      <c r="E1225" s="18" t="str">
        <f aca="false">IF($C1225="","",IFERROR(INDEX(Lists!$B$2:$B$40,MATCH($C1225,Lists!$A$2:$A$40,0)),""))</f>
        <v/>
      </c>
      <c r="F1225" s="20"/>
      <c r="G1225" s="20"/>
      <c r="H1225" s="20"/>
      <c r="I1225" s="20"/>
      <c r="J1225" s="20"/>
      <c r="K1225" s="18" t="str">
        <f aca="false">IF(COUNT($F1225:$J1225)=0,"",SUM($F1225:$J1225))</f>
        <v/>
      </c>
      <c r="L1225" s="18" t="str">
        <f aca="false">IF(COUNT($F1225:$J1225)=0,"",MAX($F1225:$J1225))</f>
        <v/>
      </c>
      <c r="M1225" s="18" t="str">
        <f aca="false">IFERROR(IF(OR($C1225="",COUNT($F1225:$J1225)&lt;3),"",IF(N(INDEX(Lists!$C$2:$C$40,MATCH($C1225,Lists!$A$2:$A$40,0)))=0,"",IF(MIN($F1225:$J1225)&gt;=INDEX(Lists!$C$2:$C$40,MATCH($C1225,Lists!$A$2:$A$40,0)),"LEVEL UP",""))),"")</f>
        <v/>
      </c>
      <c r="N1225" s="20"/>
      <c r="O1225" s="19"/>
    </row>
    <row r="1226" customFormat="false" ht="15" hidden="false" customHeight="false" outlineLevel="0" collapsed="false">
      <c r="A1226" s="17"/>
      <c r="B1226" s="18" t="str">
        <f aca="false">IF($A1226="","",TEXT($A1226,"ddd"))</f>
        <v/>
      </c>
      <c r="C1226" s="19"/>
      <c r="D1226" s="19"/>
      <c r="E1226" s="18" t="str">
        <f aca="false">IF($C1226="","",IFERROR(INDEX(Lists!$B$2:$B$40,MATCH($C1226,Lists!$A$2:$A$40,0)),""))</f>
        <v/>
      </c>
      <c r="F1226" s="20"/>
      <c r="G1226" s="20"/>
      <c r="H1226" s="20"/>
      <c r="I1226" s="20"/>
      <c r="J1226" s="20"/>
      <c r="K1226" s="18" t="str">
        <f aca="false">IF(COUNT($F1226:$J1226)=0,"",SUM($F1226:$J1226))</f>
        <v/>
      </c>
      <c r="L1226" s="18" t="str">
        <f aca="false">IF(COUNT($F1226:$J1226)=0,"",MAX($F1226:$J1226))</f>
        <v/>
      </c>
      <c r="M1226" s="18" t="str">
        <f aca="false">IFERROR(IF(OR($C1226="",COUNT($F1226:$J1226)&lt;3),"",IF(N(INDEX(Lists!$C$2:$C$40,MATCH($C1226,Lists!$A$2:$A$40,0)))=0,"",IF(MIN($F1226:$J1226)&gt;=INDEX(Lists!$C$2:$C$40,MATCH($C1226,Lists!$A$2:$A$40,0)),"LEVEL UP",""))),"")</f>
        <v/>
      </c>
      <c r="N1226" s="20"/>
      <c r="O1226" s="19"/>
    </row>
    <row r="1227" customFormat="false" ht="15" hidden="false" customHeight="false" outlineLevel="0" collapsed="false">
      <c r="A1227" s="17"/>
      <c r="B1227" s="18" t="str">
        <f aca="false">IF($A1227="","",TEXT($A1227,"ddd"))</f>
        <v/>
      </c>
      <c r="C1227" s="19"/>
      <c r="D1227" s="19"/>
      <c r="E1227" s="18" t="str">
        <f aca="false">IF($C1227="","",IFERROR(INDEX(Lists!$B$2:$B$40,MATCH($C1227,Lists!$A$2:$A$40,0)),""))</f>
        <v/>
      </c>
      <c r="F1227" s="20"/>
      <c r="G1227" s="20"/>
      <c r="H1227" s="20"/>
      <c r="I1227" s="20"/>
      <c r="J1227" s="20"/>
      <c r="K1227" s="18" t="str">
        <f aca="false">IF(COUNT($F1227:$J1227)=0,"",SUM($F1227:$J1227))</f>
        <v/>
      </c>
      <c r="L1227" s="18" t="str">
        <f aca="false">IF(COUNT($F1227:$J1227)=0,"",MAX($F1227:$J1227))</f>
        <v/>
      </c>
      <c r="M1227" s="18" t="str">
        <f aca="false">IFERROR(IF(OR($C1227="",COUNT($F1227:$J1227)&lt;3),"",IF(N(INDEX(Lists!$C$2:$C$40,MATCH($C1227,Lists!$A$2:$A$40,0)))=0,"",IF(MIN($F1227:$J1227)&gt;=INDEX(Lists!$C$2:$C$40,MATCH($C1227,Lists!$A$2:$A$40,0)),"LEVEL UP",""))),"")</f>
        <v/>
      </c>
      <c r="N1227" s="20"/>
      <c r="O1227" s="19"/>
    </row>
    <row r="1228" customFormat="false" ht="15" hidden="false" customHeight="false" outlineLevel="0" collapsed="false">
      <c r="A1228" s="17"/>
      <c r="B1228" s="18" t="str">
        <f aca="false">IF($A1228="","",TEXT($A1228,"ddd"))</f>
        <v/>
      </c>
      <c r="C1228" s="19"/>
      <c r="D1228" s="19"/>
      <c r="E1228" s="18" t="str">
        <f aca="false">IF($C1228="","",IFERROR(INDEX(Lists!$B$2:$B$40,MATCH($C1228,Lists!$A$2:$A$40,0)),""))</f>
        <v/>
      </c>
      <c r="F1228" s="20"/>
      <c r="G1228" s="20"/>
      <c r="H1228" s="20"/>
      <c r="I1228" s="20"/>
      <c r="J1228" s="20"/>
      <c r="K1228" s="18" t="str">
        <f aca="false">IF(COUNT($F1228:$J1228)=0,"",SUM($F1228:$J1228))</f>
        <v/>
      </c>
      <c r="L1228" s="18" t="str">
        <f aca="false">IF(COUNT($F1228:$J1228)=0,"",MAX($F1228:$J1228))</f>
        <v/>
      </c>
      <c r="M1228" s="18" t="str">
        <f aca="false">IFERROR(IF(OR($C1228="",COUNT($F1228:$J1228)&lt;3),"",IF(N(INDEX(Lists!$C$2:$C$40,MATCH($C1228,Lists!$A$2:$A$40,0)))=0,"",IF(MIN($F1228:$J1228)&gt;=INDEX(Lists!$C$2:$C$40,MATCH($C1228,Lists!$A$2:$A$40,0)),"LEVEL UP",""))),"")</f>
        <v/>
      </c>
      <c r="N1228" s="20"/>
      <c r="O1228" s="19"/>
    </row>
    <row r="1229" customFormat="false" ht="15" hidden="false" customHeight="false" outlineLevel="0" collapsed="false">
      <c r="A1229" s="17"/>
      <c r="B1229" s="18" t="str">
        <f aca="false">IF($A1229="","",TEXT($A1229,"ddd"))</f>
        <v/>
      </c>
      <c r="C1229" s="19"/>
      <c r="D1229" s="19"/>
      <c r="E1229" s="18" t="str">
        <f aca="false">IF($C1229="","",IFERROR(INDEX(Lists!$B$2:$B$40,MATCH($C1229,Lists!$A$2:$A$40,0)),""))</f>
        <v/>
      </c>
      <c r="F1229" s="20"/>
      <c r="G1229" s="20"/>
      <c r="H1229" s="20"/>
      <c r="I1229" s="20"/>
      <c r="J1229" s="20"/>
      <c r="K1229" s="18" t="str">
        <f aca="false">IF(COUNT($F1229:$J1229)=0,"",SUM($F1229:$J1229))</f>
        <v/>
      </c>
      <c r="L1229" s="18" t="str">
        <f aca="false">IF(COUNT($F1229:$J1229)=0,"",MAX($F1229:$J1229))</f>
        <v/>
      </c>
      <c r="M1229" s="18" t="str">
        <f aca="false">IFERROR(IF(OR($C1229="",COUNT($F1229:$J1229)&lt;3),"",IF(N(INDEX(Lists!$C$2:$C$40,MATCH($C1229,Lists!$A$2:$A$40,0)))=0,"",IF(MIN($F1229:$J1229)&gt;=INDEX(Lists!$C$2:$C$40,MATCH($C1229,Lists!$A$2:$A$40,0)),"LEVEL UP",""))),"")</f>
        <v/>
      </c>
      <c r="N1229" s="20"/>
      <c r="O1229" s="19"/>
    </row>
    <row r="1230" customFormat="false" ht="15" hidden="false" customHeight="false" outlineLevel="0" collapsed="false">
      <c r="A1230" s="17"/>
      <c r="B1230" s="18" t="str">
        <f aca="false">IF($A1230="","",TEXT($A1230,"ddd"))</f>
        <v/>
      </c>
      <c r="C1230" s="19"/>
      <c r="D1230" s="19"/>
      <c r="E1230" s="18" t="str">
        <f aca="false">IF($C1230="","",IFERROR(INDEX(Lists!$B$2:$B$40,MATCH($C1230,Lists!$A$2:$A$40,0)),""))</f>
        <v/>
      </c>
      <c r="F1230" s="20"/>
      <c r="G1230" s="20"/>
      <c r="H1230" s="20"/>
      <c r="I1230" s="20"/>
      <c r="J1230" s="20"/>
      <c r="K1230" s="18" t="str">
        <f aca="false">IF(COUNT($F1230:$J1230)=0,"",SUM($F1230:$J1230))</f>
        <v/>
      </c>
      <c r="L1230" s="18" t="str">
        <f aca="false">IF(COUNT($F1230:$J1230)=0,"",MAX($F1230:$J1230))</f>
        <v/>
      </c>
      <c r="M1230" s="18" t="str">
        <f aca="false">IFERROR(IF(OR($C1230="",COUNT($F1230:$J1230)&lt;3),"",IF(N(INDEX(Lists!$C$2:$C$40,MATCH($C1230,Lists!$A$2:$A$40,0)))=0,"",IF(MIN($F1230:$J1230)&gt;=INDEX(Lists!$C$2:$C$40,MATCH($C1230,Lists!$A$2:$A$40,0)),"LEVEL UP",""))),"")</f>
        <v/>
      </c>
      <c r="N1230" s="20"/>
      <c r="O1230" s="19"/>
    </row>
    <row r="1231" customFormat="false" ht="15" hidden="false" customHeight="false" outlineLevel="0" collapsed="false">
      <c r="A1231" s="17"/>
      <c r="B1231" s="18" t="str">
        <f aca="false">IF($A1231="","",TEXT($A1231,"ddd"))</f>
        <v/>
      </c>
      <c r="C1231" s="19"/>
      <c r="D1231" s="19"/>
      <c r="E1231" s="18" t="str">
        <f aca="false">IF($C1231="","",IFERROR(INDEX(Lists!$B$2:$B$40,MATCH($C1231,Lists!$A$2:$A$40,0)),""))</f>
        <v/>
      </c>
      <c r="F1231" s="20"/>
      <c r="G1231" s="20"/>
      <c r="H1231" s="20"/>
      <c r="I1231" s="20"/>
      <c r="J1231" s="20"/>
      <c r="K1231" s="18" t="str">
        <f aca="false">IF(COUNT($F1231:$J1231)=0,"",SUM($F1231:$J1231))</f>
        <v/>
      </c>
      <c r="L1231" s="18" t="str">
        <f aca="false">IF(COUNT($F1231:$J1231)=0,"",MAX($F1231:$J1231))</f>
        <v/>
      </c>
      <c r="M1231" s="18" t="str">
        <f aca="false">IFERROR(IF(OR($C1231="",COUNT($F1231:$J1231)&lt;3),"",IF(N(INDEX(Lists!$C$2:$C$40,MATCH($C1231,Lists!$A$2:$A$40,0)))=0,"",IF(MIN($F1231:$J1231)&gt;=INDEX(Lists!$C$2:$C$40,MATCH($C1231,Lists!$A$2:$A$40,0)),"LEVEL UP",""))),"")</f>
        <v/>
      </c>
      <c r="N1231" s="20"/>
      <c r="O1231" s="19"/>
    </row>
    <row r="1232" customFormat="false" ht="15" hidden="false" customHeight="false" outlineLevel="0" collapsed="false">
      <c r="A1232" s="17"/>
      <c r="B1232" s="18" t="str">
        <f aca="false">IF($A1232="","",TEXT($A1232,"ddd"))</f>
        <v/>
      </c>
      <c r="C1232" s="19"/>
      <c r="D1232" s="19"/>
      <c r="E1232" s="18" t="str">
        <f aca="false">IF($C1232="","",IFERROR(INDEX(Lists!$B$2:$B$40,MATCH($C1232,Lists!$A$2:$A$40,0)),""))</f>
        <v/>
      </c>
      <c r="F1232" s="20"/>
      <c r="G1232" s="20"/>
      <c r="H1232" s="20"/>
      <c r="I1232" s="20"/>
      <c r="J1232" s="20"/>
      <c r="K1232" s="18" t="str">
        <f aca="false">IF(COUNT($F1232:$J1232)=0,"",SUM($F1232:$J1232))</f>
        <v/>
      </c>
      <c r="L1232" s="18" t="str">
        <f aca="false">IF(COUNT($F1232:$J1232)=0,"",MAX($F1232:$J1232))</f>
        <v/>
      </c>
      <c r="M1232" s="18" t="str">
        <f aca="false">IFERROR(IF(OR($C1232="",COUNT($F1232:$J1232)&lt;3),"",IF(N(INDEX(Lists!$C$2:$C$40,MATCH($C1232,Lists!$A$2:$A$40,0)))=0,"",IF(MIN($F1232:$J1232)&gt;=INDEX(Lists!$C$2:$C$40,MATCH($C1232,Lists!$A$2:$A$40,0)),"LEVEL UP",""))),"")</f>
        <v/>
      </c>
      <c r="N1232" s="20"/>
      <c r="O1232" s="19"/>
    </row>
    <row r="1233" customFormat="false" ht="15" hidden="false" customHeight="false" outlineLevel="0" collapsed="false">
      <c r="A1233" s="17"/>
      <c r="B1233" s="18" t="str">
        <f aca="false">IF($A1233="","",TEXT($A1233,"ddd"))</f>
        <v/>
      </c>
      <c r="C1233" s="19"/>
      <c r="D1233" s="19"/>
      <c r="E1233" s="18" t="str">
        <f aca="false">IF($C1233="","",IFERROR(INDEX(Lists!$B$2:$B$40,MATCH($C1233,Lists!$A$2:$A$40,0)),""))</f>
        <v/>
      </c>
      <c r="F1233" s="20"/>
      <c r="G1233" s="20"/>
      <c r="H1233" s="20"/>
      <c r="I1233" s="20"/>
      <c r="J1233" s="20"/>
      <c r="K1233" s="18" t="str">
        <f aca="false">IF(COUNT($F1233:$J1233)=0,"",SUM($F1233:$J1233))</f>
        <v/>
      </c>
      <c r="L1233" s="18" t="str">
        <f aca="false">IF(COUNT($F1233:$J1233)=0,"",MAX($F1233:$J1233))</f>
        <v/>
      </c>
      <c r="M1233" s="18" t="str">
        <f aca="false">IFERROR(IF(OR($C1233="",COUNT($F1233:$J1233)&lt;3),"",IF(N(INDEX(Lists!$C$2:$C$40,MATCH($C1233,Lists!$A$2:$A$40,0)))=0,"",IF(MIN($F1233:$J1233)&gt;=INDEX(Lists!$C$2:$C$40,MATCH($C1233,Lists!$A$2:$A$40,0)),"LEVEL UP",""))),"")</f>
        <v/>
      </c>
      <c r="N1233" s="20"/>
      <c r="O1233" s="19"/>
    </row>
    <row r="1234" customFormat="false" ht="15" hidden="false" customHeight="false" outlineLevel="0" collapsed="false">
      <c r="A1234" s="17"/>
      <c r="B1234" s="18" t="str">
        <f aca="false">IF($A1234="","",TEXT($A1234,"ddd"))</f>
        <v/>
      </c>
      <c r="C1234" s="19"/>
      <c r="D1234" s="19"/>
      <c r="E1234" s="18" t="str">
        <f aca="false">IF($C1234="","",IFERROR(INDEX(Lists!$B$2:$B$40,MATCH($C1234,Lists!$A$2:$A$40,0)),""))</f>
        <v/>
      </c>
      <c r="F1234" s="20"/>
      <c r="G1234" s="20"/>
      <c r="H1234" s="20"/>
      <c r="I1234" s="20"/>
      <c r="J1234" s="20"/>
      <c r="K1234" s="18" t="str">
        <f aca="false">IF(COUNT($F1234:$J1234)=0,"",SUM($F1234:$J1234))</f>
        <v/>
      </c>
      <c r="L1234" s="18" t="str">
        <f aca="false">IF(COUNT($F1234:$J1234)=0,"",MAX($F1234:$J1234))</f>
        <v/>
      </c>
      <c r="M1234" s="18" t="str">
        <f aca="false">IFERROR(IF(OR($C1234="",COUNT($F1234:$J1234)&lt;3),"",IF(N(INDEX(Lists!$C$2:$C$40,MATCH($C1234,Lists!$A$2:$A$40,0)))=0,"",IF(MIN($F1234:$J1234)&gt;=INDEX(Lists!$C$2:$C$40,MATCH($C1234,Lists!$A$2:$A$40,0)),"LEVEL UP",""))),"")</f>
        <v/>
      </c>
      <c r="N1234" s="20"/>
      <c r="O1234" s="19"/>
    </row>
    <row r="1235" customFormat="false" ht="15" hidden="false" customHeight="false" outlineLevel="0" collapsed="false">
      <c r="A1235" s="17"/>
      <c r="B1235" s="18" t="str">
        <f aca="false">IF($A1235="","",TEXT($A1235,"ddd"))</f>
        <v/>
      </c>
      <c r="C1235" s="19"/>
      <c r="D1235" s="19"/>
      <c r="E1235" s="18" t="str">
        <f aca="false">IF($C1235="","",IFERROR(INDEX(Lists!$B$2:$B$40,MATCH($C1235,Lists!$A$2:$A$40,0)),""))</f>
        <v/>
      </c>
      <c r="F1235" s="20"/>
      <c r="G1235" s="20"/>
      <c r="H1235" s="20"/>
      <c r="I1235" s="20"/>
      <c r="J1235" s="20"/>
      <c r="K1235" s="18" t="str">
        <f aca="false">IF(COUNT($F1235:$J1235)=0,"",SUM($F1235:$J1235))</f>
        <v/>
      </c>
      <c r="L1235" s="18" t="str">
        <f aca="false">IF(COUNT($F1235:$J1235)=0,"",MAX($F1235:$J1235))</f>
        <v/>
      </c>
      <c r="M1235" s="18" t="str">
        <f aca="false">IFERROR(IF(OR($C1235="",COUNT($F1235:$J1235)&lt;3),"",IF(N(INDEX(Lists!$C$2:$C$40,MATCH($C1235,Lists!$A$2:$A$40,0)))=0,"",IF(MIN($F1235:$J1235)&gt;=INDEX(Lists!$C$2:$C$40,MATCH($C1235,Lists!$A$2:$A$40,0)),"LEVEL UP",""))),"")</f>
        <v/>
      </c>
      <c r="N1235" s="20"/>
      <c r="O1235" s="19"/>
    </row>
    <row r="1236" customFormat="false" ht="15" hidden="false" customHeight="false" outlineLevel="0" collapsed="false">
      <c r="A1236" s="17"/>
      <c r="B1236" s="18" t="str">
        <f aca="false">IF($A1236="","",TEXT($A1236,"ddd"))</f>
        <v/>
      </c>
      <c r="C1236" s="19"/>
      <c r="D1236" s="19"/>
      <c r="E1236" s="18" t="str">
        <f aca="false">IF($C1236="","",IFERROR(INDEX(Lists!$B$2:$B$40,MATCH($C1236,Lists!$A$2:$A$40,0)),""))</f>
        <v/>
      </c>
      <c r="F1236" s="20"/>
      <c r="G1236" s="20"/>
      <c r="H1236" s="20"/>
      <c r="I1236" s="20"/>
      <c r="J1236" s="20"/>
      <c r="K1236" s="18" t="str">
        <f aca="false">IF(COUNT($F1236:$J1236)=0,"",SUM($F1236:$J1236))</f>
        <v/>
      </c>
      <c r="L1236" s="18" t="str">
        <f aca="false">IF(COUNT($F1236:$J1236)=0,"",MAX($F1236:$J1236))</f>
        <v/>
      </c>
      <c r="M1236" s="18" t="str">
        <f aca="false">IFERROR(IF(OR($C1236="",COUNT($F1236:$J1236)&lt;3),"",IF(N(INDEX(Lists!$C$2:$C$40,MATCH($C1236,Lists!$A$2:$A$40,0)))=0,"",IF(MIN($F1236:$J1236)&gt;=INDEX(Lists!$C$2:$C$40,MATCH($C1236,Lists!$A$2:$A$40,0)),"LEVEL UP",""))),"")</f>
        <v/>
      </c>
      <c r="N1236" s="20"/>
      <c r="O1236" s="19"/>
    </row>
    <row r="1237" customFormat="false" ht="15" hidden="false" customHeight="false" outlineLevel="0" collapsed="false">
      <c r="A1237" s="17"/>
      <c r="B1237" s="18" t="str">
        <f aca="false">IF($A1237="","",TEXT($A1237,"ddd"))</f>
        <v/>
      </c>
      <c r="C1237" s="19"/>
      <c r="D1237" s="19"/>
      <c r="E1237" s="18" t="str">
        <f aca="false">IF($C1237="","",IFERROR(INDEX(Lists!$B$2:$B$40,MATCH($C1237,Lists!$A$2:$A$40,0)),""))</f>
        <v/>
      </c>
      <c r="F1237" s="20"/>
      <c r="G1237" s="20"/>
      <c r="H1237" s="20"/>
      <c r="I1237" s="20"/>
      <c r="J1237" s="20"/>
      <c r="K1237" s="18" t="str">
        <f aca="false">IF(COUNT($F1237:$J1237)=0,"",SUM($F1237:$J1237))</f>
        <v/>
      </c>
      <c r="L1237" s="18" t="str">
        <f aca="false">IF(COUNT($F1237:$J1237)=0,"",MAX($F1237:$J1237))</f>
        <v/>
      </c>
      <c r="M1237" s="18" t="str">
        <f aca="false">IFERROR(IF(OR($C1237="",COUNT($F1237:$J1237)&lt;3),"",IF(N(INDEX(Lists!$C$2:$C$40,MATCH($C1237,Lists!$A$2:$A$40,0)))=0,"",IF(MIN($F1237:$J1237)&gt;=INDEX(Lists!$C$2:$C$40,MATCH($C1237,Lists!$A$2:$A$40,0)),"LEVEL UP",""))),"")</f>
        <v/>
      </c>
      <c r="N1237" s="20"/>
      <c r="O1237" s="19"/>
    </row>
    <row r="1238" customFormat="false" ht="15" hidden="false" customHeight="false" outlineLevel="0" collapsed="false">
      <c r="A1238" s="17"/>
      <c r="B1238" s="18" t="str">
        <f aca="false">IF($A1238="","",TEXT($A1238,"ddd"))</f>
        <v/>
      </c>
      <c r="C1238" s="19"/>
      <c r="D1238" s="19"/>
      <c r="E1238" s="18" t="str">
        <f aca="false">IF($C1238="","",IFERROR(INDEX(Lists!$B$2:$B$40,MATCH($C1238,Lists!$A$2:$A$40,0)),""))</f>
        <v/>
      </c>
      <c r="F1238" s="20"/>
      <c r="G1238" s="20"/>
      <c r="H1238" s="20"/>
      <c r="I1238" s="20"/>
      <c r="J1238" s="20"/>
      <c r="K1238" s="18" t="str">
        <f aca="false">IF(COUNT($F1238:$J1238)=0,"",SUM($F1238:$J1238))</f>
        <v/>
      </c>
      <c r="L1238" s="18" t="str">
        <f aca="false">IF(COUNT($F1238:$J1238)=0,"",MAX($F1238:$J1238))</f>
        <v/>
      </c>
      <c r="M1238" s="18" t="str">
        <f aca="false">IFERROR(IF(OR($C1238="",COUNT($F1238:$J1238)&lt;3),"",IF(N(INDEX(Lists!$C$2:$C$40,MATCH($C1238,Lists!$A$2:$A$40,0)))=0,"",IF(MIN($F1238:$J1238)&gt;=INDEX(Lists!$C$2:$C$40,MATCH($C1238,Lists!$A$2:$A$40,0)),"LEVEL UP",""))),"")</f>
        <v/>
      </c>
      <c r="N1238" s="20"/>
      <c r="O1238" s="19"/>
    </row>
    <row r="1239" customFormat="false" ht="15" hidden="false" customHeight="false" outlineLevel="0" collapsed="false">
      <c r="A1239" s="17"/>
      <c r="B1239" s="18" t="str">
        <f aca="false">IF($A1239="","",TEXT($A1239,"ddd"))</f>
        <v/>
      </c>
      <c r="C1239" s="19"/>
      <c r="D1239" s="19"/>
      <c r="E1239" s="18" t="str">
        <f aca="false">IF($C1239="","",IFERROR(INDEX(Lists!$B$2:$B$40,MATCH($C1239,Lists!$A$2:$A$40,0)),""))</f>
        <v/>
      </c>
      <c r="F1239" s="20"/>
      <c r="G1239" s="20"/>
      <c r="H1239" s="20"/>
      <c r="I1239" s="20"/>
      <c r="J1239" s="20"/>
      <c r="K1239" s="18" t="str">
        <f aca="false">IF(COUNT($F1239:$J1239)=0,"",SUM($F1239:$J1239))</f>
        <v/>
      </c>
      <c r="L1239" s="18" t="str">
        <f aca="false">IF(COUNT($F1239:$J1239)=0,"",MAX($F1239:$J1239))</f>
        <v/>
      </c>
      <c r="M1239" s="18" t="str">
        <f aca="false">IFERROR(IF(OR($C1239="",COUNT($F1239:$J1239)&lt;3),"",IF(N(INDEX(Lists!$C$2:$C$40,MATCH($C1239,Lists!$A$2:$A$40,0)))=0,"",IF(MIN($F1239:$J1239)&gt;=INDEX(Lists!$C$2:$C$40,MATCH($C1239,Lists!$A$2:$A$40,0)),"LEVEL UP",""))),"")</f>
        <v/>
      </c>
      <c r="N1239" s="20"/>
      <c r="O1239" s="19"/>
    </row>
    <row r="1240" customFormat="false" ht="15" hidden="false" customHeight="false" outlineLevel="0" collapsed="false">
      <c r="A1240" s="17"/>
      <c r="B1240" s="18" t="str">
        <f aca="false">IF($A1240="","",TEXT($A1240,"ddd"))</f>
        <v/>
      </c>
      <c r="C1240" s="19"/>
      <c r="D1240" s="19"/>
      <c r="E1240" s="18" t="str">
        <f aca="false">IF($C1240="","",IFERROR(INDEX(Lists!$B$2:$B$40,MATCH($C1240,Lists!$A$2:$A$40,0)),""))</f>
        <v/>
      </c>
      <c r="F1240" s="20"/>
      <c r="G1240" s="20"/>
      <c r="H1240" s="20"/>
      <c r="I1240" s="20"/>
      <c r="J1240" s="20"/>
      <c r="K1240" s="18" t="str">
        <f aca="false">IF(COUNT($F1240:$J1240)=0,"",SUM($F1240:$J1240))</f>
        <v/>
      </c>
      <c r="L1240" s="18" t="str">
        <f aca="false">IF(COUNT($F1240:$J1240)=0,"",MAX($F1240:$J1240))</f>
        <v/>
      </c>
      <c r="M1240" s="18" t="str">
        <f aca="false">IFERROR(IF(OR($C1240="",COUNT($F1240:$J1240)&lt;3),"",IF(N(INDEX(Lists!$C$2:$C$40,MATCH($C1240,Lists!$A$2:$A$40,0)))=0,"",IF(MIN($F1240:$J1240)&gt;=INDEX(Lists!$C$2:$C$40,MATCH($C1240,Lists!$A$2:$A$40,0)),"LEVEL UP",""))),"")</f>
        <v/>
      </c>
      <c r="N1240" s="20"/>
      <c r="O1240" s="19"/>
    </row>
    <row r="1241" customFormat="false" ht="15" hidden="false" customHeight="false" outlineLevel="0" collapsed="false">
      <c r="A1241" s="17"/>
      <c r="B1241" s="18" t="str">
        <f aca="false">IF($A1241="","",TEXT($A1241,"ddd"))</f>
        <v/>
      </c>
      <c r="C1241" s="19"/>
      <c r="D1241" s="19"/>
      <c r="E1241" s="18" t="str">
        <f aca="false">IF($C1241="","",IFERROR(INDEX(Lists!$B$2:$B$40,MATCH($C1241,Lists!$A$2:$A$40,0)),""))</f>
        <v/>
      </c>
      <c r="F1241" s="20"/>
      <c r="G1241" s="20"/>
      <c r="H1241" s="20"/>
      <c r="I1241" s="20"/>
      <c r="J1241" s="20"/>
      <c r="K1241" s="18" t="str">
        <f aca="false">IF(COUNT($F1241:$J1241)=0,"",SUM($F1241:$J1241))</f>
        <v/>
      </c>
      <c r="L1241" s="18" t="str">
        <f aca="false">IF(COUNT($F1241:$J1241)=0,"",MAX($F1241:$J1241))</f>
        <v/>
      </c>
      <c r="M1241" s="18" t="str">
        <f aca="false">IFERROR(IF(OR($C1241="",COUNT($F1241:$J1241)&lt;3),"",IF(N(INDEX(Lists!$C$2:$C$40,MATCH($C1241,Lists!$A$2:$A$40,0)))=0,"",IF(MIN($F1241:$J1241)&gt;=INDEX(Lists!$C$2:$C$40,MATCH($C1241,Lists!$A$2:$A$40,0)),"LEVEL UP",""))),"")</f>
        <v/>
      </c>
      <c r="N1241" s="20"/>
      <c r="O1241" s="19"/>
    </row>
    <row r="1242" customFormat="false" ht="15" hidden="false" customHeight="false" outlineLevel="0" collapsed="false">
      <c r="A1242" s="17"/>
      <c r="B1242" s="18" t="str">
        <f aca="false">IF($A1242="","",TEXT($A1242,"ddd"))</f>
        <v/>
      </c>
      <c r="C1242" s="19"/>
      <c r="D1242" s="19"/>
      <c r="E1242" s="18" t="str">
        <f aca="false">IF($C1242="","",IFERROR(INDEX(Lists!$B$2:$B$40,MATCH($C1242,Lists!$A$2:$A$40,0)),""))</f>
        <v/>
      </c>
      <c r="F1242" s="20"/>
      <c r="G1242" s="20"/>
      <c r="H1242" s="20"/>
      <c r="I1242" s="20"/>
      <c r="J1242" s="20"/>
      <c r="K1242" s="18" t="str">
        <f aca="false">IF(COUNT($F1242:$J1242)=0,"",SUM($F1242:$J1242))</f>
        <v/>
      </c>
      <c r="L1242" s="18" t="str">
        <f aca="false">IF(COUNT($F1242:$J1242)=0,"",MAX($F1242:$J1242))</f>
        <v/>
      </c>
      <c r="M1242" s="18" t="str">
        <f aca="false">IFERROR(IF(OR($C1242="",COUNT($F1242:$J1242)&lt;3),"",IF(N(INDEX(Lists!$C$2:$C$40,MATCH($C1242,Lists!$A$2:$A$40,0)))=0,"",IF(MIN($F1242:$J1242)&gt;=INDEX(Lists!$C$2:$C$40,MATCH($C1242,Lists!$A$2:$A$40,0)),"LEVEL UP",""))),"")</f>
        <v/>
      </c>
      <c r="N1242" s="20"/>
      <c r="O1242" s="19"/>
    </row>
    <row r="1243" customFormat="false" ht="15" hidden="false" customHeight="false" outlineLevel="0" collapsed="false">
      <c r="A1243" s="17"/>
      <c r="B1243" s="18" t="str">
        <f aca="false">IF($A1243="","",TEXT($A1243,"ddd"))</f>
        <v/>
      </c>
      <c r="C1243" s="19"/>
      <c r="D1243" s="19"/>
      <c r="E1243" s="18" t="str">
        <f aca="false">IF($C1243="","",IFERROR(INDEX(Lists!$B$2:$B$40,MATCH($C1243,Lists!$A$2:$A$40,0)),""))</f>
        <v/>
      </c>
      <c r="F1243" s="20"/>
      <c r="G1243" s="20"/>
      <c r="H1243" s="20"/>
      <c r="I1243" s="20"/>
      <c r="J1243" s="20"/>
      <c r="K1243" s="18" t="str">
        <f aca="false">IF(COUNT($F1243:$J1243)=0,"",SUM($F1243:$J1243))</f>
        <v/>
      </c>
      <c r="L1243" s="18" t="str">
        <f aca="false">IF(COUNT($F1243:$J1243)=0,"",MAX($F1243:$J1243))</f>
        <v/>
      </c>
      <c r="M1243" s="18" t="str">
        <f aca="false">IFERROR(IF(OR($C1243="",COUNT($F1243:$J1243)&lt;3),"",IF(N(INDEX(Lists!$C$2:$C$40,MATCH($C1243,Lists!$A$2:$A$40,0)))=0,"",IF(MIN($F1243:$J1243)&gt;=INDEX(Lists!$C$2:$C$40,MATCH($C1243,Lists!$A$2:$A$40,0)),"LEVEL UP",""))),"")</f>
        <v/>
      </c>
      <c r="N1243" s="20"/>
      <c r="O1243" s="19"/>
    </row>
    <row r="1244" customFormat="false" ht="15" hidden="false" customHeight="false" outlineLevel="0" collapsed="false">
      <c r="A1244" s="17"/>
      <c r="B1244" s="18" t="str">
        <f aca="false">IF($A1244="","",TEXT($A1244,"ddd"))</f>
        <v/>
      </c>
      <c r="C1244" s="19"/>
      <c r="D1244" s="19"/>
      <c r="E1244" s="18" t="str">
        <f aca="false">IF($C1244="","",IFERROR(INDEX(Lists!$B$2:$B$40,MATCH($C1244,Lists!$A$2:$A$40,0)),""))</f>
        <v/>
      </c>
      <c r="F1244" s="20"/>
      <c r="G1244" s="20"/>
      <c r="H1244" s="20"/>
      <c r="I1244" s="20"/>
      <c r="J1244" s="20"/>
      <c r="K1244" s="18" t="str">
        <f aca="false">IF(COUNT($F1244:$J1244)=0,"",SUM($F1244:$J1244))</f>
        <v/>
      </c>
      <c r="L1244" s="18" t="str">
        <f aca="false">IF(COUNT($F1244:$J1244)=0,"",MAX($F1244:$J1244))</f>
        <v/>
      </c>
      <c r="M1244" s="18" t="str">
        <f aca="false">IFERROR(IF(OR($C1244="",COUNT($F1244:$J1244)&lt;3),"",IF(N(INDEX(Lists!$C$2:$C$40,MATCH($C1244,Lists!$A$2:$A$40,0)))=0,"",IF(MIN($F1244:$J1244)&gt;=INDEX(Lists!$C$2:$C$40,MATCH($C1244,Lists!$A$2:$A$40,0)),"LEVEL UP",""))),"")</f>
        <v/>
      </c>
      <c r="N1244" s="20"/>
      <c r="O1244" s="19"/>
    </row>
    <row r="1245" customFormat="false" ht="15" hidden="false" customHeight="false" outlineLevel="0" collapsed="false">
      <c r="A1245" s="17"/>
      <c r="B1245" s="18" t="str">
        <f aca="false">IF($A1245="","",TEXT($A1245,"ddd"))</f>
        <v/>
      </c>
      <c r="C1245" s="19"/>
      <c r="D1245" s="19"/>
      <c r="E1245" s="18" t="str">
        <f aca="false">IF($C1245="","",IFERROR(INDEX(Lists!$B$2:$B$40,MATCH($C1245,Lists!$A$2:$A$40,0)),""))</f>
        <v/>
      </c>
      <c r="F1245" s="20"/>
      <c r="G1245" s="20"/>
      <c r="H1245" s="20"/>
      <c r="I1245" s="20"/>
      <c r="J1245" s="20"/>
      <c r="K1245" s="18" t="str">
        <f aca="false">IF(COUNT($F1245:$J1245)=0,"",SUM($F1245:$J1245))</f>
        <v/>
      </c>
      <c r="L1245" s="18" t="str">
        <f aca="false">IF(COUNT($F1245:$J1245)=0,"",MAX($F1245:$J1245))</f>
        <v/>
      </c>
      <c r="M1245" s="18" t="str">
        <f aca="false">IFERROR(IF(OR($C1245="",COUNT($F1245:$J1245)&lt;3),"",IF(N(INDEX(Lists!$C$2:$C$40,MATCH($C1245,Lists!$A$2:$A$40,0)))=0,"",IF(MIN($F1245:$J1245)&gt;=INDEX(Lists!$C$2:$C$40,MATCH($C1245,Lists!$A$2:$A$40,0)),"LEVEL UP",""))),"")</f>
        <v/>
      </c>
      <c r="N1245" s="20"/>
      <c r="O1245" s="19"/>
    </row>
    <row r="1246" customFormat="false" ht="15" hidden="false" customHeight="false" outlineLevel="0" collapsed="false">
      <c r="A1246" s="17"/>
      <c r="B1246" s="18" t="str">
        <f aca="false">IF($A1246="","",TEXT($A1246,"ddd"))</f>
        <v/>
      </c>
      <c r="C1246" s="19"/>
      <c r="D1246" s="19"/>
      <c r="E1246" s="18" t="str">
        <f aca="false">IF($C1246="","",IFERROR(INDEX(Lists!$B$2:$B$40,MATCH($C1246,Lists!$A$2:$A$40,0)),""))</f>
        <v/>
      </c>
      <c r="F1246" s="20"/>
      <c r="G1246" s="20"/>
      <c r="H1246" s="20"/>
      <c r="I1246" s="20"/>
      <c r="J1246" s="20"/>
      <c r="K1246" s="18" t="str">
        <f aca="false">IF(COUNT($F1246:$J1246)=0,"",SUM($F1246:$J1246))</f>
        <v/>
      </c>
      <c r="L1246" s="18" t="str">
        <f aca="false">IF(COUNT($F1246:$J1246)=0,"",MAX($F1246:$J1246))</f>
        <v/>
      </c>
      <c r="M1246" s="18" t="str">
        <f aca="false">IFERROR(IF(OR($C1246="",COUNT($F1246:$J1246)&lt;3),"",IF(N(INDEX(Lists!$C$2:$C$40,MATCH($C1246,Lists!$A$2:$A$40,0)))=0,"",IF(MIN($F1246:$J1246)&gt;=INDEX(Lists!$C$2:$C$40,MATCH($C1246,Lists!$A$2:$A$40,0)),"LEVEL UP",""))),"")</f>
        <v/>
      </c>
      <c r="N1246" s="20"/>
      <c r="O1246" s="19"/>
    </row>
    <row r="1247" customFormat="false" ht="15" hidden="false" customHeight="false" outlineLevel="0" collapsed="false">
      <c r="A1247" s="17"/>
      <c r="B1247" s="18" t="str">
        <f aca="false">IF($A1247="","",TEXT($A1247,"ddd"))</f>
        <v/>
      </c>
      <c r="C1247" s="19"/>
      <c r="D1247" s="19"/>
      <c r="E1247" s="18" t="str">
        <f aca="false">IF($C1247="","",IFERROR(INDEX(Lists!$B$2:$B$40,MATCH($C1247,Lists!$A$2:$A$40,0)),""))</f>
        <v/>
      </c>
      <c r="F1247" s="20"/>
      <c r="G1247" s="20"/>
      <c r="H1247" s="20"/>
      <c r="I1247" s="20"/>
      <c r="J1247" s="20"/>
      <c r="K1247" s="18" t="str">
        <f aca="false">IF(COUNT($F1247:$J1247)=0,"",SUM($F1247:$J1247))</f>
        <v/>
      </c>
      <c r="L1247" s="18" t="str">
        <f aca="false">IF(COUNT($F1247:$J1247)=0,"",MAX($F1247:$J1247))</f>
        <v/>
      </c>
      <c r="M1247" s="18" t="str">
        <f aca="false">IFERROR(IF(OR($C1247="",COUNT($F1247:$J1247)&lt;3),"",IF(N(INDEX(Lists!$C$2:$C$40,MATCH($C1247,Lists!$A$2:$A$40,0)))=0,"",IF(MIN($F1247:$J1247)&gt;=INDEX(Lists!$C$2:$C$40,MATCH($C1247,Lists!$A$2:$A$40,0)),"LEVEL UP",""))),"")</f>
        <v/>
      </c>
      <c r="N1247" s="20"/>
      <c r="O1247" s="19"/>
    </row>
    <row r="1248" customFormat="false" ht="15" hidden="false" customHeight="false" outlineLevel="0" collapsed="false">
      <c r="A1248" s="17"/>
      <c r="B1248" s="18" t="str">
        <f aca="false">IF($A1248="","",TEXT($A1248,"ddd"))</f>
        <v/>
      </c>
      <c r="C1248" s="19"/>
      <c r="D1248" s="19"/>
      <c r="E1248" s="18" t="str">
        <f aca="false">IF($C1248="","",IFERROR(INDEX(Lists!$B$2:$B$40,MATCH($C1248,Lists!$A$2:$A$40,0)),""))</f>
        <v/>
      </c>
      <c r="F1248" s="20"/>
      <c r="G1248" s="20"/>
      <c r="H1248" s="20"/>
      <c r="I1248" s="20"/>
      <c r="J1248" s="20"/>
      <c r="K1248" s="18" t="str">
        <f aca="false">IF(COUNT($F1248:$J1248)=0,"",SUM($F1248:$J1248))</f>
        <v/>
      </c>
      <c r="L1248" s="18" t="str">
        <f aca="false">IF(COUNT($F1248:$J1248)=0,"",MAX($F1248:$J1248))</f>
        <v/>
      </c>
      <c r="M1248" s="18" t="str">
        <f aca="false">IFERROR(IF(OR($C1248="",COUNT($F1248:$J1248)&lt;3),"",IF(N(INDEX(Lists!$C$2:$C$40,MATCH($C1248,Lists!$A$2:$A$40,0)))=0,"",IF(MIN($F1248:$J1248)&gt;=INDEX(Lists!$C$2:$C$40,MATCH($C1248,Lists!$A$2:$A$40,0)),"LEVEL UP",""))),"")</f>
        <v/>
      </c>
      <c r="N1248" s="20"/>
      <c r="O1248" s="19"/>
    </row>
    <row r="1249" customFormat="false" ht="15" hidden="false" customHeight="false" outlineLevel="0" collapsed="false">
      <c r="A1249" s="17"/>
      <c r="B1249" s="18" t="str">
        <f aca="false">IF($A1249="","",TEXT($A1249,"ddd"))</f>
        <v/>
      </c>
      <c r="C1249" s="19"/>
      <c r="D1249" s="19"/>
      <c r="E1249" s="18" t="str">
        <f aca="false">IF($C1249="","",IFERROR(INDEX(Lists!$B$2:$B$40,MATCH($C1249,Lists!$A$2:$A$40,0)),""))</f>
        <v/>
      </c>
      <c r="F1249" s="20"/>
      <c r="G1249" s="20"/>
      <c r="H1249" s="20"/>
      <c r="I1249" s="20"/>
      <c r="J1249" s="20"/>
      <c r="K1249" s="18" t="str">
        <f aca="false">IF(COUNT($F1249:$J1249)=0,"",SUM($F1249:$J1249))</f>
        <v/>
      </c>
      <c r="L1249" s="18" t="str">
        <f aca="false">IF(COUNT($F1249:$J1249)=0,"",MAX($F1249:$J1249))</f>
        <v/>
      </c>
      <c r="M1249" s="18" t="str">
        <f aca="false">IFERROR(IF(OR($C1249="",COUNT($F1249:$J1249)&lt;3),"",IF(N(INDEX(Lists!$C$2:$C$40,MATCH($C1249,Lists!$A$2:$A$40,0)))=0,"",IF(MIN($F1249:$J1249)&gt;=INDEX(Lists!$C$2:$C$40,MATCH($C1249,Lists!$A$2:$A$40,0)),"LEVEL UP",""))),"")</f>
        <v/>
      </c>
      <c r="N1249" s="20"/>
      <c r="O1249" s="19"/>
    </row>
    <row r="1250" customFormat="false" ht="15" hidden="false" customHeight="false" outlineLevel="0" collapsed="false">
      <c r="A1250" s="17"/>
      <c r="B1250" s="18" t="str">
        <f aca="false">IF($A1250="","",TEXT($A1250,"ddd"))</f>
        <v/>
      </c>
      <c r="C1250" s="19"/>
      <c r="D1250" s="19"/>
      <c r="E1250" s="18" t="str">
        <f aca="false">IF($C1250="","",IFERROR(INDEX(Lists!$B$2:$B$40,MATCH($C1250,Lists!$A$2:$A$40,0)),""))</f>
        <v/>
      </c>
      <c r="F1250" s="20"/>
      <c r="G1250" s="20"/>
      <c r="H1250" s="20"/>
      <c r="I1250" s="20"/>
      <c r="J1250" s="20"/>
      <c r="K1250" s="18" t="str">
        <f aca="false">IF(COUNT($F1250:$J1250)=0,"",SUM($F1250:$J1250))</f>
        <v/>
      </c>
      <c r="L1250" s="18" t="str">
        <f aca="false">IF(COUNT($F1250:$J1250)=0,"",MAX($F1250:$J1250))</f>
        <v/>
      </c>
      <c r="M1250" s="18" t="str">
        <f aca="false">IFERROR(IF(OR($C1250="",COUNT($F1250:$J1250)&lt;3),"",IF(N(INDEX(Lists!$C$2:$C$40,MATCH($C1250,Lists!$A$2:$A$40,0)))=0,"",IF(MIN($F1250:$J1250)&gt;=INDEX(Lists!$C$2:$C$40,MATCH($C1250,Lists!$A$2:$A$40,0)),"LEVEL UP",""))),"")</f>
        <v/>
      </c>
      <c r="N1250" s="20"/>
      <c r="O1250" s="19"/>
    </row>
    <row r="1251" customFormat="false" ht="15" hidden="false" customHeight="false" outlineLevel="0" collapsed="false">
      <c r="A1251" s="17"/>
      <c r="B1251" s="18" t="str">
        <f aca="false">IF($A1251="","",TEXT($A1251,"ddd"))</f>
        <v/>
      </c>
      <c r="C1251" s="19"/>
      <c r="D1251" s="19"/>
      <c r="E1251" s="18" t="str">
        <f aca="false">IF($C1251="","",IFERROR(INDEX(Lists!$B$2:$B$40,MATCH($C1251,Lists!$A$2:$A$40,0)),""))</f>
        <v/>
      </c>
      <c r="F1251" s="20"/>
      <c r="G1251" s="20"/>
      <c r="H1251" s="20"/>
      <c r="I1251" s="20"/>
      <c r="J1251" s="20"/>
      <c r="K1251" s="18" t="str">
        <f aca="false">IF(COUNT($F1251:$J1251)=0,"",SUM($F1251:$J1251))</f>
        <v/>
      </c>
      <c r="L1251" s="18" t="str">
        <f aca="false">IF(COUNT($F1251:$J1251)=0,"",MAX($F1251:$J1251))</f>
        <v/>
      </c>
      <c r="M1251" s="18" t="str">
        <f aca="false">IFERROR(IF(OR($C1251="",COUNT($F1251:$J1251)&lt;3),"",IF(N(INDEX(Lists!$C$2:$C$40,MATCH($C1251,Lists!$A$2:$A$40,0)))=0,"",IF(MIN($F1251:$J1251)&gt;=INDEX(Lists!$C$2:$C$40,MATCH($C1251,Lists!$A$2:$A$40,0)),"LEVEL UP",""))),"")</f>
        <v/>
      </c>
      <c r="N1251" s="20"/>
      <c r="O1251" s="19"/>
    </row>
    <row r="1252" customFormat="false" ht="15" hidden="false" customHeight="false" outlineLevel="0" collapsed="false">
      <c r="A1252" s="17"/>
      <c r="B1252" s="18" t="str">
        <f aca="false">IF($A1252="","",TEXT($A1252,"ddd"))</f>
        <v/>
      </c>
      <c r="C1252" s="19"/>
      <c r="D1252" s="19"/>
      <c r="E1252" s="18" t="str">
        <f aca="false">IF($C1252="","",IFERROR(INDEX(Lists!$B$2:$B$40,MATCH($C1252,Lists!$A$2:$A$40,0)),""))</f>
        <v/>
      </c>
      <c r="F1252" s="20"/>
      <c r="G1252" s="20"/>
      <c r="H1252" s="20"/>
      <c r="I1252" s="20"/>
      <c r="J1252" s="20"/>
      <c r="K1252" s="18" t="str">
        <f aca="false">IF(COUNT($F1252:$J1252)=0,"",SUM($F1252:$J1252))</f>
        <v/>
      </c>
      <c r="L1252" s="18" t="str">
        <f aca="false">IF(COUNT($F1252:$J1252)=0,"",MAX($F1252:$J1252))</f>
        <v/>
      </c>
      <c r="M1252" s="18" t="str">
        <f aca="false">IFERROR(IF(OR($C1252="",COUNT($F1252:$J1252)&lt;3),"",IF(N(INDEX(Lists!$C$2:$C$40,MATCH($C1252,Lists!$A$2:$A$40,0)))=0,"",IF(MIN($F1252:$J1252)&gt;=INDEX(Lists!$C$2:$C$40,MATCH($C1252,Lists!$A$2:$A$40,0)),"LEVEL UP",""))),"")</f>
        <v/>
      </c>
      <c r="N1252" s="20"/>
      <c r="O1252" s="19"/>
    </row>
    <row r="1253" customFormat="false" ht="15" hidden="false" customHeight="false" outlineLevel="0" collapsed="false">
      <c r="A1253" s="17"/>
      <c r="B1253" s="18" t="str">
        <f aca="false">IF($A1253="","",TEXT($A1253,"ddd"))</f>
        <v/>
      </c>
      <c r="C1253" s="19"/>
      <c r="D1253" s="19"/>
      <c r="E1253" s="18" t="str">
        <f aca="false">IF($C1253="","",IFERROR(INDEX(Lists!$B$2:$B$40,MATCH($C1253,Lists!$A$2:$A$40,0)),""))</f>
        <v/>
      </c>
      <c r="F1253" s="20"/>
      <c r="G1253" s="20"/>
      <c r="H1253" s="20"/>
      <c r="I1253" s="20"/>
      <c r="J1253" s="20"/>
      <c r="K1253" s="18" t="str">
        <f aca="false">IF(COUNT($F1253:$J1253)=0,"",SUM($F1253:$J1253))</f>
        <v/>
      </c>
      <c r="L1253" s="18" t="str">
        <f aca="false">IF(COUNT($F1253:$J1253)=0,"",MAX($F1253:$J1253))</f>
        <v/>
      </c>
      <c r="M1253" s="18" t="str">
        <f aca="false">IFERROR(IF(OR($C1253="",COUNT($F1253:$J1253)&lt;3),"",IF(N(INDEX(Lists!$C$2:$C$40,MATCH($C1253,Lists!$A$2:$A$40,0)))=0,"",IF(MIN($F1253:$J1253)&gt;=INDEX(Lists!$C$2:$C$40,MATCH($C1253,Lists!$A$2:$A$40,0)),"LEVEL UP",""))),"")</f>
        <v/>
      </c>
      <c r="N1253" s="20"/>
      <c r="O1253" s="19"/>
    </row>
    <row r="1254" customFormat="false" ht="15" hidden="false" customHeight="false" outlineLevel="0" collapsed="false">
      <c r="A1254" s="17"/>
      <c r="B1254" s="18" t="str">
        <f aca="false">IF($A1254="","",TEXT($A1254,"ddd"))</f>
        <v/>
      </c>
      <c r="C1254" s="19"/>
      <c r="D1254" s="19"/>
      <c r="E1254" s="18" t="str">
        <f aca="false">IF($C1254="","",IFERROR(INDEX(Lists!$B$2:$B$40,MATCH($C1254,Lists!$A$2:$A$40,0)),""))</f>
        <v/>
      </c>
      <c r="F1254" s="20"/>
      <c r="G1254" s="20"/>
      <c r="H1254" s="20"/>
      <c r="I1254" s="20"/>
      <c r="J1254" s="20"/>
      <c r="K1254" s="18" t="str">
        <f aca="false">IF(COUNT($F1254:$J1254)=0,"",SUM($F1254:$J1254))</f>
        <v/>
      </c>
      <c r="L1254" s="18" t="str">
        <f aca="false">IF(COUNT($F1254:$J1254)=0,"",MAX($F1254:$J1254))</f>
        <v/>
      </c>
      <c r="M1254" s="18" t="str">
        <f aca="false">IFERROR(IF(OR($C1254="",COUNT($F1254:$J1254)&lt;3),"",IF(N(INDEX(Lists!$C$2:$C$40,MATCH($C1254,Lists!$A$2:$A$40,0)))=0,"",IF(MIN($F1254:$J1254)&gt;=INDEX(Lists!$C$2:$C$40,MATCH($C1254,Lists!$A$2:$A$40,0)),"LEVEL UP",""))),"")</f>
        <v/>
      </c>
      <c r="N1254" s="20"/>
      <c r="O1254" s="19"/>
    </row>
    <row r="1255" customFormat="false" ht="15" hidden="false" customHeight="false" outlineLevel="0" collapsed="false">
      <c r="A1255" s="17"/>
      <c r="B1255" s="18" t="str">
        <f aca="false">IF($A1255="","",TEXT($A1255,"ddd"))</f>
        <v/>
      </c>
      <c r="C1255" s="19"/>
      <c r="D1255" s="19"/>
      <c r="E1255" s="18" t="str">
        <f aca="false">IF($C1255="","",IFERROR(INDEX(Lists!$B$2:$B$40,MATCH($C1255,Lists!$A$2:$A$40,0)),""))</f>
        <v/>
      </c>
      <c r="F1255" s="20"/>
      <c r="G1255" s="20"/>
      <c r="H1255" s="20"/>
      <c r="I1255" s="20"/>
      <c r="J1255" s="20"/>
      <c r="K1255" s="18" t="str">
        <f aca="false">IF(COUNT($F1255:$J1255)=0,"",SUM($F1255:$J1255))</f>
        <v/>
      </c>
      <c r="L1255" s="18" t="str">
        <f aca="false">IF(COUNT($F1255:$J1255)=0,"",MAX($F1255:$J1255))</f>
        <v/>
      </c>
      <c r="M1255" s="18" t="str">
        <f aca="false">IFERROR(IF(OR($C1255="",COUNT($F1255:$J1255)&lt;3),"",IF(N(INDEX(Lists!$C$2:$C$40,MATCH($C1255,Lists!$A$2:$A$40,0)))=0,"",IF(MIN($F1255:$J1255)&gt;=INDEX(Lists!$C$2:$C$40,MATCH($C1255,Lists!$A$2:$A$40,0)),"LEVEL UP",""))),"")</f>
        <v/>
      </c>
      <c r="N1255" s="20"/>
      <c r="O1255" s="19"/>
    </row>
    <row r="1256" customFormat="false" ht="15" hidden="false" customHeight="false" outlineLevel="0" collapsed="false">
      <c r="A1256" s="17"/>
      <c r="B1256" s="18" t="str">
        <f aca="false">IF($A1256="","",TEXT($A1256,"ddd"))</f>
        <v/>
      </c>
      <c r="C1256" s="19"/>
      <c r="D1256" s="19"/>
      <c r="E1256" s="18" t="str">
        <f aca="false">IF($C1256="","",IFERROR(INDEX(Lists!$B$2:$B$40,MATCH($C1256,Lists!$A$2:$A$40,0)),""))</f>
        <v/>
      </c>
      <c r="F1256" s="20"/>
      <c r="G1256" s="20"/>
      <c r="H1256" s="20"/>
      <c r="I1256" s="20"/>
      <c r="J1256" s="20"/>
      <c r="K1256" s="18" t="str">
        <f aca="false">IF(COUNT($F1256:$J1256)=0,"",SUM($F1256:$J1256))</f>
        <v/>
      </c>
      <c r="L1256" s="18" t="str">
        <f aca="false">IF(COUNT($F1256:$J1256)=0,"",MAX($F1256:$J1256))</f>
        <v/>
      </c>
      <c r="M1256" s="18" t="str">
        <f aca="false">IFERROR(IF(OR($C1256="",COUNT($F1256:$J1256)&lt;3),"",IF(N(INDEX(Lists!$C$2:$C$40,MATCH($C1256,Lists!$A$2:$A$40,0)))=0,"",IF(MIN($F1256:$J1256)&gt;=INDEX(Lists!$C$2:$C$40,MATCH($C1256,Lists!$A$2:$A$40,0)),"LEVEL UP",""))),"")</f>
        <v/>
      </c>
      <c r="N1256" s="20"/>
      <c r="O1256" s="19"/>
    </row>
    <row r="1257" customFormat="false" ht="15" hidden="false" customHeight="false" outlineLevel="0" collapsed="false">
      <c r="A1257" s="17"/>
      <c r="B1257" s="18" t="str">
        <f aca="false">IF($A1257="","",TEXT($A1257,"ddd"))</f>
        <v/>
      </c>
      <c r="C1257" s="19"/>
      <c r="D1257" s="19"/>
      <c r="E1257" s="18" t="str">
        <f aca="false">IF($C1257="","",IFERROR(INDEX(Lists!$B$2:$B$40,MATCH($C1257,Lists!$A$2:$A$40,0)),""))</f>
        <v/>
      </c>
      <c r="F1257" s="20"/>
      <c r="G1257" s="20"/>
      <c r="H1257" s="20"/>
      <c r="I1257" s="20"/>
      <c r="J1257" s="20"/>
      <c r="K1257" s="18" t="str">
        <f aca="false">IF(COUNT($F1257:$J1257)=0,"",SUM($F1257:$J1257))</f>
        <v/>
      </c>
      <c r="L1257" s="18" t="str">
        <f aca="false">IF(COUNT($F1257:$J1257)=0,"",MAX($F1257:$J1257))</f>
        <v/>
      </c>
      <c r="M1257" s="18" t="str">
        <f aca="false">IFERROR(IF(OR($C1257="",COUNT($F1257:$J1257)&lt;3),"",IF(N(INDEX(Lists!$C$2:$C$40,MATCH($C1257,Lists!$A$2:$A$40,0)))=0,"",IF(MIN($F1257:$J1257)&gt;=INDEX(Lists!$C$2:$C$40,MATCH($C1257,Lists!$A$2:$A$40,0)),"LEVEL UP",""))),"")</f>
        <v/>
      </c>
      <c r="N1257" s="20"/>
      <c r="O1257" s="19"/>
    </row>
    <row r="1258" customFormat="false" ht="15" hidden="false" customHeight="false" outlineLevel="0" collapsed="false">
      <c r="A1258" s="17"/>
      <c r="B1258" s="18" t="str">
        <f aca="false">IF($A1258="","",TEXT($A1258,"ddd"))</f>
        <v/>
      </c>
      <c r="C1258" s="19"/>
      <c r="D1258" s="19"/>
      <c r="E1258" s="18" t="str">
        <f aca="false">IF($C1258="","",IFERROR(INDEX(Lists!$B$2:$B$40,MATCH($C1258,Lists!$A$2:$A$40,0)),""))</f>
        <v/>
      </c>
      <c r="F1258" s="20"/>
      <c r="G1258" s="20"/>
      <c r="H1258" s="20"/>
      <c r="I1258" s="20"/>
      <c r="J1258" s="20"/>
      <c r="K1258" s="18" t="str">
        <f aca="false">IF(COUNT($F1258:$J1258)=0,"",SUM($F1258:$J1258))</f>
        <v/>
      </c>
      <c r="L1258" s="18" t="str">
        <f aca="false">IF(COUNT($F1258:$J1258)=0,"",MAX($F1258:$J1258))</f>
        <v/>
      </c>
      <c r="M1258" s="18" t="str">
        <f aca="false">IFERROR(IF(OR($C1258="",COUNT($F1258:$J1258)&lt;3),"",IF(N(INDEX(Lists!$C$2:$C$40,MATCH($C1258,Lists!$A$2:$A$40,0)))=0,"",IF(MIN($F1258:$J1258)&gt;=INDEX(Lists!$C$2:$C$40,MATCH($C1258,Lists!$A$2:$A$40,0)),"LEVEL UP",""))),"")</f>
        <v/>
      </c>
      <c r="N1258" s="20"/>
      <c r="O1258" s="19"/>
    </row>
    <row r="1259" customFormat="false" ht="15" hidden="false" customHeight="false" outlineLevel="0" collapsed="false">
      <c r="A1259" s="17"/>
      <c r="B1259" s="18" t="str">
        <f aca="false">IF($A1259="","",TEXT($A1259,"ddd"))</f>
        <v/>
      </c>
      <c r="C1259" s="19"/>
      <c r="D1259" s="19"/>
      <c r="E1259" s="18" t="str">
        <f aca="false">IF($C1259="","",IFERROR(INDEX(Lists!$B$2:$B$40,MATCH($C1259,Lists!$A$2:$A$40,0)),""))</f>
        <v/>
      </c>
      <c r="F1259" s="20"/>
      <c r="G1259" s="20"/>
      <c r="H1259" s="20"/>
      <c r="I1259" s="20"/>
      <c r="J1259" s="20"/>
      <c r="K1259" s="18" t="str">
        <f aca="false">IF(COUNT($F1259:$J1259)=0,"",SUM($F1259:$J1259))</f>
        <v/>
      </c>
      <c r="L1259" s="18" t="str">
        <f aca="false">IF(COUNT($F1259:$J1259)=0,"",MAX($F1259:$J1259))</f>
        <v/>
      </c>
      <c r="M1259" s="18" t="str">
        <f aca="false">IFERROR(IF(OR($C1259="",COUNT($F1259:$J1259)&lt;3),"",IF(N(INDEX(Lists!$C$2:$C$40,MATCH($C1259,Lists!$A$2:$A$40,0)))=0,"",IF(MIN($F1259:$J1259)&gt;=INDEX(Lists!$C$2:$C$40,MATCH($C1259,Lists!$A$2:$A$40,0)),"LEVEL UP",""))),"")</f>
        <v/>
      </c>
      <c r="N1259" s="20"/>
      <c r="O1259" s="19"/>
    </row>
    <row r="1260" customFormat="false" ht="15" hidden="false" customHeight="false" outlineLevel="0" collapsed="false">
      <c r="A1260" s="17"/>
      <c r="B1260" s="18" t="str">
        <f aca="false">IF($A1260="","",TEXT($A1260,"ddd"))</f>
        <v/>
      </c>
      <c r="C1260" s="19"/>
      <c r="D1260" s="19"/>
      <c r="E1260" s="18" t="str">
        <f aca="false">IF($C1260="","",IFERROR(INDEX(Lists!$B$2:$B$40,MATCH($C1260,Lists!$A$2:$A$40,0)),""))</f>
        <v/>
      </c>
      <c r="F1260" s="20"/>
      <c r="G1260" s="20"/>
      <c r="H1260" s="20"/>
      <c r="I1260" s="20"/>
      <c r="J1260" s="20"/>
      <c r="K1260" s="18" t="str">
        <f aca="false">IF(COUNT($F1260:$J1260)=0,"",SUM($F1260:$J1260))</f>
        <v/>
      </c>
      <c r="L1260" s="18" t="str">
        <f aca="false">IF(COUNT($F1260:$J1260)=0,"",MAX($F1260:$J1260))</f>
        <v/>
      </c>
      <c r="M1260" s="18" t="str">
        <f aca="false">IFERROR(IF(OR($C1260="",COUNT($F1260:$J1260)&lt;3),"",IF(N(INDEX(Lists!$C$2:$C$40,MATCH($C1260,Lists!$A$2:$A$40,0)))=0,"",IF(MIN($F1260:$J1260)&gt;=INDEX(Lists!$C$2:$C$40,MATCH($C1260,Lists!$A$2:$A$40,0)),"LEVEL UP",""))),"")</f>
        <v/>
      </c>
      <c r="N1260" s="20"/>
      <c r="O1260" s="19"/>
    </row>
    <row r="1261" customFormat="false" ht="15" hidden="false" customHeight="false" outlineLevel="0" collapsed="false">
      <c r="A1261" s="17"/>
      <c r="B1261" s="18" t="str">
        <f aca="false">IF($A1261="","",TEXT($A1261,"ddd"))</f>
        <v/>
      </c>
      <c r="C1261" s="19"/>
      <c r="D1261" s="19"/>
      <c r="E1261" s="18" t="str">
        <f aca="false">IF($C1261="","",IFERROR(INDEX(Lists!$B$2:$B$40,MATCH($C1261,Lists!$A$2:$A$40,0)),""))</f>
        <v/>
      </c>
      <c r="F1261" s="20"/>
      <c r="G1261" s="20"/>
      <c r="H1261" s="20"/>
      <c r="I1261" s="20"/>
      <c r="J1261" s="20"/>
      <c r="K1261" s="18" t="str">
        <f aca="false">IF(COUNT($F1261:$J1261)=0,"",SUM($F1261:$J1261))</f>
        <v/>
      </c>
      <c r="L1261" s="18" t="str">
        <f aca="false">IF(COUNT($F1261:$J1261)=0,"",MAX($F1261:$J1261))</f>
        <v/>
      </c>
      <c r="M1261" s="18" t="str">
        <f aca="false">IFERROR(IF(OR($C1261="",COUNT($F1261:$J1261)&lt;3),"",IF(N(INDEX(Lists!$C$2:$C$40,MATCH($C1261,Lists!$A$2:$A$40,0)))=0,"",IF(MIN($F1261:$J1261)&gt;=INDEX(Lists!$C$2:$C$40,MATCH($C1261,Lists!$A$2:$A$40,0)),"LEVEL UP",""))),"")</f>
        <v/>
      </c>
      <c r="N1261" s="20"/>
      <c r="O1261" s="19"/>
    </row>
    <row r="1262" customFormat="false" ht="15" hidden="false" customHeight="false" outlineLevel="0" collapsed="false">
      <c r="A1262" s="17"/>
      <c r="B1262" s="18" t="str">
        <f aca="false">IF($A1262="","",TEXT($A1262,"ddd"))</f>
        <v/>
      </c>
      <c r="C1262" s="19"/>
      <c r="D1262" s="19"/>
      <c r="E1262" s="18" t="str">
        <f aca="false">IF($C1262="","",IFERROR(INDEX(Lists!$B$2:$B$40,MATCH($C1262,Lists!$A$2:$A$40,0)),""))</f>
        <v/>
      </c>
      <c r="F1262" s="20"/>
      <c r="G1262" s="20"/>
      <c r="H1262" s="20"/>
      <c r="I1262" s="20"/>
      <c r="J1262" s="20"/>
      <c r="K1262" s="18" t="str">
        <f aca="false">IF(COUNT($F1262:$J1262)=0,"",SUM($F1262:$J1262))</f>
        <v/>
      </c>
      <c r="L1262" s="18" t="str">
        <f aca="false">IF(COUNT($F1262:$J1262)=0,"",MAX($F1262:$J1262))</f>
        <v/>
      </c>
      <c r="M1262" s="18" t="str">
        <f aca="false">IFERROR(IF(OR($C1262="",COUNT($F1262:$J1262)&lt;3),"",IF(N(INDEX(Lists!$C$2:$C$40,MATCH($C1262,Lists!$A$2:$A$40,0)))=0,"",IF(MIN($F1262:$J1262)&gt;=INDEX(Lists!$C$2:$C$40,MATCH($C1262,Lists!$A$2:$A$40,0)),"LEVEL UP",""))),"")</f>
        <v/>
      </c>
      <c r="N1262" s="20"/>
      <c r="O1262" s="19"/>
    </row>
    <row r="1263" customFormat="false" ht="15" hidden="false" customHeight="false" outlineLevel="0" collapsed="false">
      <c r="A1263" s="17"/>
      <c r="B1263" s="18" t="str">
        <f aca="false">IF($A1263="","",TEXT($A1263,"ddd"))</f>
        <v/>
      </c>
      <c r="C1263" s="19"/>
      <c r="D1263" s="19"/>
      <c r="E1263" s="18" t="str">
        <f aca="false">IF($C1263="","",IFERROR(INDEX(Lists!$B$2:$B$40,MATCH($C1263,Lists!$A$2:$A$40,0)),""))</f>
        <v/>
      </c>
      <c r="F1263" s="20"/>
      <c r="G1263" s="20"/>
      <c r="H1263" s="20"/>
      <c r="I1263" s="20"/>
      <c r="J1263" s="20"/>
      <c r="K1263" s="18" t="str">
        <f aca="false">IF(COUNT($F1263:$J1263)=0,"",SUM($F1263:$J1263))</f>
        <v/>
      </c>
      <c r="L1263" s="18" t="str">
        <f aca="false">IF(COUNT($F1263:$J1263)=0,"",MAX($F1263:$J1263))</f>
        <v/>
      </c>
      <c r="M1263" s="18" t="str">
        <f aca="false">IFERROR(IF(OR($C1263="",COUNT($F1263:$J1263)&lt;3),"",IF(N(INDEX(Lists!$C$2:$C$40,MATCH($C1263,Lists!$A$2:$A$40,0)))=0,"",IF(MIN($F1263:$J1263)&gt;=INDEX(Lists!$C$2:$C$40,MATCH($C1263,Lists!$A$2:$A$40,0)),"LEVEL UP",""))),"")</f>
        <v/>
      </c>
      <c r="N1263" s="20"/>
      <c r="O1263" s="19"/>
    </row>
    <row r="1264" customFormat="false" ht="15" hidden="false" customHeight="false" outlineLevel="0" collapsed="false">
      <c r="A1264" s="17"/>
      <c r="B1264" s="18" t="str">
        <f aca="false">IF($A1264="","",TEXT($A1264,"ddd"))</f>
        <v/>
      </c>
      <c r="C1264" s="19"/>
      <c r="D1264" s="19"/>
      <c r="E1264" s="18" t="str">
        <f aca="false">IF($C1264="","",IFERROR(INDEX(Lists!$B$2:$B$40,MATCH($C1264,Lists!$A$2:$A$40,0)),""))</f>
        <v/>
      </c>
      <c r="F1264" s="20"/>
      <c r="G1264" s="20"/>
      <c r="H1264" s="20"/>
      <c r="I1264" s="20"/>
      <c r="J1264" s="20"/>
      <c r="K1264" s="18" t="str">
        <f aca="false">IF(COUNT($F1264:$J1264)=0,"",SUM($F1264:$J1264))</f>
        <v/>
      </c>
      <c r="L1264" s="18" t="str">
        <f aca="false">IF(COUNT($F1264:$J1264)=0,"",MAX($F1264:$J1264))</f>
        <v/>
      </c>
      <c r="M1264" s="18" t="str">
        <f aca="false">IFERROR(IF(OR($C1264="",COUNT($F1264:$J1264)&lt;3),"",IF(N(INDEX(Lists!$C$2:$C$40,MATCH($C1264,Lists!$A$2:$A$40,0)))=0,"",IF(MIN($F1264:$J1264)&gt;=INDEX(Lists!$C$2:$C$40,MATCH($C1264,Lists!$A$2:$A$40,0)),"LEVEL UP",""))),"")</f>
        <v/>
      </c>
      <c r="N1264" s="20"/>
      <c r="O1264" s="19"/>
    </row>
    <row r="1265" customFormat="false" ht="15" hidden="false" customHeight="false" outlineLevel="0" collapsed="false">
      <c r="A1265" s="17"/>
      <c r="B1265" s="18" t="str">
        <f aca="false">IF($A1265="","",TEXT($A1265,"ddd"))</f>
        <v/>
      </c>
      <c r="C1265" s="19"/>
      <c r="D1265" s="19"/>
      <c r="E1265" s="18" t="str">
        <f aca="false">IF($C1265="","",IFERROR(INDEX(Lists!$B$2:$B$40,MATCH($C1265,Lists!$A$2:$A$40,0)),""))</f>
        <v/>
      </c>
      <c r="F1265" s="20"/>
      <c r="G1265" s="20"/>
      <c r="H1265" s="20"/>
      <c r="I1265" s="20"/>
      <c r="J1265" s="20"/>
      <c r="K1265" s="18" t="str">
        <f aca="false">IF(COUNT($F1265:$J1265)=0,"",SUM($F1265:$J1265))</f>
        <v/>
      </c>
      <c r="L1265" s="18" t="str">
        <f aca="false">IF(COUNT($F1265:$J1265)=0,"",MAX($F1265:$J1265))</f>
        <v/>
      </c>
      <c r="M1265" s="18" t="str">
        <f aca="false">IFERROR(IF(OR($C1265="",COUNT($F1265:$J1265)&lt;3),"",IF(N(INDEX(Lists!$C$2:$C$40,MATCH($C1265,Lists!$A$2:$A$40,0)))=0,"",IF(MIN($F1265:$J1265)&gt;=INDEX(Lists!$C$2:$C$40,MATCH($C1265,Lists!$A$2:$A$40,0)),"LEVEL UP",""))),"")</f>
        <v/>
      </c>
      <c r="N1265" s="20"/>
      <c r="O1265" s="19"/>
    </row>
    <row r="1266" customFormat="false" ht="15" hidden="false" customHeight="false" outlineLevel="0" collapsed="false">
      <c r="A1266" s="17"/>
      <c r="B1266" s="18" t="str">
        <f aca="false">IF($A1266="","",TEXT($A1266,"ddd"))</f>
        <v/>
      </c>
      <c r="C1266" s="19"/>
      <c r="D1266" s="19"/>
      <c r="E1266" s="18" t="str">
        <f aca="false">IF($C1266="","",IFERROR(INDEX(Lists!$B$2:$B$40,MATCH($C1266,Lists!$A$2:$A$40,0)),""))</f>
        <v/>
      </c>
      <c r="F1266" s="20"/>
      <c r="G1266" s="20"/>
      <c r="H1266" s="20"/>
      <c r="I1266" s="20"/>
      <c r="J1266" s="20"/>
      <c r="K1266" s="18" t="str">
        <f aca="false">IF(COUNT($F1266:$J1266)=0,"",SUM($F1266:$J1266))</f>
        <v/>
      </c>
      <c r="L1266" s="18" t="str">
        <f aca="false">IF(COUNT($F1266:$J1266)=0,"",MAX($F1266:$J1266))</f>
        <v/>
      </c>
      <c r="M1266" s="18" t="str">
        <f aca="false">IFERROR(IF(OR($C1266="",COUNT($F1266:$J1266)&lt;3),"",IF(N(INDEX(Lists!$C$2:$C$40,MATCH($C1266,Lists!$A$2:$A$40,0)))=0,"",IF(MIN($F1266:$J1266)&gt;=INDEX(Lists!$C$2:$C$40,MATCH($C1266,Lists!$A$2:$A$40,0)),"LEVEL UP",""))),"")</f>
        <v/>
      </c>
      <c r="N1266" s="20"/>
      <c r="O1266" s="19"/>
    </row>
    <row r="1267" customFormat="false" ht="15" hidden="false" customHeight="false" outlineLevel="0" collapsed="false">
      <c r="A1267" s="17"/>
      <c r="B1267" s="18" t="str">
        <f aca="false">IF($A1267="","",TEXT($A1267,"ddd"))</f>
        <v/>
      </c>
      <c r="C1267" s="19"/>
      <c r="D1267" s="19"/>
      <c r="E1267" s="18" t="str">
        <f aca="false">IF($C1267="","",IFERROR(INDEX(Lists!$B$2:$B$40,MATCH($C1267,Lists!$A$2:$A$40,0)),""))</f>
        <v/>
      </c>
      <c r="F1267" s="20"/>
      <c r="G1267" s="20"/>
      <c r="H1267" s="20"/>
      <c r="I1267" s="20"/>
      <c r="J1267" s="20"/>
      <c r="K1267" s="18" t="str">
        <f aca="false">IF(COUNT($F1267:$J1267)=0,"",SUM($F1267:$J1267))</f>
        <v/>
      </c>
      <c r="L1267" s="18" t="str">
        <f aca="false">IF(COUNT($F1267:$J1267)=0,"",MAX($F1267:$J1267))</f>
        <v/>
      </c>
      <c r="M1267" s="18" t="str">
        <f aca="false">IFERROR(IF(OR($C1267="",COUNT($F1267:$J1267)&lt;3),"",IF(N(INDEX(Lists!$C$2:$C$40,MATCH($C1267,Lists!$A$2:$A$40,0)))=0,"",IF(MIN($F1267:$J1267)&gt;=INDEX(Lists!$C$2:$C$40,MATCH($C1267,Lists!$A$2:$A$40,0)),"LEVEL UP",""))),"")</f>
        <v/>
      </c>
      <c r="N1267" s="20"/>
      <c r="O1267" s="19"/>
    </row>
    <row r="1268" customFormat="false" ht="15" hidden="false" customHeight="false" outlineLevel="0" collapsed="false">
      <c r="A1268" s="17"/>
      <c r="B1268" s="18" t="str">
        <f aca="false">IF($A1268="","",TEXT($A1268,"ddd"))</f>
        <v/>
      </c>
      <c r="C1268" s="19"/>
      <c r="D1268" s="19"/>
      <c r="E1268" s="18" t="str">
        <f aca="false">IF($C1268="","",IFERROR(INDEX(Lists!$B$2:$B$40,MATCH($C1268,Lists!$A$2:$A$40,0)),""))</f>
        <v/>
      </c>
      <c r="F1268" s="20"/>
      <c r="G1268" s="20"/>
      <c r="H1268" s="20"/>
      <c r="I1268" s="20"/>
      <c r="J1268" s="20"/>
      <c r="K1268" s="18" t="str">
        <f aca="false">IF(COUNT($F1268:$J1268)=0,"",SUM($F1268:$J1268))</f>
        <v/>
      </c>
      <c r="L1268" s="18" t="str">
        <f aca="false">IF(COUNT($F1268:$J1268)=0,"",MAX($F1268:$J1268))</f>
        <v/>
      </c>
      <c r="M1268" s="18" t="str">
        <f aca="false">IFERROR(IF(OR($C1268="",COUNT($F1268:$J1268)&lt;3),"",IF(N(INDEX(Lists!$C$2:$C$40,MATCH($C1268,Lists!$A$2:$A$40,0)))=0,"",IF(MIN($F1268:$J1268)&gt;=INDEX(Lists!$C$2:$C$40,MATCH($C1268,Lists!$A$2:$A$40,0)),"LEVEL UP",""))),"")</f>
        <v/>
      </c>
      <c r="N1268" s="20"/>
      <c r="O1268" s="19"/>
    </row>
    <row r="1269" customFormat="false" ht="15" hidden="false" customHeight="false" outlineLevel="0" collapsed="false">
      <c r="A1269" s="17"/>
      <c r="B1269" s="18" t="str">
        <f aca="false">IF($A1269="","",TEXT($A1269,"ddd"))</f>
        <v/>
      </c>
      <c r="C1269" s="19"/>
      <c r="D1269" s="19"/>
      <c r="E1269" s="18" t="str">
        <f aca="false">IF($C1269="","",IFERROR(INDEX(Lists!$B$2:$B$40,MATCH($C1269,Lists!$A$2:$A$40,0)),""))</f>
        <v/>
      </c>
      <c r="F1269" s="20"/>
      <c r="G1269" s="20"/>
      <c r="H1269" s="20"/>
      <c r="I1269" s="20"/>
      <c r="J1269" s="20"/>
      <c r="K1269" s="18" t="str">
        <f aca="false">IF(COUNT($F1269:$J1269)=0,"",SUM($F1269:$J1269))</f>
        <v/>
      </c>
      <c r="L1269" s="18" t="str">
        <f aca="false">IF(COUNT($F1269:$J1269)=0,"",MAX($F1269:$J1269))</f>
        <v/>
      </c>
      <c r="M1269" s="18" t="str">
        <f aca="false">IFERROR(IF(OR($C1269="",COUNT($F1269:$J1269)&lt;3),"",IF(N(INDEX(Lists!$C$2:$C$40,MATCH($C1269,Lists!$A$2:$A$40,0)))=0,"",IF(MIN($F1269:$J1269)&gt;=INDEX(Lists!$C$2:$C$40,MATCH($C1269,Lists!$A$2:$A$40,0)),"LEVEL UP",""))),"")</f>
        <v/>
      </c>
      <c r="N1269" s="20"/>
      <c r="O1269" s="19"/>
    </row>
    <row r="1270" customFormat="false" ht="15" hidden="false" customHeight="false" outlineLevel="0" collapsed="false">
      <c r="A1270" s="17"/>
      <c r="B1270" s="18" t="str">
        <f aca="false">IF($A1270="","",TEXT($A1270,"ddd"))</f>
        <v/>
      </c>
      <c r="C1270" s="19"/>
      <c r="D1270" s="19"/>
      <c r="E1270" s="18" t="str">
        <f aca="false">IF($C1270="","",IFERROR(INDEX(Lists!$B$2:$B$40,MATCH($C1270,Lists!$A$2:$A$40,0)),""))</f>
        <v/>
      </c>
      <c r="F1270" s="20"/>
      <c r="G1270" s="20"/>
      <c r="H1270" s="20"/>
      <c r="I1270" s="20"/>
      <c r="J1270" s="20"/>
      <c r="K1270" s="18" t="str">
        <f aca="false">IF(COUNT($F1270:$J1270)=0,"",SUM($F1270:$J1270))</f>
        <v/>
      </c>
      <c r="L1270" s="18" t="str">
        <f aca="false">IF(COUNT($F1270:$J1270)=0,"",MAX($F1270:$J1270))</f>
        <v/>
      </c>
      <c r="M1270" s="18" t="str">
        <f aca="false">IFERROR(IF(OR($C1270="",COUNT($F1270:$J1270)&lt;3),"",IF(N(INDEX(Lists!$C$2:$C$40,MATCH($C1270,Lists!$A$2:$A$40,0)))=0,"",IF(MIN($F1270:$J1270)&gt;=INDEX(Lists!$C$2:$C$40,MATCH($C1270,Lists!$A$2:$A$40,0)),"LEVEL UP",""))),"")</f>
        <v/>
      </c>
      <c r="N1270" s="20"/>
      <c r="O1270" s="19"/>
    </row>
    <row r="1271" customFormat="false" ht="15" hidden="false" customHeight="false" outlineLevel="0" collapsed="false">
      <c r="A1271" s="17"/>
      <c r="B1271" s="18" t="str">
        <f aca="false">IF($A1271="","",TEXT($A1271,"ddd"))</f>
        <v/>
      </c>
      <c r="C1271" s="19"/>
      <c r="D1271" s="19"/>
      <c r="E1271" s="18" t="str">
        <f aca="false">IF($C1271="","",IFERROR(INDEX(Lists!$B$2:$B$40,MATCH($C1271,Lists!$A$2:$A$40,0)),""))</f>
        <v/>
      </c>
      <c r="F1271" s="20"/>
      <c r="G1271" s="20"/>
      <c r="H1271" s="20"/>
      <c r="I1271" s="20"/>
      <c r="J1271" s="20"/>
      <c r="K1271" s="18" t="str">
        <f aca="false">IF(COUNT($F1271:$J1271)=0,"",SUM($F1271:$J1271))</f>
        <v/>
      </c>
      <c r="L1271" s="18" t="str">
        <f aca="false">IF(COUNT($F1271:$J1271)=0,"",MAX($F1271:$J1271))</f>
        <v/>
      </c>
      <c r="M1271" s="18" t="str">
        <f aca="false">IFERROR(IF(OR($C1271="",COUNT($F1271:$J1271)&lt;3),"",IF(N(INDEX(Lists!$C$2:$C$40,MATCH($C1271,Lists!$A$2:$A$40,0)))=0,"",IF(MIN($F1271:$J1271)&gt;=INDEX(Lists!$C$2:$C$40,MATCH($C1271,Lists!$A$2:$A$40,0)),"LEVEL UP",""))),"")</f>
        <v/>
      </c>
      <c r="N1271" s="20"/>
      <c r="O1271" s="19"/>
    </row>
    <row r="1272" customFormat="false" ht="15" hidden="false" customHeight="false" outlineLevel="0" collapsed="false">
      <c r="A1272" s="17"/>
      <c r="B1272" s="18" t="str">
        <f aca="false">IF($A1272="","",TEXT($A1272,"ddd"))</f>
        <v/>
      </c>
      <c r="C1272" s="19"/>
      <c r="D1272" s="19"/>
      <c r="E1272" s="18" t="str">
        <f aca="false">IF($C1272="","",IFERROR(INDEX(Lists!$B$2:$B$40,MATCH($C1272,Lists!$A$2:$A$40,0)),""))</f>
        <v/>
      </c>
      <c r="F1272" s="20"/>
      <c r="G1272" s="20"/>
      <c r="H1272" s="20"/>
      <c r="I1272" s="20"/>
      <c r="J1272" s="20"/>
      <c r="K1272" s="18" t="str">
        <f aca="false">IF(COUNT($F1272:$J1272)=0,"",SUM($F1272:$J1272))</f>
        <v/>
      </c>
      <c r="L1272" s="18" t="str">
        <f aca="false">IF(COUNT($F1272:$J1272)=0,"",MAX($F1272:$J1272))</f>
        <v/>
      </c>
      <c r="M1272" s="18" t="str">
        <f aca="false">IFERROR(IF(OR($C1272="",COUNT($F1272:$J1272)&lt;3),"",IF(N(INDEX(Lists!$C$2:$C$40,MATCH($C1272,Lists!$A$2:$A$40,0)))=0,"",IF(MIN($F1272:$J1272)&gt;=INDEX(Lists!$C$2:$C$40,MATCH($C1272,Lists!$A$2:$A$40,0)),"LEVEL UP",""))),"")</f>
        <v/>
      </c>
      <c r="N1272" s="20"/>
      <c r="O1272" s="19"/>
    </row>
    <row r="1273" customFormat="false" ht="15" hidden="false" customHeight="false" outlineLevel="0" collapsed="false">
      <c r="A1273" s="17"/>
      <c r="B1273" s="18" t="str">
        <f aca="false">IF($A1273="","",TEXT($A1273,"ddd"))</f>
        <v/>
      </c>
      <c r="C1273" s="19"/>
      <c r="D1273" s="19"/>
      <c r="E1273" s="18" t="str">
        <f aca="false">IF($C1273="","",IFERROR(INDEX(Lists!$B$2:$B$40,MATCH($C1273,Lists!$A$2:$A$40,0)),""))</f>
        <v/>
      </c>
      <c r="F1273" s="20"/>
      <c r="G1273" s="20"/>
      <c r="H1273" s="20"/>
      <c r="I1273" s="20"/>
      <c r="J1273" s="20"/>
      <c r="K1273" s="18" t="str">
        <f aca="false">IF(COUNT($F1273:$J1273)=0,"",SUM($F1273:$J1273))</f>
        <v/>
      </c>
      <c r="L1273" s="18" t="str">
        <f aca="false">IF(COUNT($F1273:$J1273)=0,"",MAX($F1273:$J1273))</f>
        <v/>
      </c>
      <c r="M1273" s="18" t="str">
        <f aca="false">IFERROR(IF(OR($C1273="",COUNT($F1273:$J1273)&lt;3),"",IF(N(INDEX(Lists!$C$2:$C$40,MATCH($C1273,Lists!$A$2:$A$40,0)))=0,"",IF(MIN($F1273:$J1273)&gt;=INDEX(Lists!$C$2:$C$40,MATCH($C1273,Lists!$A$2:$A$40,0)),"LEVEL UP",""))),"")</f>
        <v/>
      </c>
      <c r="N1273" s="20"/>
      <c r="O1273" s="19"/>
    </row>
    <row r="1274" customFormat="false" ht="15" hidden="false" customHeight="false" outlineLevel="0" collapsed="false">
      <c r="A1274" s="17"/>
      <c r="B1274" s="18" t="str">
        <f aca="false">IF($A1274="","",TEXT($A1274,"ddd"))</f>
        <v/>
      </c>
      <c r="C1274" s="19"/>
      <c r="D1274" s="19"/>
      <c r="E1274" s="18" t="str">
        <f aca="false">IF($C1274="","",IFERROR(INDEX(Lists!$B$2:$B$40,MATCH($C1274,Lists!$A$2:$A$40,0)),""))</f>
        <v/>
      </c>
      <c r="F1274" s="20"/>
      <c r="G1274" s="20"/>
      <c r="H1274" s="20"/>
      <c r="I1274" s="20"/>
      <c r="J1274" s="20"/>
      <c r="K1274" s="18" t="str">
        <f aca="false">IF(COUNT($F1274:$J1274)=0,"",SUM($F1274:$J1274))</f>
        <v/>
      </c>
      <c r="L1274" s="18" t="str">
        <f aca="false">IF(COUNT($F1274:$J1274)=0,"",MAX($F1274:$J1274))</f>
        <v/>
      </c>
      <c r="M1274" s="18" t="str">
        <f aca="false">IFERROR(IF(OR($C1274="",COUNT($F1274:$J1274)&lt;3),"",IF(N(INDEX(Lists!$C$2:$C$40,MATCH($C1274,Lists!$A$2:$A$40,0)))=0,"",IF(MIN($F1274:$J1274)&gt;=INDEX(Lists!$C$2:$C$40,MATCH($C1274,Lists!$A$2:$A$40,0)),"LEVEL UP",""))),"")</f>
        <v/>
      </c>
      <c r="N1274" s="20"/>
      <c r="O1274" s="19"/>
    </row>
    <row r="1275" customFormat="false" ht="15" hidden="false" customHeight="false" outlineLevel="0" collapsed="false">
      <c r="A1275" s="17"/>
      <c r="B1275" s="18" t="str">
        <f aca="false">IF($A1275="","",TEXT($A1275,"ddd"))</f>
        <v/>
      </c>
      <c r="C1275" s="19"/>
      <c r="D1275" s="19"/>
      <c r="E1275" s="18" t="str">
        <f aca="false">IF($C1275="","",IFERROR(INDEX(Lists!$B$2:$B$40,MATCH($C1275,Lists!$A$2:$A$40,0)),""))</f>
        <v/>
      </c>
      <c r="F1275" s="20"/>
      <c r="G1275" s="20"/>
      <c r="H1275" s="20"/>
      <c r="I1275" s="20"/>
      <c r="J1275" s="20"/>
      <c r="K1275" s="18" t="str">
        <f aca="false">IF(COUNT($F1275:$J1275)=0,"",SUM($F1275:$J1275))</f>
        <v/>
      </c>
      <c r="L1275" s="18" t="str">
        <f aca="false">IF(COUNT($F1275:$J1275)=0,"",MAX($F1275:$J1275))</f>
        <v/>
      </c>
      <c r="M1275" s="18" t="str">
        <f aca="false">IFERROR(IF(OR($C1275="",COUNT($F1275:$J1275)&lt;3),"",IF(N(INDEX(Lists!$C$2:$C$40,MATCH($C1275,Lists!$A$2:$A$40,0)))=0,"",IF(MIN($F1275:$J1275)&gt;=INDEX(Lists!$C$2:$C$40,MATCH($C1275,Lists!$A$2:$A$40,0)),"LEVEL UP",""))),"")</f>
        <v/>
      </c>
      <c r="N1275" s="20"/>
      <c r="O1275" s="19"/>
    </row>
    <row r="1276" customFormat="false" ht="15" hidden="false" customHeight="false" outlineLevel="0" collapsed="false">
      <c r="A1276" s="17"/>
      <c r="B1276" s="18" t="str">
        <f aca="false">IF($A1276="","",TEXT($A1276,"ddd"))</f>
        <v/>
      </c>
      <c r="C1276" s="19"/>
      <c r="D1276" s="19"/>
      <c r="E1276" s="18" t="str">
        <f aca="false">IF($C1276="","",IFERROR(INDEX(Lists!$B$2:$B$40,MATCH($C1276,Lists!$A$2:$A$40,0)),""))</f>
        <v/>
      </c>
      <c r="F1276" s="20"/>
      <c r="G1276" s="20"/>
      <c r="H1276" s="20"/>
      <c r="I1276" s="20"/>
      <c r="J1276" s="20"/>
      <c r="K1276" s="18" t="str">
        <f aca="false">IF(COUNT($F1276:$J1276)=0,"",SUM($F1276:$J1276))</f>
        <v/>
      </c>
      <c r="L1276" s="18" t="str">
        <f aca="false">IF(COUNT($F1276:$J1276)=0,"",MAX($F1276:$J1276))</f>
        <v/>
      </c>
      <c r="M1276" s="18" t="str">
        <f aca="false">IFERROR(IF(OR($C1276="",COUNT($F1276:$J1276)&lt;3),"",IF(N(INDEX(Lists!$C$2:$C$40,MATCH($C1276,Lists!$A$2:$A$40,0)))=0,"",IF(MIN($F1276:$J1276)&gt;=INDEX(Lists!$C$2:$C$40,MATCH($C1276,Lists!$A$2:$A$40,0)),"LEVEL UP",""))),"")</f>
        <v/>
      </c>
      <c r="N1276" s="20"/>
      <c r="O1276" s="19"/>
    </row>
    <row r="1277" customFormat="false" ht="15" hidden="false" customHeight="false" outlineLevel="0" collapsed="false">
      <c r="A1277" s="17"/>
      <c r="B1277" s="18" t="str">
        <f aca="false">IF($A1277="","",TEXT($A1277,"ddd"))</f>
        <v/>
      </c>
      <c r="C1277" s="19"/>
      <c r="D1277" s="19"/>
      <c r="E1277" s="18" t="str">
        <f aca="false">IF($C1277="","",IFERROR(INDEX(Lists!$B$2:$B$40,MATCH($C1277,Lists!$A$2:$A$40,0)),""))</f>
        <v/>
      </c>
      <c r="F1277" s="20"/>
      <c r="G1277" s="20"/>
      <c r="H1277" s="20"/>
      <c r="I1277" s="20"/>
      <c r="J1277" s="20"/>
      <c r="K1277" s="18" t="str">
        <f aca="false">IF(COUNT($F1277:$J1277)=0,"",SUM($F1277:$J1277))</f>
        <v/>
      </c>
      <c r="L1277" s="18" t="str">
        <f aca="false">IF(COUNT($F1277:$J1277)=0,"",MAX($F1277:$J1277))</f>
        <v/>
      </c>
      <c r="M1277" s="18" t="str">
        <f aca="false">IFERROR(IF(OR($C1277="",COUNT($F1277:$J1277)&lt;3),"",IF(N(INDEX(Lists!$C$2:$C$40,MATCH($C1277,Lists!$A$2:$A$40,0)))=0,"",IF(MIN($F1277:$J1277)&gt;=INDEX(Lists!$C$2:$C$40,MATCH($C1277,Lists!$A$2:$A$40,0)),"LEVEL UP",""))),"")</f>
        <v/>
      </c>
      <c r="N1277" s="20"/>
      <c r="O1277" s="19"/>
    </row>
    <row r="1278" customFormat="false" ht="15" hidden="false" customHeight="false" outlineLevel="0" collapsed="false">
      <c r="A1278" s="17"/>
      <c r="B1278" s="18" t="str">
        <f aca="false">IF($A1278="","",TEXT($A1278,"ddd"))</f>
        <v/>
      </c>
      <c r="C1278" s="19"/>
      <c r="D1278" s="19"/>
      <c r="E1278" s="18" t="str">
        <f aca="false">IF($C1278="","",IFERROR(INDEX(Lists!$B$2:$B$40,MATCH($C1278,Lists!$A$2:$A$40,0)),""))</f>
        <v/>
      </c>
      <c r="F1278" s="20"/>
      <c r="G1278" s="20"/>
      <c r="H1278" s="20"/>
      <c r="I1278" s="20"/>
      <c r="J1278" s="20"/>
      <c r="K1278" s="18" t="str">
        <f aca="false">IF(COUNT($F1278:$J1278)=0,"",SUM($F1278:$J1278))</f>
        <v/>
      </c>
      <c r="L1278" s="18" t="str">
        <f aca="false">IF(COUNT($F1278:$J1278)=0,"",MAX($F1278:$J1278))</f>
        <v/>
      </c>
      <c r="M1278" s="18" t="str">
        <f aca="false">IFERROR(IF(OR($C1278="",COUNT($F1278:$J1278)&lt;3),"",IF(N(INDEX(Lists!$C$2:$C$40,MATCH($C1278,Lists!$A$2:$A$40,0)))=0,"",IF(MIN($F1278:$J1278)&gt;=INDEX(Lists!$C$2:$C$40,MATCH($C1278,Lists!$A$2:$A$40,0)),"LEVEL UP",""))),"")</f>
        <v/>
      </c>
      <c r="N1278" s="20"/>
      <c r="O1278" s="19"/>
    </row>
    <row r="1279" customFormat="false" ht="15" hidden="false" customHeight="false" outlineLevel="0" collapsed="false">
      <c r="A1279" s="17"/>
      <c r="B1279" s="18" t="str">
        <f aca="false">IF($A1279="","",TEXT($A1279,"ddd"))</f>
        <v/>
      </c>
      <c r="C1279" s="19"/>
      <c r="D1279" s="19"/>
      <c r="E1279" s="18" t="str">
        <f aca="false">IF($C1279="","",IFERROR(INDEX(Lists!$B$2:$B$40,MATCH($C1279,Lists!$A$2:$A$40,0)),""))</f>
        <v/>
      </c>
      <c r="F1279" s="20"/>
      <c r="G1279" s="20"/>
      <c r="H1279" s="20"/>
      <c r="I1279" s="20"/>
      <c r="J1279" s="20"/>
      <c r="K1279" s="18" t="str">
        <f aca="false">IF(COUNT($F1279:$J1279)=0,"",SUM($F1279:$J1279))</f>
        <v/>
      </c>
      <c r="L1279" s="18" t="str">
        <f aca="false">IF(COUNT($F1279:$J1279)=0,"",MAX($F1279:$J1279))</f>
        <v/>
      </c>
      <c r="M1279" s="18" t="str">
        <f aca="false">IFERROR(IF(OR($C1279="",COUNT($F1279:$J1279)&lt;3),"",IF(N(INDEX(Lists!$C$2:$C$40,MATCH($C1279,Lists!$A$2:$A$40,0)))=0,"",IF(MIN($F1279:$J1279)&gt;=INDEX(Lists!$C$2:$C$40,MATCH($C1279,Lists!$A$2:$A$40,0)),"LEVEL UP",""))),"")</f>
        <v/>
      </c>
      <c r="N1279" s="20"/>
      <c r="O1279" s="19"/>
    </row>
    <row r="1280" customFormat="false" ht="15" hidden="false" customHeight="false" outlineLevel="0" collapsed="false">
      <c r="A1280" s="17"/>
      <c r="B1280" s="18" t="str">
        <f aca="false">IF($A1280="","",TEXT($A1280,"ddd"))</f>
        <v/>
      </c>
      <c r="C1280" s="19"/>
      <c r="D1280" s="19"/>
      <c r="E1280" s="18" t="str">
        <f aca="false">IF($C1280="","",IFERROR(INDEX(Lists!$B$2:$B$40,MATCH($C1280,Lists!$A$2:$A$40,0)),""))</f>
        <v/>
      </c>
      <c r="F1280" s="20"/>
      <c r="G1280" s="20"/>
      <c r="H1280" s="20"/>
      <c r="I1280" s="20"/>
      <c r="J1280" s="20"/>
      <c r="K1280" s="18" t="str">
        <f aca="false">IF(COUNT($F1280:$J1280)=0,"",SUM($F1280:$J1280))</f>
        <v/>
      </c>
      <c r="L1280" s="18" t="str">
        <f aca="false">IF(COUNT($F1280:$J1280)=0,"",MAX($F1280:$J1280))</f>
        <v/>
      </c>
      <c r="M1280" s="18" t="str">
        <f aca="false">IFERROR(IF(OR($C1280="",COUNT($F1280:$J1280)&lt;3),"",IF(N(INDEX(Lists!$C$2:$C$40,MATCH($C1280,Lists!$A$2:$A$40,0)))=0,"",IF(MIN($F1280:$J1280)&gt;=INDEX(Lists!$C$2:$C$40,MATCH($C1280,Lists!$A$2:$A$40,0)),"LEVEL UP",""))),"")</f>
        <v/>
      </c>
      <c r="N1280" s="20"/>
      <c r="O1280" s="19"/>
    </row>
    <row r="1281" customFormat="false" ht="15" hidden="false" customHeight="false" outlineLevel="0" collapsed="false">
      <c r="A1281" s="17"/>
      <c r="B1281" s="18" t="str">
        <f aca="false">IF($A1281="","",TEXT($A1281,"ddd"))</f>
        <v/>
      </c>
      <c r="C1281" s="19"/>
      <c r="D1281" s="19"/>
      <c r="E1281" s="18" t="str">
        <f aca="false">IF($C1281="","",IFERROR(INDEX(Lists!$B$2:$B$40,MATCH($C1281,Lists!$A$2:$A$40,0)),""))</f>
        <v/>
      </c>
      <c r="F1281" s="20"/>
      <c r="G1281" s="20"/>
      <c r="H1281" s="20"/>
      <c r="I1281" s="20"/>
      <c r="J1281" s="20"/>
      <c r="K1281" s="18" t="str">
        <f aca="false">IF(COUNT($F1281:$J1281)=0,"",SUM($F1281:$J1281))</f>
        <v/>
      </c>
      <c r="L1281" s="18" t="str">
        <f aca="false">IF(COUNT($F1281:$J1281)=0,"",MAX($F1281:$J1281))</f>
        <v/>
      </c>
      <c r="M1281" s="18" t="str">
        <f aca="false">IFERROR(IF(OR($C1281="",COUNT($F1281:$J1281)&lt;3),"",IF(N(INDEX(Lists!$C$2:$C$40,MATCH($C1281,Lists!$A$2:$A$40,0)))=0,"",IF(MIN($F1281:$J1281)&gt;=INDEX(Lists!$C$2:$C$40,MATCH($C1281,Lists!$A$2:$A$40,0)),"LEVEL UP",""))),"")</f>
        <v/>
      </c>
      <c r="N1281" s="20"/>
      <c r="O1281" s="19"/>
    </row>
    <row r="1282" customFormat="false" ht="15" hidden="false" customHeight="false" outlineLevel="0" collapsed="false">
      <c r="A1282" s="17"/>
      <c r="B1282" s="18" t="str">
        <f aca="false">IF($A1282="","",TEXT($A1282,"ddd"))</f>
        <v/>
      </c>
      <c r="C1282" s="19"/>
      <c r="D1282" s="19"/>
      <c r="E1282" s="18" t="str">
        <f aca="false">IF($C1282="","",IFERROR(INDEX(Lists!$B$2:$B$40,MATCH($C1282,Lists!$A$2:$A$40,0)),""))</f>
        <v/>
      </c>
      <c r="F1282" s="20"/>
      <c r="G1282" s="20"/>
      <c r="H1282" s="20"/>
      <c r="I1282" s="20"/>
      <c r="J1282" s="20"/>
      <c r="K1282" s="18" t="str">
        <f aca="false">IF(COUNT($F1282:$J1282)=0,"",SUM($F1282:$J1282))</f>
        <v/>
      </c>
      <c r="L1282" s="18" t="str">
        <f aca="false">IF(COUNT($F1282:$J1282)=0,"",MAX($F1282:$J1282))</f>
        <v/>
      </c>
      <c r="M1282" s="18" t="str">
        <f aca="false">IFERROR(IF(OR($C1282="",COUNT($F1282:$J1282)&lt;3),"",IF(N(INDEX(Lists!$C$2:$C$40,MATCH($C1282,Lists!$A$2:$A$40,0)))=0,"",IF(MIN($F1282:$J1282)&gt;=INDEX(Lists!$C$2:$C$40,MATCH($C1282,Lists!$A$2:$A$40,0)),"LEVEL UP",""))),"")</f>
        <v/>
      </c>
      <c r="N1282" s="20"/>
      <c r="O1282" s="19"/>
    </row>
    <row r="1283" customFormat="false" ht="15" hidden="false" customHeight="false" outlineLevel="0" collapsed="false">
      <c r="A1283" s="17"/>
      <c r="B1283" s="18" t="str">
        <f aca="false">IF($A1283="","",TEXT($A1283,"ddd"))</f>
        <v/>
      </c>
      <c r="C1283" s="19"/>
      <c r="D1283" s="19"/>
      <c r="E1283" s="18" t="str">
        <f aca="false">IF($C1283="","",IFERROR(INDEX(Lists!$B$2:$B$40,MATCH($C1283,Lists!$A$2:$A$40,0)),""))</f>
        <v/>
      </c>
      <c r="F1283" s="20"/>
      <c r="G1283" s="20"/>
      <c r="H1283" s="20"/>
      <c r="I1283" s="20"/>
      <c r="J1283" s="20"/>
      <c r="K1283" s="18" t="str">
        <f aca="false">IF(COUNT($F1283:$J1283)=0,"",SUM($F1283:$J1283))</f>
        <v/>
      </c>
      <c r="L1283" s="18" t="str">
        <f aca="false">IF(COUNT($F1283:$J1283)=0,"",MAX($F1283:$J1283))</f>
        <v/>
      </c>
      <c r="M1283" s="18" t="str">
        <f aca="false">IFERROR(IF(OR($C1283="",COUNT($F1283:$J1283)&lt;3),"",IF(N(INDEX(Lists!$C$2:$C$40,MATCH($C1283,Lists!$A$2:$A$40,0)))=0,"",IF(MIN($F1283:$J1283)&gt;=INDEX(Lists!$C$2:$C$40,MATCH($C1283,Lists!$A$2:$A$40,0)),"LEVEL UP",""))),"")</f>
        <v/>
      </c>
      <c r="N1283" s="20"/>
      <c r="O1283" s="19"/>
    </row>
    <row r="1284" customFormat="false" ht="15" hidden="false" customHeight="false" outlineLevel="0" collapsed="false">
      <c r="A1284" s="17"/>
      <c r="B1284" s="18" t="str">
        <f aca="false">IF($A1284="","",TEXT($A1284,"ddd"))</f>
        <v/>
      </c>
      <c r="C1284" s="19"/>
      <c r="D1284" s="19"/>
      <c r="E1284" s="18" t="str">
        <f aca="false">IF($C1284="","",IFERROR(INDEX(Lists!$B$2:$B$40,MATCH($C1284,Lists!$A$2:$A$40,0)),""))</f>
        <v/>
      </c>
      <c r="F1284" s="20"/>
      <c r="G1284" s="20"/>
      <c r="H1284" s="20"/>
      <c r="I1284" s="20"/>
      <c r="J1284" s="20"/>
      <c r="K1284" s="18" t="str">
        <f aca="false">IF(COUNT($F1284:$J1284)=0,"",SUM($F1284:$J1284))</f>
        <v/>
      </c>
      <c r="L1284" s="18" t="str">
        <f aca="false">IF(COUNT($F1284:$J1284)=0,"",MAX($F1284:$J1284))</f>
        <v/>
      </c>
      <c r="M1284" s="18" t="str">
        <f aca="false">IFERROR(IF(OR($C1284="",COUNT($F1284:$J1284)&lt;3),"",IF(N(INDEX(Lists!$C$2:$C$40,MATCH($C1284,Lists!$A$2:$A$40,0)))=0,"",IF(MIN($F1284:$J1284)&gt;=INDEX(Lists!$C$2:$C$40,MATCH($C1284,Lists!$A$2:$A$40,0)),"LEVEL UP",""))),"")</f>
        <v/>
      </c>
      <c r="N1284" s="20"/>
      <c r="O1284" s="19"/>
    </row>
    <row r="1285" customFormat="false" ht="15" hidden="false" customHeight="false" outlineLevel="0" collapsed="false">
      <c r="A1285" s="17"/>
      <c r="B1285" s="18" t="str">
        <f aca="false">IF($A1285="","",TEXT($A1285,"ddd"))</f>
        <v/>
      </c>
      <c r="C1285" s="19"/>
      <c r="D1285" s="19"/>
      <c r="E1285" s="18" t="str">
        <f aca="false">IF($C1285="","",IFERROR(INDEX(Lists!$B$2:$B$40,MATCH($C1285,Lists!$A$2:$A$40,0)),""))</f>
        <v/>
      </c>
      <c r="F1285" s="20"/>
      <c r="G1285" s="20"/>
      <c r="H1285" s="20"/>
      <c r="I1285" s="20"/>
      <c r="J1285" s="20"/>
      <c r="K1285" s="18" t="str">
        <f aca="false">IF(COUNT($F1285:$J1285)=0,"",SUM($F1285:$J1285))</f>
        <v/>
      </c>
      <c r="L1285" s="18" t="str">
        <f aca="false">IF(COUNT($F1285:$J1285)=0,"",MAX($F1285:$J1285))</f>
        <v/>
      </c>
      <c r="M1285" s="18" t="str">
        <f aca="false">IFERROR(IF(OR($C1285="",COUNT($F1285:$J1285)&lt;3),"",IF(N(INDEX(Lists!$C$2:$C$40,MATCH($C1285,Lists!$A$2:$A$40,0)))=0,"",IF(MIN($F1285:$J1285)&gt;=INDEX(Lists!$C$2:$C$40,MATCH($C1285,Lists!$A$2:$A$40,0)),"LEVEL UP",""))),"")</f>
        <v/>
      </c>
      <c r="N1285" s="20"/>
      <c r="O1285" s="19"/>
    </row>
    <row r="1286" customFormat="false" ht="15" hidden="false" customHeight="false" outlineLevel="0" collapsed="false">
      <c r="A1286" s="17"/>
      <c r="B1286" s="18" t="str">
        <f aca="false">IF($A1286="","",TEXT($A1286,"ddd"))</f>
        <v/>
      </c>
      <c r="C1286" s="19"/>
      <c r="D1286" s="19"/>
      <c r="E1286" s="18" t="str">
        <f aca="false">IF($C1286="","",IFERROR(INDEX(Lists!$B$2:$B$40,MATCH($C1286,Lists!$A$2:$A$40,0)),""))</f>
        <v/>
      </c>
      <c r="F1286" s="20"/>
      <c r="G1286" s="20"/>
      <c r="H1286" s="20"/>
      <c r="I1286" s="20"/>
      <c r="J1286" s="20"/>
      <c r="K1286" s="18" t="str">
        <f aca="false">IF(COUNT($F1286:$J1286)=0,"",SUM($F1286:$J1286))</f>
        <v/>
      </c>
      <c r="L1286" s="18" t="str">
        <f aca="false">IF(COUNT($F1286:$J1286)=0,"",MAX($F1286:$J1286))</f>
        <v/>
      </c>
      <c r="M1286" s="18" t="str">
        <f aca="false">IFERROR(IF(OR($C1286="",COUNT($F1286:$J1286)&lt;3),"",IF(N(INDEX(Lists!$C$2:$C$40,MATCH($C1286,Lists!$A$2:$A$40,0)))=0,"",IF(MIN($F1286:$J1286)&gt;=INDEX(Lists!$C$2:$C$40,MATCH($C1286,Lists!$A$2:$A$40,0)),"LEVEL UP",""))),"")</f>
        <v/>
      </c>
      <c r="N1286" s="20"/>
      <c r="O1286" s="19"/>
    </row>
    <row r="1287" customFormat="false" ht="15" hidden="false" customHeight="false" outlineLevel="0" collapsed="false">
      <c r="A1287" s="17"/>
      <c r="B1287" s="18" t="str">
        <f aca="false">IF($A1287="","",TEXT($A1287,"ddd"))</f>
        <v/>
      </c>
      <c r="C1287" s="19"/>
      <c r="D1287" s="19"/>
      <c r="E1287" s="18" t="str">
        <f aca="false">IF($C1287="","",IFERROR(INDEX(Lists!$B$2:$B$40,MATCH($C1287,Lists!$A$2:$A$40,0)),""))</f>
        <v/>
      </c>
      <c r="F1287" s="20"/>
      <c r="G1287" s="20"/>
      <c r="H1287" s="20"/>
      <c r="I1287" s="20"/>
      <c r="J1287" s="20"/>
      <c r="K1287" s="18" t="str">
        <f aca="false">IF(COUNT($F1287:$J1287)=0,"",SUM($F1287:$J1287))</f>
        <v/>
      </c>
      <c r="L1287" s="18" t="str">
        <f aca="false">IF(COUNT($F1287:$J1287)=0,"",MAX($F1287:$J1287))</f>
        <v/>
      </c>
      <c r="M1287" s="18" t="str">
        <f aca="false">IFERROR(IF(OR($C1287="",COUNT($F1287:$J1287)&lt;3),"",IF(N(INDEX(Lists!$C$2:$C$40,MATCH($C1287,Lists!$A$2:$A$40,0)))=0,"",IF(MIN($F1287:$J1287)&gt;=INDEX(Lists!$C$2:$C$40,MATCH($C1287,Lists!$A$2:$A$40,0)),"LEVEL UP",""))),"")</f>
        <v/>
      </c>
      <c r="N1287" s="20"/>
      <c r="O1287" s="19"/>
    </row>
    <row r="1288" customFormat="false" ht="15" hidden="false" customHeight="false" outlineLevel="0" collapsed="false">
      <c r="A1288" s="17"/>
      <c r="B1288" s="18" t="str">
        <f aca="false">IF($A1288="","",TEXT($A1288,"ddd"))</f>
        <v/>
      </c>
      <c r="C1288" s="19"/>
      <c r="D1288" s="19"/>
      <c r="E1288" s="18" t="str">
        <f aca="false">IF($C1288="","",IFERROR(INDEX(Lists!$B$2:$B$40,MATCH($C1288,Lists!$A$2:$A$40,0)),""))</f>
        <v/>
      </c>
      <c r="F1288" s="20"/>
      <c r="G1288" s="20"/>
      <c r="H1288" s="20"/>
      <c r="I1288" s="20"/>
      <c r="J1288" s="20"/>
      <c r="K1288" s="18" t="str">
        <f aca="false">IF(COUNT($F1288:$J1288)=0,"",SUM($F1288:$J1288))</f>
        <v/>
      </c>
      <c r="L1288" s="18" t="str">
        <f aca="false">IF(COUNT($F1288:$J1288)=0,"",MAX($F1288:$J1288))</f>
        <v/>
      </c>
      <c r="M1288" s="18" t="str">
        <f aca="false">IFERROR(IF(OR($C1288="",COUNT($F1288:$J1288)&lt;3),"",IF(N(INDEX(Lists!$C$2:$C$40,MATCH($C1288,Lists!$A$2:$A$40,0)))=0,"",IF(MIN($F1288:$J1288)&gt;=INDEX(Lists!$C$2:$C$40,MATCH($C1288,Lists!$A$2:$A$40,0)),"LEVEL UP",""))),"")</f>
        <v/>
      </c>
      <c r="N1288" s="20"/>
      <c r="O1288" s="19"/>
    </row>
    <row r="1289" customFormat="false" ht="15" hidden="false" customHeight="false" outlineLevel="0" collapsed="false">
      <c r="A1289" s="17"/>
      <c r="B1289" s="18" t="str">
        <f aca="false">IF($A1289="","",TEXT($A1289,"ddd"))</f>
        <v/>
      </c>
      <c r="C1289" s="19"/>
      <c r="D1289" s="19"/>
      <c r="E1289" s="18" t="str">
        <f aca="false">IF($C1289="","",IFERROR(INDEX(Lists!$B$2:$B$40,MATCH($C1289,Lists!$A$2:$A$40,0)),""))</f>
        <v/>
      </c>
      <c r="F1289" s="20"/>
      <c r="G1289" s="20"/>
      <c r="H1289" s="20"/>
      <c r="I1289" s="20"/>
      <c r="J1289" s="20"/>
      <c r="K1289" s="18" t="str">
        <f aca="false">IF(COUNT($F1289:$J1289)=0,"",SUM($F1289:$J1289))</f>
        <v/>
      </c>
      <c r="L1289" s="18" t="str">
        <f aca="false">IF(COUNT($F1289:$J1289)=0,"",MAX($F1289:$J1289))</f>
        <v/>
      </c>
      <c r="M1289" s="18" t="str">
        <f aca="false">IFERROR(IF(OR($C1289="",COUNT($F1289:$J1289)&lt;3),"",IF(N(INDEX(Lists!$C$2:$C$40,MATCH($C1289,Lists!$A$2:$A$40,0)))=0,"",IF(MIN($F1289:$J1289)&gt;=INDEX(Lists!$C$2:$C$40,MATCH($C1289,Lists!$A$2:$A$40,0)),"LEVEL UP",""))),"")</f>
        <v/>
      </c>
      <c r="N1289" s="20"/>
      <c r="O1289" s="19"/>
    </row>
    <row r="1290" customFormat="false" ht="15" hidden="false" customHeight="false" outlineLevel="0" collapsed="false">
      <c r="A1290" s="17"/>
      <c r="B1290" s="18" t="str">
        <f aca="false">IF($A1290="","",TEXT($A1290,"ddd"))</f>
        <v/>
      </c>
      <c r="C1290" s="19"/>
      <c r="D1290" s="19"/>
      <c r="E1290" s="18" t="str">
        <f aca="false">IF($C1290="","",IFERROR(INDEX(Lists!$B$2:$B$40,MATCH($C1290,Lists!$A$2:$A$40,0)),""))</f>
        <v/>
      </c>
      <c r="F1290" s="20"/>
      <c r="G1290" s="20"/>
      <c r="H1290" s="20"/>
      <c r="I1290" s="20"/>
      <c r="J1290" s="20"/>
      <c r="K1290" s="18" t="str">
        <f aca="false">IF(COUNT($F1290:$J1290)=0,"",SUM($F1290:$J1290))</f>
        <v/>
      </c>
      <c r="L1290" s="18" t="str">
        <f aca="false">IF(COUNT($F1290:$J1290)=0,"",MAX($F1290:$J1290))</f>
        <v/>
      </c>
      <c r="M1290" s="18" t="str">
        <f aca="false">IFERROR(IF(OR($C1290="",COUNT($F1290:$J1290)&lt;3),"",IF(N(INDEX(Lists!$C$2:$C$40,MATCH($C1290,Lists!$A$2:$A$40,0)))=0,"",IF(MIN($F1290:$J1290)&gt;=INDEX(Lists!$C$2:$C$40,MATCH($C1290,Lists!$A$2:$A$40,0)),"LEVEL UP",""))),"")</f>
        <v/>
      </c>
      <c r="N1290" s="20"/>
      <c r="O1290" s="19"/>
    </row>
    <row r="1291" customFormat="false" ht="15" hidden="false" customHeight="false" outlineLevel="0" collapsed="false">
      <c r="A1291" s="17"/>
      <c r="B1291" s="18" t="str">
        <f aca="false">IF($A1291="","",TEXT($A1291,"ddd"))</f>
        <v/>
      </c>
      <c r="C1291" s="19"/>
      <c r="D1291" s="19"/>
      <c r="E1291" s="18" t="str">
        <f aca="false">IF($C1291="","",IFERROR(INDEX(Lists!$B$2:$B$40,MATCH($C1291,Lists!$A$2:$A$40,0)),""))</f>
        <v/>
      </c>
      <c r="F1291" s="20"/>
      <c r="G1291" s="20"/>
      <c r="H1291" s="20"/>
      <c r="I1291" s="20"/>
      <c r="J1291" s="20"/>
      <c r="K1291" s="18" t="str">
        <f aca="false">IF(COUNT($F1291:$J1291)=0,"",SUM($F1291:$J1291))</f>
        <v/>
      </c>
      <c r="L1291" s="18" t="str">
        <f aca="false">IF(COUNT($F1291:$J1291)=0,"",MAX($F1291:$J1291))</f>
        <v/>
      </c>
      <c r="M1291" s="18" t="str">
        <f aca="false">IFERROR(IF(OR($C1291="",COUNT($F1291:$J1291)&lt;3),"",IF(N(INDEX(Lists!$C$2:$C$40,MATCH($C1291,Lists!$A$2:$A$40,0)))=0,"",IF(MIN($F1291:$J1291)&gt;=INDEX(Lists!$C$2:$C$40,MATCH($C1291,Lists!$A$2:$A$40,0)),"LEVEL UP",""))),"")</f>
        <v/>
      </c>
      <c r="N1291" s="20"/>
      <c r="O1291" s="19"/>
    </row>
    <row r="1292" customFormat="false" ht="15" hidden="false" customHeight="false" outlineLevel="0" collapsed="false">
      <c r="A1292" s="17"/>
      <c r="B1292" s="18" t="str">
        <f aca="false">IF($A1292="","",TEXT($A1292,"ddd"))</f>
        <v/>
      </c>
      <c r="C1292" s="19"/>
      <c r="D1292" s="19"/>
      <c r="E1292" s="18" t="str">
        <f aca="false">IF($C1292="","",IFERROR(INDEX(Lists!$B$2:$B$40,MATCH($C1292,Lists!$A$2:$A$40,0)),""))</f>
        <v/>
      </c>
      <c r="F1292" s="20"/>
      <c r="G1292" s="20"/>
      <c r="H1292" s="20"/>
      <c r="I1292" s="20"/>
      <c r="J1292" s="20"/>
      <c r="K1292" s="18" t="str">
        <f aca="false">IF(COUNT($F1292:$J1292)=0,"",SUM($F1292:$J1292))</f>
        <v/>
      </c>
      <c r="L1292" s="18" t="str">
        <f aca="false">IF(COUNT($F1292:$J1292)=0,"",MAX($F1292:$J1292))</f>
        <v/>
      </c>
      <c r="M1292" s="18" t="str">
        <f aca="false">IFERROR(IF(OR($C1292="",COUNT($F1292:$J1292)&lt;3),"",IF(N(INDEX(Lists!$C$2:$C$40,MATCH($C1292,Lists!$A$2:$A$40,0)))=0,"",IF(MIN($F1292:$J1292)&gt;=INDEX(Lists!$C$2:$C$40,MATCH($C1292,Lists!$A$2:$A$40,0)),"LEVEL UP",""))),"")</f>
        <v/>
      </c>
      <c r="N1292" s="20"/>
      <c r="O1292" s="19"/>
    </row>
    <row r="1293" customFormat="false" ht="15" hidden="false" customHeight="false" outlineLevel="0" collapsed="false">
      <c r="A1293" s="17"/>
      <c r="B1293" s="18" t="str">
        <f aca="false">IF($A1293="","",TEXT($A1293,"ddd"))</f>
        <v/>
      </c>
      <c r="C1293" s="19"/>
      <c r="D1293" s="19"/>
      <c r="E1293" s="18" t="str">
        <f aca="false">IF($C1293="","",IFERROR(INDEX(Lists!$B$2:$B$40,MATCH($C1293,Lists!$A$2:$A$40,0)),""))</f>
        <v/>
      </c>
      <c r="F1293" s="20"/>
      <c r="G1293" s="20"/>
      <c r="H1293" s="20"/>
      <c r="I1293" s="20"/>
      <c r="J1293" s="20"/>
      <c r="K1293" s="18" t="str">
        <f aca="false">IF(COUNT($F1293:$J1293)=0,"",SUM($F1293:$J1293))</f>
        <v/>
      </c>
      <c r="L1293" s="18" t="str">
        <f aca="false">IF(COUNT($F1293:$J1293)=0,"",MAX($F1293:$J1293))</f>
        <v/>
      </c>
      <c r="M1293" s="18" t="str">
        <f aca="false">IFERROR(IF(OR($C1293="",COUNT($F1293:$J1293)&lt;3),"",IF(N(INDEX(Lists!$C$2:$C$40,MATCH($C1293,Lists!$A$2:$A$40,0)))=0,"",IF(MIN($F1293:$J1293)&gt;=INDEX(Lists!$C$2:$C$40,MATCH($C1293,Lists!$A$2:$A$40,0)),"LEVEL UP",""))),"")</f>
        <v/>
      </c>
      <c r="N1293" s="20"/>
      <c r="O1293" s="19"/>
    </row>
    <row r="1294" customFormat="false" ht="15" hidden="false" customHeight="false" outlineLevel="0" collapsed="false">
      <c r="A1294" s="17"/>
      <c r="B1294" s="18" t="str">
        <f aca="false">IF($A1294="","",TEXT($A1294,"ddd"))</f>
        <v/>
      </c>
      <c r="C1294" s="19"/>
      <c r="D1294" s="19"/>
      <c r="E1294" s="18" t="str">
        <f aca="false">IF($C1294="","",IFERROR(INDEX(Lists!$B$2:$B$40,MATCH($C1294,Lists!$A$2:$A$40,0)),""))</f>
        <v/>
      </c>
      <c r="F1294" s="20"/>
      <c r="G1294" s="20"/>
      <c r="H1294" s="20"/>
      <c r="I1294" s="20"/>
      <c r="J1294" s="20"/>
      <c r="K1294" s="18" t="str">
        <f aca="false">IF(COUNT($F1294:$J1294)=0,"",SUM($F1294:$J1294))</f>
        <v/>
      </c>
      <c r="L1294" s="18" t="str">
        <f aca="false">IF(COUNT($F1294:$J1294)=0,"",MAX($F1294:$J1294))</f>
        <v/>
      </c>
      <c r="M1294" s="18" t="str">
        <f aca="false">IFERROR(IF(OR($C1294="",COUNT($F1294:$J1294)&lt;3),"",IF(N(INDEX(Lists!$C$2:$C$40,MATCH($C1294,Lists!$A$2:$A$40,0)))=0,"",IF(MIN($F1294:$J1294)&gt;=INDEX(Lists!$C$2:$C$40,MATCH($C1294,Lists!$A$2:$A$40,0)),"LEVEL UP",""))),"")</f>
        <v/>
      </c>
      <c r="N1294" s="20"/>
      <c r="O1294" s="19"/>
    </row>
    <row r="1295" customFormat="false" ht="15" hidden="false" customHeight="false" outlineLevel="0" collapsed="false">
      <c r="A1295" s="17"/>
      <c r="B1295" s="18" t="str">
        <f aca="false">IF($A1295="","",TEXT($A1295,"ddd"))</f>
        <v/>
      </c>
      <c r="C1295" s="19"/>
      <c r="D1295" s="19"/>
      <c r="E1295" s="18" t="str">
        <f aca="false">IF($C1295="","",IFERROR(INDEX(Lists!$B$2:$B$40,MATCH($C1295,Lists!$A$2:$A$40,0)),""))</f>
        <v/>
      </c>
      <c r="F1295" s="20"/>
      <c r="G1295" s="20"/>
      <c r="H1295" s="20"/>
      <c r="I1295" s="20"/>
      <c r="J1295" s="20"/>
      <c r="K1295" s="18" t="str">
        <f aca="false">IF(COUNT($F1295:$J1295)=0,"",SUM($F1295:$J1295))</f>
        <v/>
      </c>
      <c r="L1295" s="18" t="str">
        <f aca="false">IF(COUNT($F1295:$J1295)=0,"",MAX($F1295:$J1295))</f>
        <v/>
      </c>
      <c r="M1295" s="18" t="str">
        <f aca="false">IFERROR(IF(OR($C1295="",COUNT($F1295:$J1295)&lt;3),"",IF(N(INDEX(Lists!$C$2:$C$40,MATCH($C1295,Lists!$A$2:$A$40,0)))=0,"",IF(MIN($F1295:$J1295)&gt;=INDEX(Lists!$C$2:$C$40,MATCH($C1295,Lists!$A$2:$A$40,0)),"LEVEL UP",""))),"")</f>
        <v/>
      </c>
      <c r="N1295" s="20"/>
      <c r="O1295" s="19"/>
    </row>
    <row r="1296" customFormat="false" ht="15" hidden="false" customHeight="false" outlineLevel="0" collapsed="false">
      <c r="A1296" s="17"/>
      <c r="B1296" s="18" t="str">
        <f aca="false">IF($A1296="","",TEXT($A1296,"ddd"))</f>
        <v/>
      </c>
      <c r="C1296" s="19"/>
      <c r="D1296" s="19"/>
      <c r="E1296" s="18" t="str">
        <f aca="false">IF($C1296="","",IFERROR(INDEX(Lists!$B$2:$B$40,MATCH($C1296,Lists!$A$2:$A$40,0)),""))</f>
        <v/>
      </c>
      <c r="F1296" s="20"/>
      <c r="G1296" s="20"/>
      <c r="H1296" s="20"/>
      <c r="I1296" s="20"/>
      <c r="J1296" s="20"/>
      <c r="K1296" s="18" t="str">
        <f aca="false">IF(COUNT($F1296:$J1296)=0,"",SUM($F1296:$J1296))</f>
        <v/>
      </c>
      <c r="L1296" s="18" t="str">
        <f aca="false">IF(COUNT($F1296:$J1296)=0,"",MAX($F1296:$J1296))</f>
        <v/>
      </c>
      <c r="M1296" s="18" t="str">
        <f aca="false">IFERROR(IF(OR($C1296="",COUNT($F1296:$J1296)&lt;3),"",IF(N(INDEX(Lists!$C$2:$C$40,MATCH($C1296,Lists!$A$2:$A$40,0)))=0,"",IF(MIN($F1296:$J1296)&gt;=INDEX(Lists!$C$2:$C$40,MATCH($C1296,Lists!$A$2:$A$40,0)),"LEVEL UP",""))),"")</f>
        <v/>
      </c>
      <c r="N1296" s="20"/>
      <c r="O1296" s="19"/>
    </row>
    <row r="1297" customFormat="false" ht="15" hidden="false" customHeight="false" outlineLevel="0" collapsed="false">
      <c r="A1297" s="17"/>
      <c r="B1297" s="18" t="str">
        <f aca="false">IF($A1297="","",TEXT($A1297,"ddd"))</f>
        <v/>
      </c>
      <c r="C1297" s="19"/>
      <c r="D1297" s="19"/>
      <c r="E1297" s="18" t="str">
        <f aca="false">IF($C1297="","",IFERROR(INDEX(Lists!$B$2:$B$40,MATCH($C1297,Lists!$A$2:$A$40,0)),""))</f>
        <v/>
      </c>
      <c r="F1297" s="20"/>
      <c r="G1297" s="20"/>
      <c r="H1297" s="20"/>
      <c r="I1297" s="20"/>
      <c r="J1297" s="20"/>
      <c r="K1297" s="18" t="str">
        <f aca="false">IF(COUNT($F1297:$J1297)=0,"",SUM($F1297:$J1297))</f>
        <v/>
      </c>
      <c r="L1297" s="18" t="str">
        <f aca="false">IF(COUNT($F1297:$J1297)=0,"",MAX($F1297:$J1297))</f>
        <v/>
      </c>
      <c r="M1297" s="18" t="str">
        <f aca="false">IFERROR(IF(OR($C1297="",COUNT($F1297:$J1297)&lt;3),"",IF(N(INDEX(Lists!$C$2:$C$40,MATCH($C1297,Lists!$A$2:$A$40,0)))=0,"",IF(MIN($F1297:$J1297)&gt;=INDEX(Lists!$C$2:$C$40,MATCH($C1297,Lists!$A$2:$A$40,0)),"LEVEL UP",""))),"")</f>
        <v/>
      </c>
      <c r="N1297" s="20"/>
      <c r="O1297" s="19"/>
    </row>
    <row r="1298" customFormat="false" ht="15" hidden="false" customHeight="false" outlineLevel="0" collapsed="false">
      <c r="A1298" s="17"/>
      <c r="B1298" s="18" t="str">
        <f aca="false">IF($A1298="","",TEXT($A1298,"ddd"))</f>
        <v/>
      </c>
      <c r="C1298" s="19"/>
      <c r="D1298" s="19"/>
      <c r="E1298" s="18" t="str">
        <f aca="false">IF($C1298="","",IFERROR(INDEX(Lists!$B$2:$B$40,MATCH($C1298,Lists!$A$2:$A$40,0)),""))</f>
        <v/>
      </c>
      <c r="F1298" s="20"/>
      <c r="G1298" s="20"/>
      <c r="H1298" s="20"/>
      <c r="I1298" s="20"/>
      <c r="J1298" s="20"/>
      <c r="K1298" s="18" t="str">
        <f aca="false">IF(COUNT($F1298:$J1298)=0,"",SUM($F1298:$J1298))</f>
        <v/>
      </c>
      <c r="L1298" s="18" t="str">
        <f aca="false">IF(COUNT($F1298:$J1298)=0,"",MAX($F1298:$J1298))</f>
        <v/>
      </c>
      <c r="M1298" s="18" t="str">
        <f aca="false">IFERROR(IF(OR($C1298="",COUNT($F1298:$J1298)&lt;3),"",IF(N(INDEX(Lists!$C$2:$C$40,MATCH($C1298,Lists!$A$2:$A$40,0)))=0,"",IF(MIN($F1298:$J1298)&gt;=INDEX(Lists!$C$2:$C$40,MATCH($C1298,Lists!$A$2:$A$40,0)),"LEVEL UP",""))),"")</f>
        <v/>
      </c>
      <c r="N1298" s="20"/>
      <c r="O1298" s="19"/>
    </row>
    <row r="1299" customFormat="false" ht="15" hidden="false" customHeight="false" outlineLevel="0" collapsed="false">
      <c r="A1299" s="17"/>
      <c r="B1299" s="18" t="str">
        <f aca="false">IF($A1299="","",TEXT($A1299,"ddd"))</f>
        <v/>
      </c>
      <c r="C1299" s="19"/>
      <c r="D1299" s="19"/>
      <c r="E1299" s="18" t="str">
        <f aca="false">IF($C1299="","",IFERROR(INDEX(Lists!$B$2:$B$40,MATCH($C1299,Lists!$A$2:$A$40,0)),""))</f>
        <v/>
      </c>
      <c r="F1299" s="20"/>
      <c r="G1299" s="20"/>
      <c r="H1299" s="20"/>
      <c r="I1299" s="20"/>
      <c r="J1299" s="20"/>
      <c r="K1299" s="18" t="str">
        <f aca="false">IF(COUNT($F1299:$J1299)=0,"",SUM($F1299:$J1299))</f>
        <v/>
      </c>
      <c r="L1299" s="18" t="str">
        <f aca="false">IF(COUNT($F1299:$J1299)=0,"",MAX($F1299:$J1299))</f>
        <v/>
      </c>
      <c r="M1299" s="18" t="str">
        <f aca="false">IFERROR(IF(OR($C1299="",COUNT($F1299:$J1299)&lt;3),"",IF(N(INDEX(Lists!$C$2:$C$40,MATCH($C1299,Lists!$A$2:$A$40,0)))=0,"",IF(MIN($F1299:$J1299)&gt;=INDEX(Lists!$C$2:$C$40,MATCH($C1299,Lists!$A$2:$A$40,0)),"LEVEL UP",""))),"")</f>
        <v/>
      </c>
      <c r="N1299" s="20"/>
      <c r="O1299" s="19"/>
    </row>
    <row r="1300" customFormat="false" ht="15" hidden="false" customHeight="false" outlineLevel="0" collapsed="false">
      <c r="A1300" s="17"/>
      <c r="B1300" s="18" t="str">
        <f aca="false">IF($A1300="","",TEXT($A1300,"ddd"))</f>
        <v/>
      </c>
      <c r="C1300" s="19"/>
      <c r="D1300" s="19"/>
      <c r="E1300" s="18" t="str">
        <f aca="false">IF($C1300="","",IFERROR(INDEX(Lists!$B$2:$B$40,MATCH($C1300,Lists!$A$2:$A$40,0)),""))</f>
        <v/>
      </c>
      <c r="F1300" s="20"/>
      <c r="G1300" s="20"/>
      <c r="H1300" s="20"/>
      <c r="I1300" s="20"/>
      <c r="J1300" s="20"/>
      <c r="K1300" s="18" t="str">
        <f aca="false">IF(COUNT($F1300:$J1300)=0,"",SUM($F1300:$J1300))</f>
        <v/>
      </c>
      <c r="L1300" s="18" t="str">
        <f aca="false">IF(COUNT($F1300:$J1300)=0,"",MAX($F1300:$J1300))</f>
        <v/>
      </c>
      <c r="M1300" s="18" t="str">
        <f aca="false">IFERROR(IF(OR($C1300="",COUNT($F1300:$J1300)&lt;3),"",IF(N(INDEX(Lists!$C$2:$C$40,MATCH($C1300,Lists!$A$2:$A$40,0)))=0,"",IF(MIN($F1300:$J1300)&gt;=INDEX(Lists!$C$2:$C$40,MATCH($C1300,Lists!$A$2:$A$40,0)),"LEVEL UP",""))),"")</f>
        <v/>
      </c>
      <c r="N1300" s="20"/>
      <c r="O1300" s="19"/>
    </row>
    <row r="1301" customFormat="false" ht="15" hidden="false" customHeight="false" outlineLevel="0" collapsed="false">
      <c r="A1301" s="17"/>
      <c r="B1301" s="18" t="str">
        <f aca="false">IF($A1301="","",TEXT($A1301,"ddd"))</f>
        <v/>
      </c>
      <c r="C1301" s="19"/>
      <c r="D1301" s="19"/>
      <c r="E1301" s="18" t="str">
        <f aca="false">IF($C1301="","",IFERROR(INDEX(Lists!$B$2:$B$40,MATCH($C1301,Lists!$A$2:$A$40,0)),""))</f>
        <v/>
      </c>
      <c r="F1301" s="20"/>
      <c r="G1301" s="20"/>
      <c r="H1301" s="20"/>
      <c r="I1301" s="20"/>
      <c r="J1301" s="20"/>
      <c r="K1301" s="18" t="str">
        <f aca="false">IF(COUNT($F1301:$J1301)=0,"",SUM($F1301:$J1301))</f>
        <v/>
      </c>
      <c r="L1301" s="18" t="str">
        <f aca="false">IF(COUNT($F1301:$J1301)=0,"",MAX($F1301:$J1301))</f>
        <v/>
      </c>
      <c r="M1301" s="18" t="str">
        <f aca="false">IFERROR(IF(OR($C1301="",COUNT($F1301:$J1301)&lt;3),"",IF(N(INDEX(Lists!$C$2:$C$40,MATCH($C1301,Lists!$A$2:$A$40,0)))=0,"",IF(MIN($F1301:$J1301)&gt;=INDEX(Lists!$C$2:$C$40,MATCH($C1301,Lists!$A$2:$A$40,0)),"LEVEL UP",""))),"")</f>
        <v/>
      </c>
      <c r="N1301" s="20"/>
      <c r="O1301" s="19"/>
    </row>
    <row r="1302" customFormat="false" ht="15" hidden="false" customHeight="false" outlineLevel="0" collapsed="false">
      <c r="A1302" s="17"/>
      <c r="B1302" s="18" t="str">
        <f aca="false">IF($A1302="","",TEXT($A1302,"ddd"))</f>
        <v/>
      </c>
      <c r="C1302" s="19"/>
      <c r="D1302" s="19"/>
      <c r="E1302" s="18" t="str">
        <f aca="false">IF($C1302="","",IFERROR(INDEX(Lists!$B$2:$B$40,MATCH($C1302,Lists!$A$2:$A$40,0)),""))</f>
        <v/>
      </c>
      <c r="F1302" s="20"/>
      <c r="G1302" s="20"/>
      <c r="H1302" s="20"/>
      <c r="I1302" s="20"/>
      <c r="J1302" s="20"/>
      <c r="K1302" s="18" t="str">
        <f aca="false">IF(COUNT($F1302:$J1302)=0,"",SUM($F1302:$J1302))</f>
        <v/>
      </c>
      <c r="L1302" s="18" t="str">
        <f aca="false">IF(COUNT($F1302:$J1302)=0,"",MAX($F1302:$J1302))</f>
        <v/>
      </c>
      <c r="M1302" s="18" t="str">
        <f aca="false">IFERROR(IF(OR($C1302="",COUNT($F1302:$J1302)&lt;3),"",IF(N(INDEX(Lists!$C$2:$C$40,MATCH($C1302,Lists!$A$2:$A$40,0)))=0,"",IF(MIN($F1302:$J1302)&gt;=INDEX(Lists!$C$2:$C$40,MATCH($C1302,Lists!$A$2:$A$40,0)),"LEVEL UP",""))),"")</f>
        <v/>
      </c>
      <c r="N1302" s="20"/>
      <c r="O1302" s="19"/>
    </row>
    <row r="1303" customFormat="false" ht="15" hidden="false" customHeight="false" outlineLevel="0" collapsed="false">
      <c r="A1303" s="17"/>
      <c r="B1303" s="18" t="str">
        <f aca="false">IF($A1303="","",TEXT($A1303,"ddd"))</f>
        <v/>
      </c>
      <c r="C1303" s="19"/>
      <c r="D1303" s="19"/>
      <c r="E1303" s="18" t="str">
        <f aca="false">IF($C1303="","",IFERROR(INDEX(Lists!$B$2:$B$40,MATCH($C1303,Lists!$A$2:$A$40,0)),""))</f>
        <v/>
      </c>
      <c r="F1303" s="20"/>
      <c r="G1303" s="20"/>
      <c r="H1303" s="20"/>
      <c r="I1303" s="20"/>
      <c r="J1303" s="20"/>
      <c r="K1303" s="18" t="str">
        <f aca="false">IF(COUNT($F1303:$J1303)=0,"",SUM($F1303:$J1303))</f>
        <v/>
      </c>
      <c r="L1303" s="18" t="str">
        <f aca="false">IF(COUNT($F1303:$J1303)=0,"",MAX($F1303:$J1303))</f>
        <v/>
      </c>
      <c r="M1303" s="18" t="str">
        <f aca="false">IFERROR(IF(OR($C1303="",COUNT($F1303:$J1303)&lt;3),"",IF(N(INDEX(Lists!$C$2:$C$40,MATCH($C1303,Lists!$A$2:$A$40,0)))=0,"",IF(MIN($F1303:$J1303)&gt;=INDEX(Lists!$C$2:$C$40,MATCH($C1303,Lists!$A$2:$A$40,0)),"LEVEL UP",""))),"")</f>
        <v/>
      </c>
      <c r="N1303" s="20"/>
      <c r="O1303" s="19"/>
    </row>
    <row r="1304" customFormat="false" ht="15" hidden="false" customHeight="false" outlineLevel="0" collapsed="false">
      <c r="A1304" s="17"/>
      <c r="B1304" s="18" t="str">
        <f aca="false">IF($A1304="","",TEXT($A1304,"ddd"))</f>
        <v/>
      </c>
      <c r="C1304" s="19"/>
      <c r="D1304" s="19"/>
      <c r="E1304" s="18" t="str">
        <f aca="false">IF($C1304="","",IFERROR(INDEX(Lists!$B$2:$B$40,MATCH($C1304,Lists!$A$2:$A$40,0)),""))</f>
        <v/>
      </c>
      <c r="F1304" s="20"/>
      <c r="G1304" s="20"/>
      <c r="H1304" s="20"/>
      <c r="I1304" s="20"/>
      <c r="J1304" s="20"/>
      <c r="K1304" s="18" t="str">
        <f aca="false">IF(COUNT($F1304:$J1304)=0,"",SUM($F1304:$J1304))</f>
        <v/>
      </c>
      <c r="L1304" s="18" t="str">
        <f aca="false">IF(COUNT($F1304:$J1304)=0,"",MAX($F1304:$J1304))</f>
        <v/>
      </c>
      <c r="M1304" s="18" t="str">
        <f aca="false">IFERROR(IF(OR($C1304="",COUNT($F1304:$J1304)&lt;3),"",IF(N(INDEX(Lists!$C$2:$C$40,MATCH($C1304,Lists!$A$2:$A$40,0)))=0,"",IF(MIN($F1304:$J1304)&gt;=INDEX(Lists!$C$2:$C$40,MATCH($C1304,Lists!$A$2:$A$40,0)),"LEVEL UP",""))),"")</f>
        <v/>
      </c>
      <c r="N1304" s="20"/>
      <c r="O1304" s="19"/>
    </row>
    <row r="1305" customFormat="false" ht="15" hidden="false" customHeight="false" outlineLevel="0" collapsed="false">
      <c r="A1305" s="17"/>
      <c r="B1305" s="18" t="str">
        <f aca="false">IF($A1305="","",TEXT($A1305,"ddd"))</f>
        <v/>
      </c>
      <c r="C1305" s="19"/>
      <c r="D1305" s="19"/>
      <c r="E1305" s="18" t="str">
        <f aca="false">IF($C1305="","",IFERROR(INDEX(Lists!$B$2:$B$40,MATCH($C1305,Lists!$A$2:$A$40,0)),""))</f>
        <v/>
      </c>
      <c r="F1305" s="20"/>
      <c r="G1305" s="20"/>
      <c r="H1305" s="20"/>
      <c r="I1305" s="20"/>
      <c r="J1305" s="20"/>
      <c r="K1305" s="18" t="str">
        <f aca="false">IF(COUNT($F1305:$J1305)=0,"",SUM($F1305:$J1305))</f>
        <v/>
      </c>
      <c r="L1305" s="18" t="str">
        <f aca="false">IF(COUNT($F1305:$J1305)=0,"",MAX($F1305:$J1305))</f>
        <v/>
      </c>
      <c r="M1305" s="18" t="str">
        <f aca="false">IFERROR(IF(OR($C1305="",COUNT($F1305:$J1305)&lt;3),"",IF(N(INDEX(Lists!$C$2:$C$40,MATCH($C1305,Lists!$A$2:$A$40,0)))=0,"",IF(MIN($F1305:$J1305)&gt;=INDEX(Lists!$C$2:$C$40,MATCH($C1305,Lists!$A$2:$A$40,0)),"LEVEL UP",""))),"")</f>
        <v/>
      </c>
      <c r="N1305" s="20"/>
      <c r="O1305" s="19"/>
    </row>
    <row r="1306" customFormat="false" ht="15" hidden="false" customHeight="false" outlineLevel="0" collapsed="false">
      <c r="A1306" s="17"/>
      <c r="B1306" s="18" t="str">
        <f aca="false">IF($A1306="","",TEXT($A1306,"ddd"))</f>
        <v/>
      </c>
      <c r="C1306" s="19"/>
      <c r="D1306" s="19"/>
      <c r="E1306" s="18" t="str">
        <f aca="false">IF($C1306="","",IFERROR(INDEX(Lists!$B$2:$B$40,MATCH($C1306,Lists!$A$2:$A$40,0)),""))</f>
        <v/>
      </c>
      <c r="F1306" s="20"/>
      <c r="G1306" s="20"/>
      <c r="H1306" s="20"/>
      <c r="I1306" s="20"/>
      <c r="J1306" s="20"/>
      <c r="K1306" s="18" t="str">
        <f aca="false">IF(COUNT($F1306:$J1306)=0,"",SUM($F1306:$J1306))</f>
        <v/>
      </c>
      <c r="L1306" s="18" t="str">
        <f aca="false">IF(COUNT($F1306:$J1306)=0,"",MAX($F1306:$J1306))</f>
        <v/>
      </c>
      <c r="M1306" s="18" t="str">
        <f aca="false">IFERROR(IF(OR($C1306="",COUNT($F1306:$J1306)&lt;3),"",IF(N(INDEX(Lists!$C$2:$C$40,MATCH($C1306,Lists!$A$2:$A$40,0)))=0,"",IF(MIN($F1306:$J1306)&gt;=INDEX(Lists!$C$2:$C$40,MATCH($C1306,Lists!$A$2:$A$40,0)),"LEVEL UP",""))),"")</f>
        <v/>
      </c>
      <c r="N1306" s="20"/>
      <c r="O1306" s="19"/>
    </row>
    <row r="1307" customFormat="false" ht="15" hidden="false" customHeight="false" outlineLevel="0" collapsed="false">
      <c r="A1307" s="17"/>
      <c r="B1307" s="18" t="str">
        <f aca="false">IF($A1307="","",TEXT($A1307,"ddd"))</f>
        <v/>
      </c>
      <c r="C1307" s="19"/>
      <c r="D1307" s="19"/>
      <c r="E1307" s="18" t="str">
        <f aca="false">IF($C1307="","",IFERROR(INDEX(Lists!$B$2:$B$40,MATCH($C1307,Lists!$A$2:$A$40,0)),""))</f>
        <v/>
      </c>
      <c r="F1307" s="20"/>
      <c r="G1307" s="20"/>
      <c r="H1307" s="20"/>
      <c r="I1307" s="20"/>
      <c r="J1307" s="20"/>
      <c r="K1307" s="18" t="str">
        <f aca="false">IF(COUNT($F1307:$J1307)=0,"",SUM($F1307:$J1307))</f>
        <v/>
      </c>
      <c r="L1307" s="18" t="str">
        <f aca="false">IF(COUNT($F1307:$J1307)=0,"",MAX($F1307:$J1307))</f>
        <v/>
      </c>
      <c r="M1307" s="18" t="str">
        <f aca="false">IFERROR(IF(OR($C1307="",COUNT($F1307:$J1307)&lt;3),"",IF(N(INDEX(Lists!$C$2:$C$40,MATCH($C1307,Lists!$A$2:$A$40,0)))=0,"",IF(MIN($F1307:$J1307)&gt;=INDEX(Lists!$C$2:$C$40,MATCH($C1307,Lists!$A$2:$A$40,0)),"LEVEL UP",""))),"")</f>
        <v/>
      </c>
      <c r="N1307" s="20"/>
      <c r="O1307" s="19"/>
    </row>
    <row r="1308" customFormat="false" ht="15" hidden="false" customHeight="false" outlineLevel="0" collapsed="false">
      <c r="A1308" s="17"/>
      <c r="B1308" s="18" t="str">
        <f aca="false">IF($A1308="","",TEXT($A1308,"ddd"))</f>
        <v/>
      </c>
      <c r="C1308" s="19"/>
      <c r="D1308" s="19"/>
      <c r="E1308" s="18" t="str">
        <f aca="false">IF($C1308="","",IFERROR(INDEX(Lists!$B$2:$B$40,MATCH($C1308,Lists!$A$2:$A$40,0)),""))</f>
        <v/>
      </c>
      <c r="F1308" s="20"/>
      <c r="G1308" s="20"/>
      <c r="H1308" s="20"/>
      <c r="I1308" s="20"/>
      <c r="J1308" s="20"/>
      <c r="K1308" s="18" t="str">
        <f aca="false">IF(COUNT($F1308:$J1308)=0,"",SUM($F1308:$J1308))</f>
        <v/>
      </c>
      <c r="L1308" s="18" t="str">
        <f aca="false">IF(COUNT($F1308:$J1308)=0,"",MAX($F1308:$J1308))</f>
        <v/>
      </c>
      <c r="M1308" s="18" t="str">
        <f aca="false">IFERROR(IF(OR($C1308="",COUNT($F1308:$J1308)&lt;3),"",IF(N(INDEX(Lists!$C$2:$C$40,MATCH($C1308,Lists!$A$2:$A$40,0)))=0,"",IF(MIN($F1308:$J1308)&gt;=INDEX(Lists!$C$2:$C$40,MATCH($C1308,Lists!$A$2:$A$40,0)),"LEVEL UP",""))),"")</f>
        <v/>
      </c>
      <c r="N1308" s="20"/>
      <c r="O1308" s="19"/>
    </row>
    <row r="1309" customFormat="false" ht="15" hidden="false" customHeight="false" outlineLevel="0" collapsed="false">
      <c r="A1309" s="17"/>
      <c r="B1309" s="18" t="str">
        <f aca="false">IF($A1309="","",TEXT($A1309,"ddd"))</f>
        <v/>
      </c>
      <c r="C1309" s="19"/>
      <c r="D1309" s="19"/>
      <c r="E1309" s="18" t="str">
        <f aca="false">IF($C1309="","",IFERROR(INDEX(Lists!$B$2:$B$40,MATCH($C1309,Lists!$A$2:$A$40,0)),""))</f>
        <v/>
      </c>
      <c r="F1309" s="20"/>
      <c r="G1309" s="20"/>
      <c r="H1309" s="20"/>
      <c r="I1309" s="20"/>
      <c r="J1309" s="20"/>
      <c r="K1309" s="18" t="str">
        <f aca="false">IF(COUNT($F1309:$J1309)=0,"",SUM($F1309:$J1309))</f>
        <v/>
      </c>
      <c r="L1309" s="18" t="str">
        <f aca="false">IF(COUNT($F1309:$J1309)=0,"",MAX($F1309:$J1309))</f>
        <v/>
      </c>
      <c r="M1309" s="18" t="str">
        <f aca="false">IFERROR(IF(OR($C1309="",COUNT($F1309:$J1309)&lt;3),"",IF(N(INDEX(Lists!$C$2:$C$40,MATCH($C1309,Lists!$A$2:$A$40,0)))=0,"",IF(MIN($F1309:$J1309)&gt;=INDEX(Lists!$C$2:$C$40,MATCH($C1309,Lists!$A$2:$A$40,0)),"LEVEL UP",""))),"")</f>
        <v/>
      </c>
      <c r="N1309" s="20"/>
      <c r="O1309" s="19"/>
    </row>
    <row r="1310" customFormat="false" ht="15" hidden="false" customHeight="false" outlineLevel="0" collapsed="false">
      <c r="A1310" s="17"/>
      <c r="B1310" s="18" t="str">
        <f aca="false">IF($A1310="","",TEXT($A1310,"ddd"))</f>
        <v/>
      </c>
      <c r="C1310" s="19"/>
      <c r="D1310" s="19"/>
      <c r="E1310" s="18" t="str">
        <f aca="false">IF($C1310="","",IFERROR(INDEX(Lists!$B$2:$B$40,MATCH($C1310,Lists!$A$2:$A$40,0)),""))</f>
        <v/>
      </c>
      <c r="F1310" s="20"/>
      <c r="G1310" s="20"/>
      <c r="H1310" s="20"/>
      <c r="I1310" s="20"/>
      <c r="J1310" s="20"/>
      <c r="K1310" s="18" t="str">
        <f aca="false">IF(COUNT($F1310:$J1310)=0,"",SUM($F1310:$J1310))</f>
        <v/>
      </c>
      <c r="L1310" s="18" t="str">
        <f aca="false">IF(COUNT($F1310:$J1310)=0,"",MAX($F1310:$J1310))</f>
        <v/>
      </c>
      <c r="M1310" s="18" t="str">
        <f aca="false">IFERROR(IF(OR($C1310="",COUNT($F1310:$J1310)&lt;3),"",IF(N(INDEX(Lists!$C$2:$C$40,MATCH($C1310,Lists!$A$2:$A$40,0)))=0,"",IF(MIN($F1310:$J1310)&gt;=INDEX(Lists!$C$2:$C$40,MATCH($C1310,Lists!$A$2:$A$40,0)),"LEVEL UP",""))),"")</f>
        <v/>
      </c>
      <c r="N1310" s="20"/>
      <c r="O1310" s="19"/>
    </row>
    <row r="1311" customFormat="false" ht="15" hidden="false" customHeight="false" outlineLevel="0" collapsed="false">
      <c r="A1311" s="17"/>
      <c r="B1311" s="18" t="str">
        <f aca="false">IF($A1311="","",TEXT($A1311,"ddd"))</f>
        <v/>
      </c>
      <c r="C1311" s="19"/>
      <c r="D1311" s="19"/>
      <c r="E1311" s="18" t="str">
        <f aca="false">IF($C1311="","",IFERROR(INDEX(Lists!$B$2:$B$40,MATCH($C1311,Lists!$A$2:$A$40,0)),""))</f>
        <v/>
      </c>
      <c r="F1311" s="20"/>
      <c r="G1311" s="20"/>
      <c r="H1311" s="20"/>
      <c r="I1311" s="20"/>
      <c r="J1311" s="20"/>
      <c r="K1311" s="18" t="str">
        <f aca="false">IF(COUNT($F1311:$J1311)=0,"",SUM($F1311:$J1311))</f>
        <v/>
      </c>
      <c r="L1311" s="18" t="str">
        <f aca="false">IF(COUNT($F1311:$J1311)=0,"",MAX($F1311:$J1311))</f>
        <v/>
      </c>
      <c r="M1311" s="18" t="str">
        <f aca="false">IFERROR(IF(OR($C1311="",COUNT($F1311:$J1311)&lt;3),"",IF(N(INDEX(Lists!$C$2:$C$40,MATCH($C1311,Lists!$A$2:$A$40,0)))=0,"",IF(MIN($F1311:$J1311)&gt;=INDEX(Lists!$C$2:$C$40,MATCH($C1311,Lists!$A$2:$A$40,0)),"LEVEL UP",""))),"")</f>
        <v/>
      </c>
      <c r="N1311" s="20"/>
      <c r="O1311" s="19"/>
    </row>
    <row r="1312" customFormat="false" ht="15" hidden="false" customHeight="false" outlineLevel="0" collapsed="false">
      <c r="A1312" s="17"/>
      <c r="B1312" s="18" t="str">
        <f aca="false">IF($A1312="","",TEXT($A1312,"ddd"))</f>
        <v/>
      </c>
      <c r="C1312" s="19"/>
      <c r="D1312" s="19"/>
      <c r="E1312" s="18" t="str">
        <f aca="false">IF($C1312="","",IFERROR(INDEX(Lists!$B$2:$B$40,MATCH($C1312,Lists!$A$2:$A$40,0)),""))</f>
        <v/>
      </c>
      <c r="F1312" s="20"/>
      <c r="G1312" s="20"/>
      <c r="H1312" s="20"/>
      <c r="I1312" s="20"/>
      <c r="J1312" s="20"/>
      <c r="K1312" s="18" t="str">
        <f aca="false">IF(COUNT($F1312:$J1312)=0,"",SUM($F1312:$J1312))</f>
        <v/>
      </c>
      <c r="L1312" s="18" t="str">
        <f aca="false">IF(COUNT($F1312:$J1312)=0,"",MAX($F1312:$J1312))</f>
        <v/>
      </c>
      <c r="M1312" s="18" t="str">
        <f aca="false">IFERROR(IF(OR($C1312="",COUNT($F1312:$J1312)&lt;3),"",IF(N(INDEX(Lists!$C$2:$C$40,MATCH($C1312,Lists!$A$2:$A$40,0)))=0,"",IF(MIN($F1312:$J1312)&gt;=INDEX(Lists!$C$2:$C$40,MATCH($C1312,Lists!$A$2:$A$40,0)),"LEVEL UP",""))),"")</f>
        <v/>
      </c>
      <c r="N1312" s="20"/>
      <c r="O1312" s="19"/>
    </row>
    <row r="1313" customFormat="false" ht="15" hidden="false" customHeight="false" outlineLevel="0" collapsed="false">
      <c r="A1313" s="17"/>
      <c r="B1313" s="18" t="str">
        <f aca="false">IF($A1313="","",TEXT($A1313,"ddd"))</f>
        <v/>
      </c>
      <c r="C1313" s="19"/>
      <c r="D1313" s="19"/>
      <c r="E1313" s="18" t="str">
        <f aca="false">IF($C1313="","",IFERROR(INDEX(Lists!$B$2:$B$40,MATCH($C1313,Lists!$A$2:$A$40,0)),""))</f>
        <v/>
      </c>
      <c r="F1313" s="20"/>
      <c r="G1313" s="20"/>
      <c r="H1313" s="20"/>
      <c r="I1313" s="20"/>
      <c r="J1313" s="20"/>
      <c r="K1313" s="18" t="str">
        <f aca="false">IF(COUNT($F1313:$J1313)=0,"",SUM($F1313:$J1313))</f>
        <v/>
      </c>
      <c r="L1313" s="18" t="str">
        <f aca="false">IF(COUNT($F1313:$J1313)=0,"",MAX($F1313:$J1313))</f>
        <v/>
      </c>
      <c r="M1313" s="18" t="str">
        <f aca="false">IFERROR(IF(OR($C1313="",COUNT($F1313:$J1313)&lt;3),"",IF(N(INDEX(Lists!$C$2:$C$40,MATCH($C1313,Lists!$A$2:$A$40,0)))=0,"",IF(MIN($F1313:$J1313)&gt;=INDEX(Lists!$C$2:$C$40,MATCH($C1313,Lists!$A$2:$A$40,0)),"LEVEL UP",""))),"")</f>
        <v/>
      </c>
      <c r="N1313" s="20"/>
      <c r="O1313" s="19"/>
    </row>
    <row r="1314" customFormat="false" ht="15" hidden="false" customHeight="false" outlineLevel="0" collapsed="false">
      <c r="A1314" s="17"/>
      <c r="B1314" s="18" t="str">
        <f aca="false">IF($A1314="","",TEXT($A1314,"ddd"))</f>
        <v/>
      </c>
      <c r="C1314" s="19"/>
      <c r="D1314" s="19"/>
      <c r="E1314" s="18" t="str">
        <f aca="false">IF($C1314="","",IFERROR(INDEX(Lists!$B$2:$B$40,MATCH($C1314,Lists!$A$2:$A$40,0)),""))</f>
        <v/>
      </c>
      <c r="F1314" s="20"/>
      <c r="G1314" s="20"/>
      <c r="H1314" s="20"/>
      <c r="I1314" s="20"/>
      <c r="J1314" s="20"/>
      <c r="K1314" s="18" t="str">
        <f aca="false">IF(COUNT($F1314:$J1314)=0,"",SUM($F1314:$J1314))</f>
        <v/>
      </c>
      <c r="L1314" s="18" t="str">
        <f aca="false">IF(COUNT($F1314:$J1314)=0,"",MAX($F1314:$J1314))</f>
        <v/>
      </c>
      <c r="M1314" s="18" t="str">
        <f aca="false">IFERROR(IF(OR($C1314="",COUNT($F1314:$J1314)&lt;3),"",IF(N(INDEX(Lists!$C$2:$C$40,MATCH($C1314,Lists!$A$2:$A$40,0)))=0,"",IF(MIN($F1314:$J1314)&gt;=INDEX(Lists!$C$2:$C$40,MATCH($C1314,Lists!$A$2:$A$40,0)),"LEVEL UP",""))),"")</f>
        <v/>
      </c>
      <c r="N1314" s="20"/>
      <c r="O1314" s="19"/>
    </row>
    <row r="1315" customFormat="false" ht="15" hidden="false" customHeight="false" outlineLevel="0" collapsed="false">
      <c r="A1315" s="17"/>
      <c r="B1315" s="18" t="str">
        <f aca="false">IF($A1315="","",TEXT($A1315,"ddd"))</f>
        <v/>
      </c>
      <c r="C1315" s="19"/>
      <c r="D1315" s="19"/>
      <c r="E1315" s="18" t="str">
        <f aca="false">IF($C1315="","",IFERROR(INDEX(Lists!$B$2:$B$40,MATCH($C1315,Lists!$A$2:$A$40,0)),""))</f>
        <v/>
      </c>
      <c r="F1315" s="20"/>
      <c r="G1315" s="20"/>
      <c r="H1315" s="20"/>
      <c r="I1315" s="20"/>
      <c r="J1315" s="20"/>
      <c r="K1315" s="18" t="str">
        <f aca="false">IF(COUNT($F1315:$J1315)=0,"",SUM($F1315:$J1315))</f>
        <v/>
      </c>
      <c r="L1315" s="18" t="str">
        <f aca="false">IF(COUNT($F1315:$J1315)=0,"",MAX($F1315:$J1315))</f>
        <v/>
      </c>
      <c r="M1315" s="18" t="str">
        <f aca="false">IFERROR(IF(OR($C1315="",COUNT($F1315:$J1315)&lt;3),"",IF(N(INDEX(Lists!$C$2:$C$40,MATCH($C1315,Lists!$A$2:$A$40,0)))=0,"",IF(MIN($F1315:$J1315)&gt;=INDEX(Lists!$C$2:$C$40,MATCH($C1315,Lists!$A$2:$A$40,0)),"LEVEL UP",""))),"")</f>
        <v/>
      </c>
      <c r="N1315" s="20"/>
      <c r="O1315" s="19"/>
    </row>
    <row r="1316" customFormat="false" ht="15" hidden="false" customHeight="false" outlineLevel="0" collapsed="false">
      <c r="A1316" s="17"/>
      <c r="B1316" s="18" t="str">
        <f aca="false">IF($A1316="","",TEXT($A1316,"ddd"))</f>
        <v/>
      </c>
      <c r="C1316" s="19"/>
      <c r="D1316" s="19"/>
      <c r="E1316" s="18" t="str">
        <f aca="false">IF($C1316="","",IFERROR(INDEX(Lists!$B$2:$B$40,MATCH($C1316,Lists!$A$2:$A$40,0)),""))</f>
        <v/>
      </c>
      <c r="F1316" s="20"/>
      <c r="G1316" s="20"/>
      <c r="H1316" s="20"/>
      <c r="I1316" s="20"/>
      <c r="J1316" s="20"/>
      <c r="K1316" s="18" t="str">
        <f aca="false">IF(COUNT($F1316:$J1316)=0,"",SUM($F1316:$J1316))</f>
        <v/>
      </c>
      <c r="L1316" s="18" t="str">
        <f aca="false">IF(COUNT($F1316:$J1316)=0,"",MAX($F1316:$J1316))</f>
        <v/>
      </c>
      <c r="M1316" s="18" t="str">
        <f aca="false">IFERROR(IF(OR($C1316="",COUNT($F1316:$J1316)&lt;3),"",IF(N(INDEX(Lists!$C$2:$C$40,MATCH($C1316,Lists!$A$2:$A$40,0)))=0,"",IF(MIN($F1316:$J1316)&gt;=INDEX(Lists!$C$2:$C$40,MATCH($C1316,Lists!$A$2:$A$40,0)),"LEVEL UP",""))),"")</f>
        <v/>
      </c>
      <c r="N1316" s="20"/>
      <c r="O1316" s="19"/>
    </row>
    <row r="1317" customFormat="false" ht="15" hidden="false" customHeight="false" outlineLevel="0" collapsed="false">
      <c r="A1317" s="17"/>
      <c r="B1317" s="18" t="str">
        <f aca="false">IF($A1317="","",TEXT($A1317,"ddd"))</f>
        <v/>
      </c>
      <c r="C1317" s="19"/>
      <c r="D1317" s="19"/>
      <c r="E1317" s="18" t="str">
        <f aca="false">IF($C1317="","",IFERROR(INDEX(Lists!$B$2:$B$40,MATCH($C1317,Lists!$A$2:$A$40,0)),""))</f>
        <v/>
      </c>
      <c r="F1317" s="20"/>
      <c r="G1317" s="20"/>
      <c r="H1317" s="20"/>
      <c r="I1317" s="20"/>
      <c r="J1317" s="20"/>
      <c r="K1317" s="18" t="str">
        <f aca="false">IF(COUNT($F1317:$J1317)=0,"",SUM($F1317:$J1317))</f>
        <v/>
      </c>
      <c r="L1317" s="18" t="str">
        <f aca="false">IF(COUNT($F1317:$J1317)=0,"",MAX($F1317:$J1317))</f>
        <v/>
      </c>
      <c r="M1317" s="18" t="str">
        <f aca="false">IFERROR(IF(OR($C1317="",COUNT($F1317:$J1317)&lt;3),"",IF(N(INDEX(Lists!$C$2:$C$40,MATCH($C1317,Lists!$A$2:$A$40,0)))=0,"",IF(MIN($F1317:$J1317)&gt;=INDEX(Lists!$C$2:$C$40,MATCH($C1317,Lists!$A$2:$A$40,0)),"LEVEL UP",""))),"")</f>
        <v/>
      </c>
      <c r="N1317" s="20"/>
      <c r="O1317" s="19"/>
    </row>
    <row r="1318" customFormat="false" ht="15" hidden="false" customHeight="false" outlineLevel="0" collapsed="false">
      <c r="A1318" s="17"/>
      <c r="B1318" s="18" t="str">
        <f aca="false">IF($A1318="","",TEXT($A1318,"ddd"))</f>
        <v/>
      </c>
      <c r="C1318" s="19"/>
      <c r="D1318" s="19"/>
      <c r="E1318" s="18" t="str">
        <f aca="false">IF($C1318="","",IFERROR(INDEX(Lists!$B$2:$B$40,MATCH($C1318,Lists!$A$2:$A$40,0)),""))</f>
        <v/>
      </c>
      <c r="F1318" s="20"/>
      <c r="G1318" s="20"/>
      <c r="H1318" s="20"/>
      <c r="I1318" s="20"/>
      <c r="J1318" s="20"/>
      <c r="K1318" s="18" t="str">
        <f aca="false">IF(COUNT($F1318:$J1318)=0,"",SUM($F1318:$J1318))</f>
        <v/>
      </c>
      <c r="L1318" s="18" t="str">
        <f aca="false">IF(COUNT($F1318:$J1318)=0,"",MAX($F1318:$J1318))</f>
        <v/>
      </c>
      <c r="M1318" s="18" t="str">
        <f aca="false">IFERROR(IF(OR($C1318="",COUNT($F1318:$J1318)&lt;3),"",IF(N(INDEX(Lists!$C$2:$C$40,MATCH($C1318,Lists!$A$2:$A$40,0)))=0,"",IF(MIN($F1318:$J1318)&gt;=INDEX(Lists!$C$2:$C$40,MATCH($C1318,Lists!$A$2:$A$40,0)),"LEVEL UP",""))),"")</f>
        <v/>
      </c>
      <c r="N1318" s="20"/>
      <c r="O1318" s="19"/>
    </row>
    <row r="1319" customFormat="false" ht="15" hidden="false" customHeight="false" outlineLevel="0" collapsed="false">
      <c r="A1319" s="17"/>
      <c r="B1319" s="18" t="str">
        <f aca="false">IF($A1319="","",TEXT($A1319,"ddd"))</f>
        <v/>
      </c>
      <c r="C1319" s="19"/>
      <c r="D1319" s="19"/>
      <c r="E1319" s="18" t="str">
        <f aca="false">IF($C1319="","",IFERROR(INDEX(Lists!$B$2:$B$40,MATCH($C1319,Lists!$A$2:$A$40,0)),""))</f>
        <v/>
      </c>
      <c r="F1319" s="20"/>
      <c r="G1319" s="20"/>
      <c r="H1319" s="20"/>
      <c r="I1319" s="20"/>
      <c r="J1319" s="20"/>
      <c r="K1319" s="18" t="str">
        <f aca="false">IF(COUNT($F1319:$J1319)=0,"",SUM($F1319:$J1319))</f>
        <v/>
      </c>
      <c r="L1319" s="18" t="str">
        <f aca="false">IF(COUNT($F1319:$J1319)=0,"",MAX($F1319:$J1319))</f>
        <v/>
      </c>
      <c r="M1319" s="18" t="str">
        <f aca="false">IFERROR(IF(OR($C1319="",COUNT($F1319:$J1319)&lt;3),"",IF(N(INDEX(Lists!$C$2:$C$40,MATCH($C1319,Lists!$A$2:$A$40,0)))=0,"",IF(MIN($F1319:$J1319)&gt;=INDEX(Lists!$C$2:$C$40,MATCH($C1319,Lists!$A$2:$A$40,0)),"LEVEL UP",""))),"")</f>
        <v/>
      </c>
      <c r="N1319" s="20"/>
      <c r="O1319" s="19"/>
    </row>
    <row r="1320" customFormat="false" ht="15" hidden="false" customHeight="false" outlineLevel="0" collapsed="false">
      <c r="A1320" s="17"/>
      <c r="B1320" s="18" t="str">
        <f aca="false">IF($A1320="","",TEXT($A1320,"ddd"))</f>
        <v/>
      </c>
      <c r="C1320" s="19"/>
      <c r="D1320" s="19"/>
      <c r="E1320" s="18" t="str">
        <f aca="false">IF($C1320="","",IFERROR(INDEX(Lists!$B$2:$B$40,MATCH($C1320,Lists!$A$2:$A$40,0)),""))</f>
        <v/>
      </c>
      <c r="F1320" s="20"/>
      <c r="G1320" s="20"/>
      <c r="H1320" s="20"/>
      <c r="I1320" s="20"/>
      <c r="J1320" s="20"/>
      <c r="K1320" s="18" t="str">
        <f aca="false">IF(COUNT($F1320:$J1320)=0,"",SUM($F1320:$J1320))</f>
        <v/>
      </c>
      <c r="L1320" s="18" t="str">
        <f aca="false">IF(COUNT($F1320:$J1320)=0,"",MAX($F1320:$J1320))</f>
        <v/>
      </c>
      <c r="M1320" s="18" t="str">
        <f aca="false">IFERROR(IF(OR($C1320="",COUNT($F1320:$J1320)&lt;3),"",IF(N(INDEX(Lists!$C$2:$C$40,MATCH($C1320,Lists!$A$2:$A$40,0)))=0,"",IF(MIN($F1320:$J1320)&gt;=INDEX(Lists!$C$2:$C$40,MATCH($C1320,Lists!$A$2:$A$40,0)),"LEVEL UP",""))),"")</f>
        <v/>
      </c>
      <c r="N1320" s="20"/>
      <c r="O1320" s="19"/>
    </row>
    <row r="1321" customFormat="false" ht="15" hidden="false" customHeight="false" outlineLevel="0" collapsed="false">
      <c r="A1321" s="17"/>
      <c r="B1321" s="18" t="str">
        <f aca="false">IF($A1321="","",TEXT($A1321,"ddd"))</f>
        <v/>
      </c>
      <c r="C1321" s="19"/>
      <c r="D1321" s="19"/>
      <c r="E1321" s="18" t="str">
        <f aca="false">IF($C1321="","",IFERROR(INDEX(Lists!$B$2:$B$40,MATCH($C1321,Lists!$A$2:$A$40,0)),""))</f>
        <v/>
      </c>
      <c r="F1321" s="20"/>
      <c r="G1321" s="20"/>
      <c r="H1321" s="20"/>
      <c r="I1321" s="20"/>
      <c r="J1321" s="20"/>
      <c r="K1321" s="18" t="str">
        <f aca="false">IF(COUNT($F1321:$J1321)=0,"",SUM($F1321:$J1321))</f>
        <v/>
      </c>
      <c r="L1321" s="18" t="str">
        <f aca="false">IF(COUNT($F1321:$J1321)=0,"",MAX($F1321:$J1321))</f>
        <v/>
      </c>
      <c r="M1321" s="18" t="str">
        <f aca="false">IFERROR(IF(OR($C1321="",COUNT($F1321:$J1321)&lt;3),"",IF(N(INDEX(Lists!$C$2:$C$40,MATCH($C1321,Lists!$A$2:$A$40,0)))=0,"",IF(MIN($F1321:$J1321)&gt;=INDEX(Lists!$C$2:$C$40,MATCH($C1321,Lists!$A$2:$A$40,0)),"LEVEL UP",""))),"")</f>
        <v/>
      </c>
      <c r="N1321" s="20"/>
      <c r="O1321" s="19"/>
    </row>
    <row r="1322" customFormat="false" ht="15" hidden="false" customHeight="false" outlineLevel="0" collapsed="false">
      <c r="A1322" s="17"/>
      <c r="B1322" s="18" t="str">
        <f aca="false">IF($A1322="","",TEXT($A1322,"ddd"))</f>
        <v/>
      </c>
      <c r="C1322" s="19"/>
      <c r="D1322" s="19"/>
      <c r="E1322" s="18" t="str">
        <f aca="false">IF($C1322="","",IFERROR(INDEX(Lists!$B$2:$B$40,MATCH($C1322,Lists!$A$2:$A$40,0)),""))</f>
        <v/>
      </c>
      <c r="F1322" s="20"/>
      <c r="G1322" s="20"/>
      <c r="H1322" s="20"/>
      <c r="I1322" s="20"/>
      <c r="J1322" s="20"/>
      <c r="K1322" s="18" t="str">
        <f aca="false">IF(COUNT($F1322:$J1322)=0,"",SUM($F1322:$J1322))</f>
        <v/>
      </c>
      <c r="L1322" s="18" t="str">
        <f aca="false">IF(COUNT($F1322:$J1322)=0,"",MAX($F1322:$J1322))</f>
        <v/>
      </c>
      <c r="M1322" s="18" t="str">
        <f aca="false">IFERROR(IF(OR($C1322="",COUNT($F1322:$J1322)&lt;3),"",IF(N(INDEX(Lists!$C$2:$C$40,MATCH($C1322,Lists!$A$2:$A$40,0)))=0,"",IF(MIN($F1322:$J1322)&gt;=INDEX(Lists!$C$2:$C$40,MATCH($C1322,Lists!$A$2:$A$40,0)),"LEVEL UP",""))),"")</f>
        <v/>
      </c>
      <c r="N1322" s="20"/>
      <c r="O1322" s="19"/>
    </row>
    <row r="1323" customFormat="false" ht="15" hidden="false" customHeight="false" outlineLevel="0" collapsed="false">
      <c r="A1323" s="17"/>
      <c r="B1323" s="18" t="str">
        <f aca="false">IF($A1323="","",TEXT($A1323,"ddd"))</f>
        <v/>
      </c>
      <c r="C1323" s="19"/>
      <c r="D1323" s="19"/>
      <c r="E1323" s="18" t="str">
        <f aca="false">IF($C1323="","",IFERROR(INDEX(Lists!$B$2:$B$40,MATCH($C1323,Lists!$A$2:$A$40,0)),""))</f>
        <v/>
      </c>
      <c r="F1323" s="20"/>
      <c r="G1323" s="20"/>
      <c r="H1323" s="20"/>
      <c r="I1323" s="20"/>
      <c r="J1323" s="20"/>
      <c r="K1323" s="18" t="str">
        <f aca="false">IF(COUNT($F1323:$J1323)=0,"",SUM($F1323:$J1323))</f>
        <v/>
      </c>
      <c r="L1323" s="18" t="str">
        <f aca="false">IF(COUNT($F1323:$J1323)=0,"",MAX($F1323:$J1323))</f>
        <v/>
      </c>
      <c r="M1323" s="18" t="str">
        <f aca="false">IFERROR(IF(OR($C1323="",COUNT($F1323:$J1323)&lt;3),"",IF(N(INDEX(Lists!$C$2:$C$40,MATCH($C1323,Lists!$A$2:$A$40,0)))=0,"",IF(MIN($F1323:$J1323)&gt;=INDEX(Lists!$C$2:$C$40,MATCH($C1323,Lists!$A$2:$A$40,0)),"LEVEL UP",""))),"")</f>
        <v/>
      </c>
      <c r="N1323" s="20"/>
      <c r="O1323" s="19"/>
    </row>
    <row r="1324" customFormat="false" ht="15" hidden="false" customHeight="false" outlineLevel="0" collapsed="false">
      <c r="A1324" s="17"/>
      <c r="B1324" s="18" t="str">
        <f aca="false">IF($A1324="","",TEXT($A1324,"ddd"))</f>
        <v/>
      </c>
      <c r="C1324" s="19"/>
      <c r="D1324" s="19"/>
      <c r="E1324" s="18" t="str">
        <f aca="false">IF($C1324="","",IFERROR(INDEX(Lists!$B$2:$B$40,MATCH($C1324,Lists!$A$2:$A$40,0)),""))</f>
        <v/>
      </c>
      <c r="F1324" s="20"/>
      <c r="G1324" s="20"/>
      <c r="H1324" s="20"/>
      <c r="I1324" s="20"/>
      <c r="J1324" s="20"/>
      <c r="K1324" s="18" t="str">
        <f aca="false">IF(COUNT($F1324:$J1324)=0,"",SUM($F1324:$J1324))</f>
        <v/>
      </c>
      <c r="L1324" s="18" t="str">
        <f aca="false">IF(COUNT($F1324:$J1324)=0,"",MAX($F1324:$J1324))</f>
        <v/>
      </c>
      <c r="M1324" s="18" t="str">
        <f aca="false">IFERROR(IF(OR($C1324="",COUNT($F1324:$J1324)&lt;3),"",IF(N(INDEX(Lists!$C$2:$C$40,MATCH($C1324,Lists!$A$2:$A$40,0)))=0,"",IF(MIN($F1324:$J1324)&gt;=INDEX(Lists!$C$2:$C$40,MATCH($C1324,Lists!$A$2:$A$40,0)),"LEVEL UP",""))),"")</f>
        <v/>
      </c>
      <c r="N1324" s="20"/>
      <c r="O1324" s="19"/>
    </row>
    <row r="1325" customFormat="false" ht="15" hidden="false" customHeight="false" outlineLevel="0" collapsed="false">
      <c r="A1325" s="17"/>
      <c r="B1325" s="18" t="str">
        <f aca="false">IF($A1325="","",TEXT($A1325,"ddd"))</f>
        <v/>
      </c>
      <c r="C1325" s="19"/>
      <c r="D1325" s="19"/>
      <c r="E1325" s="18" t="str">
        <f aca="false">IF($C1325="","",IFERROR(INDEX(Lists!$B$2:$B$40,MATCH($C1325,Lists!$A$2:$A$40,0)),""))</f>
        <v/>
      </c>
      <c r="F1325" s="20"/>
      <c r="G1325" s="20"/>
      <c r="H1325" s="20"/>
      <c r="I1325" s="20"/>
      <c r="J1325" s="20"/>
      <c r="K1325" s="18" t="str">
        <f aca="false">IF(COUNT($F1325:$J1325)=0,"",SUM($F1325:$J1325))</f>
        <v/>
      </c>
      <c r="L1325" s="18" t="str">
        <f aca="false">IF(COUNT($F1325:$J1325)=0,"",MAX($F1325:$J1325))</f>
        <v/>
      </c>
      <c r="M1325" s="18" t="str">
        <f aca="false">IFERROR(IF(OR($C1325="",COUNT($F1325:$J1325)&lt;3),"",IF(N(INDEX(Lists!$C$2:$C$40,MATCH($C1325,Lists!$A$2:$A$40,0)))=0,"",IF(MIN($F1325:$J1325)&gt;=INDEX(Lists!$C$2:$C$40,MATCH($C1325,Lists!$A$2:$A$40,0)),"LEVEL UP",""))),"")</f>
        <v/>
      </c>
      <c r="N1325" s="20"/>
      <c r="O1325" s="19"/>
    </row>
    <row r="1326" customFormat="false" ht="15" hidden="false" customHeight="false" outlineLevel="0" collapsed="false">
      <c r="A1326" s="17"/>
      <c r="B1326" s="18" t="str">
        <f aca="false">IF($A1326="","",TEXT($A1326,"ddd"))</f>
        <v/>
      </c>
      <c r="C1326" s="19"/>
      <c r="D1326" s="19"/>
      <c r="E1326" s="18" t="str">
        <f aca="false">IF($C1326="","",IFERROR(INDEX(Lists!$B$2:$B$40,MATCH($C1326,Lists!$A$2:$A$40,0)),""))</f>
        <v/>
      </c>
      <c r="F1326" s="20"/>
      <c r="G1326" s="20"/>
      <c r="H1326" s="20"/>
      <c r="I1326" s="20"/>
      <c r="J1326" s="20"/>
      <c r="K1326" s="18" t="str">
        <f aca="false">IF(COUNT($F1326:$J1326)=0,"",SUM($F1326:$J1326))</f>
        <v/>
      </c>
      <c r="L1326" s="18" t="str">
        <f aca="false">IF(COUNT($F1326:$J1326)=0,"",MAX($F1326:$J1326))</f>
        <v/>
      </c>
      <c r="M1326" s="18" t="str">
        <f aca="false">IFERROR(IF(OR($C1326="",COUNT($F1326:$J1326)&lt;3),"",IF(N(INDEX(Lists!$C$2:$C$40,MATCH($C1326,Lists!$A$2:$A$40,0)))=0,"",IF(MIN($F1326:$J1326)&gt;=INDEX(Lists!$C$2:$C$40,MATCH($C1326,Lists!$A$2:$A$40,0)),"LEVEL UP",""))),"")</f>
        <v/>
      </c>
      <c r="N1326" s="20"/>
      <c r="O1326" s="19"/>
    </row>
    <row r="1327" customFormat="false" ht="15" hidden="false" customHeight="false" outlineLevel="0" collapsed="false">
      <c r="A1327" s="17"/>
      <c r="B1327" s="18" t="str">
        <f aca="false">IF($A1327="","",TEXT($A1327,"ddd"))</f>
        <v/>
      </c>
      <c r="C1327" s="19"/>
      <c r="D1327" s="19"/>
      <c r="E1327" s="18" t="str">
        <f aca="false">IF($C1327="","",IFERROR(INDEX(Lists!$B$2:$B$40,MATCH($C1327,Lists!$A$2:$A$40,0)),""))</f>
        <v/>
      </c>
      <c r="F1327" s="20"/>
      <c r="G1327" s="20"/>
      <c r="H1327" s="20"/>
      <c r="I1327" s="20"/>
      <c r="J1327" s="20"/>
      <c r="K1327" s="18" t="str">
        <f aca="false">IF(COUNT($F1327:$J1327)=0,"",SUM($F1327:$J1327))</f>
        <v/>
      </c>
      <c r="L1327" s="18" t="str">
        <f aca="false">IF(COUNT($F1327:$J1327)=0,"",MAX($F1327:$J1327))</f>
        <v/>
      </c>
      <c r="M1327" s="18" t="str">
        <f aca="false">IFERROR(IF(OR($C1327="",COUNT($F1327:$J1327)&lt;3),"",IF(N(INDEX(Lists!$C$2:$C$40,MATCH($C1327,Lists!$A$2:$A$40,0)))=0,"",IF(MIN($F1327:$J1327)&gt;=INDEX(Lists!$C$2:$C$40,MATCH($C1327,Lists!$A$2:$A$40,0)),"LEVEL UP",""))),"")</f>
        <v/>
      </c>
      <c r="N1327" s="20"/>
      <c r="O1327" s="19"/>
    </row>
    <row r="1328" customFormat="false" ht="15" hidden="false" customHeight="false" outlineLevel="0" collapsed="false">
      <c r="A1328" s="17"/>
      <c r="B1328" s="18" t="str">
        <f aca="false">IF($A1328="","",TEXT($A1328,"ddd"))</f>
        <v/>
      </c>
      <c r="C1328" s="19"/>
      <c r="D1328" s="19"/>
      <c r="E1328" s="18" t="str">
        <f aca="false">IF($C1328="","",IFERROR(INDEX(Lists!$B$2:$B$40,MATCH($C1328,Lists!$A$2:$A$40,0)),""))</f>
        <v/>
      </c>
      <c r="F1328" s="20"/>
      <c r="G1328" s="20"/>
      <c r="H1328" s="20"/>
      <c r="I1328" s="20"/>
      <c r="J1328" s="20"/>
      <c r="K1328" s="18" t="str">
        <f aca="false">IF(COUNT($F1328:$J1328)=0,"",SUM($F1328:$J1328))</f>
        <v/>
      </c>
      <c r="L1328" s="18" t="str">
        <f aca="false">IF(COUNT($F1328:$J1328)=0,"",MAX($F1328:$J1328))</f>
        <v/>
      </c>
      <c r="M1328" s="18" t="str">
        <f aca="false">IFERROR(IF(OR($C1328="",COUNT($F1328:$J1328)&lt;3),"",IF(N(INDEX(Lists!$C$2:$C$40,MATCH($C1328,Lists!$A$2:$A$40,0)))=0,"",IF(MIN($F1328:$J1328)&gt;=INDEX(Lists!$C$2:$C$40,MATCH($C1328,Lists!$A$2:$A$40,0)),"LEVEL UP",""))),"")</f>
        <v/>
      </c>
      <c r="N1328" s="20"/>
      <c r="O1328" s="19"/>
    </row>
    <row r="1329" customFormat="false" ht="15" hidden="false" customHeight="false" outlineLevel="0" collapsed="false">
      <c r="A1329" s="17"/>
      <c r="B1329" s="18" t="str">
        <f aca="false">IF($A1329="","",TEXT($A1329,"ddd"))</f>
        <v/>
      </c>
      <c r="C1329" s="19"/>
      <c r="D1329" s="19"/>
      <c r="E1329" s="18" t="str">
        <f aca="false">IF($C1329="","",IFERROR(INDEX(Lists!$B$2:$B$40,MATCH($C1329,Lists!$A$2:$A$40,0)),""))</f>
        <v/>
      </c>
      <c r="F1329" s="20"/>
      <c r="G1329" s="20"/>
      <c r="H1329" s="20"/>
      <c r="I1329" s="20"/>
      <c r="J1329" s="20"/>
      <c r="K1329" s="18" t="str">
        <f aca="false">IF(COUNT($F1329:$J1329)=0,"",SUM($F1329:$J1329))</f>
        <v/>
      </c>
      <c r="L1329" s="18" t="str">
        <f aca="false">IF(COUNT($F1329:$J1329)=0,"",MAX($F1329:$J1329))</f>
        <v/>
      </c>
      <c r="M1329" s="18" t="str">
        <f aca="false">IFERROR(IF(OR($C1329="",COUNT($F1329:$J1329)&lt;3),"",IF(N(INDEX(Lists!$C$2:$C$40,MATCH($C1329,Lists!$A$2:$A$40,0)))=0,"",IF(MIN($F1329:$J1329)&gt;=INDEX(Lists!$C$2:$C$40,MATCH($C1329,Lists!$A$2:$A$40,0)),"LEVEL UP",""))),"")</f>
        <v/>
      </c>
      <c r="N1329" s="20"/>
      <c r="O1329" s="19"/>
    </row>
    <row r="1330" customFormat="false" ht="15" hidden="false" customHeight="false" outlineLevel="0" collapsed="false">
      <c r="A1330" s="17"/>
      <c r="B1330" s="18" t="str">
        <f aca="false">IF($A1330="","",TEXT($A1330,"ddd"))</f>
        <v/>
      </c>
      <c r="C1330" s="19"/>
      <c r="D1330" s="19"/>
      <c r="E1330" s="18" t="str">
        <f aca="false">IF($C1330="","",IFERROR(INDEX(Lists!$B$2:$B$40,MATCH($C1330,Lists!$A$2:$A$40,0)),""))</f>
        <v/>
      </c>
      <c r="F1330" s="20"/>
      <c r="G1330" s="20"/>
      <c r="H1330" s="20"/>
      <c r="I1330" s="20"/>
      <c r="J1330" s="20"/>
      <c r="K1330" s="18" t="str">
        <f aca="false">IF(COUNT($F1330:$J1330)=0,"",SUM($F1330:$J1330))</f>
        <v/>
      </c>
      <c r="L1330" s="18" t="str">
        <f aca="false">IF(COUNT($F1330:$J1330)=0,"",MAX($F1330:$J1330))</f>
        <v/>
      </c>
      <c r="M1330" s="18" t="str">
        <f aca="false">IFERROR(IF(OR($C1330="",COUNT($F1330:$J1330)&lt;3),"",IF(N(INDEX(Lists!$C$2:$C$40,MATCH($C1330,Lists!$A$2:$A$40,0)))=0,"",IF(MIN($F1330:$J1330)&gt;=INDEX(Lists!$C$2:$C$40,MATCH($C1330,Lists!$A$2:$A$40,0)),"LEVEL UP",""))),"")</f>
        <v/>
      </c>
      <c r="N1330" s="20"/>
      <c r="O1330" s="19"/>
    </row>
    <row r="1331" customFormat="false" ht="15" hidden="false" customHeight="false" outlineLevel="0" collapsed="false">
      <c r="A1331" s="17"/>
      <c r="B1331" s="18" t="str">
        <f aca="false">IF($A1331="","",TEXT($A1331,"ddd"))</f>
        <v/>
      </c>
      <c r="C1331" s="19"/>
      <c r="D1331" s="19"/>
      <c r="E1331" s="18" t="str">
        <f aca="false">IF($C1331="","",IFERROR(INDEX(Lists!$B$2:$B$40,MATCH($C1331,Lists!$A$2:$A$40,0)),""))</f>
        <v/>
      </c>
      <c r="F1331" s="20"/>
      <c r="G1331" s="20"/>
      <c r="H1331" s="20"/>
      <c r="I1331" s="20"/>
      <c r="J1331" s="20"/>
      <c r="K1331" s="18" t="str">
        <f aca="false">IF(COUNT($F1331:$J1331)=0,"",SUM($F1331:$J1331))</f>
        <v/>
      </c>
      <c r="L1331" s="18" t="str">
        <f aca="false">IF(COUNT($F1331:$J1331)=0,"",MAX($F1331:$J1331))</f>
        <v/>
      </c>
      <c r="M1331" s="18" t="str">
        <f aca="false">IFERROR(IF(OR($C1331="",COUNT($F1331:$J1331)&lt;3),"",IF(N(INDEX(Lists!$C$2:$C$40,MATCH($C1331,Lists!$A$2:$A$40,0)))=0,"",IF(MIN($F1331:$J1331)&gt;=INDEX(Lists!$C$2:$C$40,MATCH($C1331,Lists!$A$2:$A$40,0)),"LEVEL UP",""))),"")</f>
        <v/>
      </c>
      <c r="N1331" s="20"/>
      <c r="O1331" s="19"/>
    </row>
    <row r="1332" customFormat="false" ht="15" hidden="false" customHeight="false" outlineLevel="0" collapsed="false">
      <c r="A1332" s="17"/>
      <c r="B1332" s="18" t="str">
        <f aca="false">IF($A1332="","",TEXT($A1332,"ddd"))</f>
        <v/>
      </c>
      <c r="C1332" s="19"/>
      <c r="D1332" s="19"/>
      <c r="E1332" s="18" t="str">
        <f aca="false">IF($C1332="","",IFERROR(INDEX(Lists!$B$2:$B$40,MATCH($C1332,Lists!$A$2:$A$40,0)),""))</f>
        <v/>
      </c>
      <c r="F1332" s="20"/>
      <c r="G1332" s="20"/>
      <c r="H1332" s="20"/>
      <c r="I1332" s="20"/>
      <c r="J1332" s="20"/>
      <c r="K1332" s="18" t="str">
        <f aca="false">IF(COUNT($F1332:$J1332)=0,"",SUM($F1332:$J1332))</f>
        <v/>
      </c>
      <c r="L1332" s="18" t="str">
        <f aca="false">IF(COUNT($F1332:$J1332)=0,"",MAX($F1332:$J1332))</f>
        <v/>
      </c>
      <c r="M1332" s="18" t="str">
        <f aca="false">IFERROR(IF(OR($C1332="",COUNT($F1332:$J1332)&lt;3),"",IF(N(INDEX(Lists!$C$2:$C$40,MATCH($C1332,Lists!$A$2:$A$40,0)))=0,"",IF(MIN($F1332:$J1332)&gt;=INDEX(Lists!$C$2:$C$40,MATCH($C1332,Lists!$A$2:$A$40,0)),"LEVEL UP",""))),"")</f>
        <v/>
      </c>
      <c r="N1332" s="20"/>
      <c r="O1332" s="19"/>
    </row>
    <row r="1333" customFormat="false" ht="15" hidden="false" customHeight="false" outlineLevel="0" collapsed="false">
      <c r="A1333" s="17"/>
      <c r="B1333" s="18" t="str">
        <f aca="false">IF($A1333="","",TEXT($A1333,"ddd"))</f>
        <v/>
      </c>
      <c r="C1333" s="19"/>
      <c r="D1333" s="19"/>
      <c r="E1333" s="18" t="str">
        <f aca="false">IF($C1333="","",IFERROR(INDEX(Lists!$B$2:$B$40,MATCH($C1333,Lists!$A$2:$A$40,0)),""))</f>
        <v/>
      </c>
      <c r="F1333" s="20"/>
      <c r="G1333" s="20"/>
      <c r="H1333" s="20"/>
      <c r="I1333" s="20"/>
      <c r="J1333" s="20"/>
      <c r="K1333" s="18" t="str">
        <f aca="false">IF(COUNT($F1333:$J1333)=0,"",SUM($F1333:$J1333))</f>
        <v/>
      </c>
      <c r="L1333" s="18" t="str">
        <f aca="false">IF(COUNT($F1333:$J1333)=0,"",MAX($F1333:$J1333))</f>
        <v/>
      </c>
      <c r="M1333" s="18" t="str">
        <f aca="false">IFERROR(IF(OR($C1333="",COUNT($F1333:$J1333)&lt;3),"",IF(N(INDEX(Lists!$C$2:$C$40,MATCH($C1333,Lists!$A$2:$A$40,0)))=0,"",IF(MIN($F1333:$J1333)&gt;=INDEX(Lists!$C$2:$C$40,MATCH($C1333,Lists!$A$2:$A$40,0)),"LEVEL UP",""))),"")</f>
        <v/>
      </c>
      <c r="N1333" s="20"/>
      <c r="O1333" s="19"/>
    </row>
    <row r="1334" customFormat="false" ht="15" hidden="false" customHeight="false" outlineLevel="0" collapsed="false">
      <c r="A1334" s="17"/>
      <c r="B1334" s="18" t="str">
        <f aca="false">IF($A1334="","",TEXT($A1334,"ddd"))</f>
        <v/>
      </c>
      <c r="C1334" s="19"/>
      <c r="D1334" s="19"/>
      <c r="E1334" s="18" t="str">
        <f aca="false">IF($C1334="","",IFERROR(INDEX(Lists!$B$2:$B$40,MATCH($C1334,Lists!$A$2:$A$40,0)),""))</f>
        <v/>
      </c>
      <c r="F1334" s="20"/>
      <c r="G1334" s="20"/>
      <c r="H1334" s="20"/>
      <c r="I1334" s="20"/>
      <c r="J1334" s="20"/>
      <c r="K1334" s="18" t="str">
        <f aca="false">IF(COUNT($F1334:$J1334)=0,"",SUM($F1334:$J1334))</f>
        <v/>
      </c>
      <c r="L1334" s="18" t="str">
        <f aca="false">IF(COUNT($F1334:$J1334)=0,"",MAX($F1334:$J1334))</f>
        <v/>
      </c>
      <c r="M1334" s="18" t="str">
        <f aca="false">IFERROR(IF(OR($C1334="",COUNT($F1334:$J1334)&lt;3),"",IF(N(INDEX(Lists!$C$2:$C$40,MATCH($C1334,Lists!$A$2:$A$40,0)))=0,"",IF(MIN($F1334:$J1334)&gt;=INDEX(Lists!$C$2:$C$40,MATCH($C1334,Lists!$A$2:$A$40,0)),"LEVEL UP",""))),"")</f>
        <v/>
      </c>
      <c r="N1334" s="20"/>
      <c r="O1334" s="19"/>
    </row>
    <row r="1335" customFormat="false" ht="15" hidden="false" customHeight="false" outlineLevel="0" collapsed="false">
      <c r="A1335" s="17"/>
      <c r="B1335" s="18" t="str">
        <f aca="false">IF($A1335="","",TEXT($A1335,"ddd"))</f>
        <v/>
      </c>
      <c r="C1335" s="19"/>
      <c r="D1335" s="19"/>
      <c r="E1335" s="18" t="str">
        <f aca="false">IF($C1335="","",IFERROR(INDEX(Lists!$B$2:$B$40,MATCH($C1335,Lists!$A$2:$A$40,0)),""))</f>
        <v/>
      </c>
      <c r="F1335" s="20"/>
      <c r="G1335" s="20"/>
      <c r="H1335" s="20"/>
      <c r="I1335" s="20"/>
      <c r="J1335" s="20"/>
      <c r="K1335" s="18" t="str">
        <f aca="false">IF(COUNT($F1335:$J1335)=0,"",SUM($F1335:$J1335))</f>
        <v/>
      </c>
      <c r="L1335" s="18" t="str">
        <f aca="false">IF(COUNT($F1335:$J1335)=0,"",MAX($F1335:$J1335))</f>
        <v/>
      </c>
      <c r="M1335" s="18" t="str">
        <f aca="false">IFERROR(IF(OR($C1335="",COUNT($F1335:$J1335)&lt;3),"",IF(N(INDEX(Lists!$C$2:$C$40,MATCH($C1335,Lists!$A$2:$A$40,0)))=0,"",IF(MIN($F1335:$J1335)&gt;=INDEX(Lists!$C$2:$C$40,MATCH($C1335,Lists!$A$2:$A$40,0)),"LEVEL UP",""))),"")</f>
        <v/>
      </c>
      <c r="N1335" s="20"/>
      <c r="O1335" s="19"/>
    </row>
    <row r="1336" customFormat="false" ht="15" hidden="false" customHeight="false" outlineLevel="0" collapsed="false">
      <c r="A1336" s="17"/>
      <c r="B1336" s="18" t="str">
        <f aca="false">IF($A1336="","",TEXT($A1336,"ddd"))</f>
        <v/>
      </c>
      <c r="C1336" s="19"/>
      <c r="D1336" s="19"/>
      <c r="E1336" s="18" t="str">
        <f aca="false">IF($C1336="","",IFERROR(INDEX(Lists!$B$2:$B$40,MATCH($C1336,Lists!$A$2:$A$40,0)),""))</f>
        <v/>
      </c>
      <c r="F1336" s="20"/>
      <c r="G1336" s="20"/>
      <c r="H1336" s="20"/>
      <c r="I1336" s="20"/>
      <c r="J1336" s="20"/>
      <c r="K1336" s="18" t="str">
        <f aca="false">IF(COUNT($F1336:$J1336)=0,"",SUM($F1336:$J1336))</f>
        <v/>
      </c>
      <c r="L1336" s="18" t="str">
        <f aca="false">IF(COUNT($F1336:$J1336)=0,"",MAX($F1336:$J1336))</f>
        <v/>
      </c>
      <c r="M1336" s="18" t="str">
        <f aca="false">IFERROR(IF(OR($C1336="",COUNT($F1336:$J1336)&lt;3),"",IF(N(INDEX(Lists!$C$2:$C$40,MATCH($C1336,Lists!$A$2:$A$40,0)))=0,"",IF(MIN($F1336:$J1336)&gt;=INDEX(Lists!$C$2:$C$40,MATCH($C1336,Lists!$A$2:$A$40,0)),"LEVEL UP",""))),"")</f>
        <v/>
      </c>
      <c r="N1336" s="20"/>
      <c r="O1336" s="19"/>
    </row>
    <row r="1337" customFormat="false" ht="15" hidden="false" customHeight="false" outlineLevel="0" collapsed="false">
      <c r="A1337" s="17"/>
      <c r="B1337" s="18" t="str">
        <f aca="false">IF($A1337="","",TEXT($A1337,"ddd"))</f>
        <v/>
      </c>
      <c r="C1337" s="19"/>
      <c r="D1337" s="19"/>
      <c r="E1337" s="18" t="str">
        <f aca="false">IF($C1337="","",IFERROR(INDEX(Lists!$B$2:$B$40,MATCH($C1337,Lists!$A$2:$A$40,0)),""))</f>
        <v/>
      </c>
      <c r="F1337" s="20"/>
      <c r="G1337" s="20"/>
      <c r="H1337" s="20"/>
      <c r="I1337" s="20"/>
      <c r="J1337" s="20"/>
      <c r="K1337" s="18" t="str">
        <f aca="false">IF(COUNT($F1337:$J1337)=0,"",SUM($F1337:$J1337))</f>
        <v/>
      </c>
      <c r="L1337" s="18" t="str">
        <f aca="false">IF(COUNT($F1337:$J1337)=0,"",MAX($F1337:$J1337))</f>
        <v/>
      </c>
      <c r="M1337" s="18" t="str">
        <f aca="false">IFERROR(IF(OR($C1337="",COUNT($F1337:$J1337)&lt;3),"",IF(N(INDEX(Lists!$C$2:$C$40,MATCH($C1337,Lists!$A$2:$A$40,0)))=0,"",IF(MIN($F1337:$J1337)&gt;=INDEX(Lists!$C$2:$C$40,MATCH($C1337,Lists!$A$2:$A$40,0)),"LEVEL UP",""))),"")</f>
        <v/>
      </c>
      <c r="N1337" s="20"/>
      <c r="O1337" s="19"/>
    </row>
    <row r="1338" customFormat="false" ht="15" hidden="false" customHeight="false" outlineLevel="0" collapsed="false">
      <c r="A1338" s="17"/>
      <c r="B1338" s="18" t="str">
        <f aca="false">IF($A1338="","",TEXT($A1338,"ddd"))</f>
        <v/>
      </c>
      <c r="C1338" s="19"/>
      <c r="D1338" s="19"/>
      <c r="E1338" s="18" t="str">
        <f aca="false">IF($C1338="","",IFERROR(INDEX(Lists!$B$2:$B$40,MATCH($C1338,Lists!$A$2:$A$40,0)),""))</f>
        <v/>
      </c>
      <c r="F1338" s="20"/>
      <c r="G1338" s="20"/>
      <c r="H1338" s="20"/>
      <c r="I1338" s="20"/>
      <c r="J1338" s="20"/>
      <c r="K1338" s="18" t="str">
        <f aca="false">IF(COUNT($F1338:$J1338)=0,"",SUM($F1338:$J1338))</f>
        <v/>
      </c>
      <c r="L1338" s="18" t="str">
        <f aca="false">IF(COUNT($F1338:$J1338)=0,"",MAX($F1338:$J1338))</f>
        <v/>
      </c>
      <c r="M1338" s="18" t="str">
        <f aca="false">IFERROR(IF(OR($C1338="",COUNT($F1338:$J1338)&lt;3),"",IF(N(INDEX(Lists!$C$2:$C$40,MATCH($C1338,Lists!$A$2:$A$40,0)))=0,"",IF(MIN($F1338:$J1338)&gt;=INDEX(Lists!$C$2:$C$40,MATCH($C1338,Lists!$A$2:$A$40,0)),"LEVEL UP",""))),"")</f>
        <v/>
      </c>
      <c r="N1338" s="20"/>
      <c r="O1338" s="19"/>
    </row>
    <row r="1339" customFormat="false" ht="15" hidden="false" customHeight="false" outlineLevel="0" collapsed="false">
      <c r="A1339" s="17"/>
      <c r="B1339" s="18" t="str">
        <f aca="false">IF($A1339="","",TEXT($A1339,"ddd"))</f>
        <v/>
      </c>
      <c r="C1339" s="19"/>
      <c r="D1339" s="19"/>
      <c r="E1339" s="18" t="str">
        <f aca="false">IF($C1339="","",IFERROR(INDEX(Lists!$B$2:$B$40,MATCH($C1339,Lists!$A$2:$A$40,0)),""))</f>
        <v/>
      </c>
      <c r="F1339" s="20"/>
      <c r="G1339" s="20"/>
      <c r="H1339" s="20"/>
      <c r="I1339" s="20"/>
      <c r="J1339" s="20"/>
      <c r="K1339" s="18" t="str">
        <f aca="false">IF(COUNT($F1339:$J1339)=0,"",SUM($F1339:$J1339))</f>
        <v/>
      </c>
      <c r="L1339" s="18" t="str">
        <f aca="false">IF(COUNT($F1339:$J1339)=0,"",MAX($F1339:$J1339))</f>
        <v/>
      </c>
      <c r="M1339" s="18" t="str">
        <f aca="false">IFERROR(IF(OR($C1339="",COUNT($F1339:$J1339)&lt;3),"",IF(N(INDEX(Lists!$C$2:$C$40,MATCH($C1339,Lists!$A$2:$A$40,0)))=0,"",IF(MIN($F1339:$J1339)&gt;=INDEX(Lists!$C$2:$C$40,MATCH($C1339,Lists!$A$2:$A$40,0)),"LEVEL UP",""))),"")</f>
        <v/>
      </c>
      <c r="N1339" s="20"/>
      <c r="O1339" s="19"/>
    </row>
    <row r="1340" customFormat="false" ht="15" hidden="false" customHeight="false" outlineLevel="0" collapsed="false">
      <c r="A1340" s="17"/>
      <c r="B1340" s="18" t="str">
        <f aca="false">IF($A1340="","",TEXT($A1340,"ddd"))</f>
        <v/>
      </c>
      <c r="C1340" s="19"/>
      <c r="D1340" s="19"/>
      <c r="E1340" s="18" t="str">
        <f aca="false">IF($C1340="","",IFERROR(INDEX(Lists!$B$2:$B$40,MATCH($C1340,Lists!$A$2:$A$40,0)),""))</f>
        <v/>
      </c>
      <c r="F1340" s="20"/>
      <c r="G1340" s="20"/>
      <c r="H1340" s="20"/>
      <c r="I1340" s="20"/>
      <c r="J1340" s="20"/>
      <c r="K1340" s="18" t="str">
        <f aca="false">IF(COUNT($F1340:$J1340)=0,"",SUM($F1340:$J1340))</f>
        <v/>
      </c>
      <c r="L1340" s="18" t="str">
        <f aca="false">IF(COUNT($F1340:$J1340)=0,"",MAX($F1340:$J1340))</f>
        <v/>
      </c>
      <c r="M1340" s="18" t="str">
        <f aca="false">IFERROR(IF(OR($C1340="",COUNT($F1340:$J1340)&lt;3),"",IF(N(INDEX(Lists!$C$2:$C$40,MATCH($C1340,Lists!$A$2:$A$40,0)))=0,"",IF(MIN($F1340:$J1340)&gt;=INDEX(Lists!$C$2:$C$40,MATCH($C1340,Lists!$A$2:$A$40,0)),"LEVEL UP",""))),"")</f>
        <v/>
      </c>
      <c r="N1340" s="20"/>
      <c r="O1340" s="19"/>
    </row>
    <row r="1341" customFormat="false" ht="15" hidden="false" customHeight="false" outlineLevel="0" collapsed="false">
      <c r="A1341" s="17"/>
      <c r="B1341" s="18" t="str">
        <f aca="false">IF($A1341="","",TEXT($A1341,"ddd"))</f>
        <v/>
      </c>
      <c r="C1341" s="19"/>
      <c r="D1341" s="19"/>
      <c r="E1341" s="18" t="str">
        <f aca="false">IF($C1341="","",IFERROR(INDEX(Lists!$B$2:$B$40,MATCH($C1341,Lists!$A$2:$A$40,0)),""))</f>
        <v/>
      </c>
      <c r="F1341" s="20"/>
      <c r="G1341" s="20"/>
      <c r="H1341" s="20"/>
      <c r="I1341" s="20"/>
      <c r="J1341" s="20"/>
      <c r="K1341" s="18" t="str">
        <f aca="false">IF(COUNT($F1341:$J1341)=0,"",SUM($F1341:$J1341))</f>
        <v/>
      </c>
      <c r="L1341" s="18" t="str">
        <f aca="false">IF(COUNT($F1341:$J1341)=0,"",MAX($F1341:$J1341))</f>
        <v/>
      </c>
      <c r="M1341" s="18" t="str">
        <f aca="false">IFERROR(IF(OR($C1341="",COUNT($F1341:$J1341)&lt;3),"",IF(N(INDEX(Lists!$C$2:$C$40,MATCH($C1341,Lists!$A$2:$A$40,0)))=0,"",IF(MIN($F1341:$J1341)&gt;=INDEX(Lists!$C$2:$C$40,MATCH($C1341,Lists!$A$2:$A$40,0)),"LEVEL UP",""))),"")</f>
        <v/>
      </c>
      <c r="N1341" s="20"/>
      <c r="O1341" s="19"/>
    </row>
    <row r="1342" customFormat="false" ht="15" hidden="false" customHeight="false" outlineLevel="0" collapsed="false">
      <c r="A1342" s="17"/>
      <c r="B1342" s="18" t="str">
        <f aca="false">IF($A1342="","",TEXT($A1342,"ddd"))</f>
        <v/>
      </c>
      <c r="C1342" s="19"/>
      <c r="D1342" s="19"/>
      <c r="E1342" s="18" t="str">
        <f aca="false">IF($C1342="","",IFERROR(INDEX(Lists!$B$2:$B$40,MATCH($C1342,Lists!$A$2:$A$40,0)),""))</f>
        <v/>
      </c>
      <c r="F1342" s="20"/>
      <c r="G1342" s="20"/>
      <c r="H1342" s="20"/>
      <c r="I1342" s="20"/>
      <c r="J1342" s="20"/>
      <c r="K1342" s="18" t="str">
        <f aca="false">IF(COUNT($F1342:$J1342)=0,"",SUM($F1342:$J1342))</f>
        <v/>
      </c>
      <c r="L1342" s="18" t="str">
        <f aca="false">IF(COUNT($F1342:$J1342)=0,"",MAX($F1342:$J1342))</f>
        <v/>
      </c>
      <c r="M1342" s="18" t="str">
        <f aca="false">IFERROR(IF(OR($C1342="",COUNT($F1342:$J1342)&lt;3),"",IF(N(INDEX(Lists!$C$2:$C$40,MATCH($C1342,Lists!$A$2:$A$40,0)))=0,"",IF(MIN($F1342:$J1342)&gt;=INDEX(Lists!$C$2:$C$40,MATCH($C1342,Lists!$A$2:$A$40,0)),"LEVEL UP",""))),"")</f>
        <v/>
      </c>
      <c r="N1342" s="20"/>
      <c r="O1342" s="19"/>
    </row>
    <row r="1343" customFormat="false" ht="15" hidden="false" customHeight="false" outlineLevel="0" collapsed="false">
      <c r="A1343" s="17"/>
      <c r="B1343" s="18" t="str">
        <f aca="false">IF($A1343="","",TEXT($A1343,"ddd"))</f>
        <v/>
      </c>
      <c r="C1343" s="19"/>
      <c r="D1343" s="19"/>
      <c r="E1343" s="18" t="str">
        <f aca="false">IF($C1343="","",IFERROR(INDEX(Lists!$B$2:$B$40,MATCH($C1343,Lists!$A$2:$A$40,0)),""))</f>
        <v/>
      </c>
      <c r="F1343" s="20"/>
      <c r="G1343" s="20"/>
      <c r="H1343" s="20"/>
      <c r="I1343" s="20"/>
      <c r="J1343" s="20"/>
      <c r="K1343" s="18" t="str">
        <f aca="false">IF(COUNT($F1343:$J1343)=0,"",SUM($F1343:$J1343))</f>
        <v/>
      </c>
      <c r="L1343" s="18" t="str">
        <f aca="false">IF(COUNT($F1343:$J1343)=0,"",MAX($F1343:$J1343))</f>
        <v/>
      </c>
      <c r="M1343" s="18" t="str">
        <f aca="false">IFERROR(IF(OR($C1343="",COUNT($F1343:$J1343)&lt;3),"",IF(N(INDEX(Lists!$C$2:$C$40,MATCH($C1343,Lists!$A$2:$A$40,0)))=0,"",IF(MIN($F1343:$J1343)&gt;=INDEX(Lists!$C$2:$C$40,MATCH($C1343,Lists!$A$2:$A$40,0)),"LEVEL UP",""))),"")</f>
        <v/>
      </c>
      <c r="N1343" s="20"/>
      <c r="O1343" s="19"/>
    </row>
    <row r="1344" customFormat="false" ht="15" hidden="false" customHeight="false" outlineLevel="0" collapsed="false">
      <c r="A1344" s="17"/>
      <c r="B1344" s="18" t="str">
        <f aca="false">IF($A1344="","",TEXT($A1344,"ddd"))</f>
        <v/>
      </c>
      <c r="C1344" s="19"/>
      <c r="D1344" s="19"/>
      <c r="E1344" s="18" t="str">
        <f aca="false">IF($C1344="","",IFERROR(INDEX(Lists!$B$2:$B$40,MATCH($C1344,Lists!$A$2:$A$40,0)),""))</f>
        <v/>
      </c>
      <c r="F1344" s="20"/>
      <c r="G1344" s="20"/>
      <c r="H1344" s="20"/>
      <c r="I1344" s="20"/>
      <c r="J1344" s="20"/>
      <c r="K1344" s="18" t="str">
        <f aca="false">IF(COUNT($F1344:$J1344)=0,"",SUM($F1344:$J1344))</f>
        <v/>
      </c>
      <c r="L1344" s="18" t="str">
        <f aca="false">IF(COUNT($F1344:$J1344)=0,"",MAX($F1344:$J1344))</f>
        <v/>
      </c>
      <c r="M1344" s="18" t="str">
        <f aca="false">IFERROR(IF(OR($C1344="",COUNT($F1344:$J1344)&lt;3),"",IF(N(INDEX(Lists!$C$2:$C$40,MATCH($C1344,Lists!$A$2:$A$40,0)))=0,"",IF(MIN($F1344:$J1344)&gt;=INDEX(Lists!$C$2:$C$40,MATCH($C1344,Lists!$A$2:$A$40,0)),"LEVEL UP",""))),"")</f>
        <v/>
      </c>
      <c r="N1344" s="20"/>
      <c r="O1344" s="19"/>
    </row>
    <row r="1345" customFormat="false" ht="15" hidden="false" customHeight="false" outlineLevel="0" collapsed="false">
      <c r="A1345" s="17"/>
      <c r="B1345" s="18" t="str">
        <f aca="false">IF($A1345="","",TEXT($A1345,"ddd"))</f>
        <v/>
      </c>
      <c r="C1345" s="19"/>
      <c r="D1345" s="19"/>
      <c r="E1345" s="18" t="str">
        <f aca="false">IF($C1345="","",IFERROR(INDEX(Lists!$B$2:$B$40,MATCH($C1345,Lists!$A$2:$A$40,0)),""))</f>
        <v/>
      </c>
      <c r="F1345" s="20"/>
      <c r="G1345" s="20"/>
      <c r="H1345" s="20"/>
      <c r="I1345" s="20"/>
      <c r="J1345" s="20"/>
      <c r="K1345" s="18" t="str">
        <f aca="false">IF(COUNT($F1345:$J1345)=0,"",SUM($F1345:$J1345))</f>
        <v/>
      </c>
      <c r="L1345" s="18" t="str">
        <f aca="false">IF(COUNT($F1345:$J1345)=0,"",MAX($F1345:$J1345))</f>
        <v/>
      </c>
      <c r="M1345" s="18" t="str">
        <f aca="false">IFERROR(IF(OR($C1345="",COUNT($F1345:$J1345)&lt;3),"",IF(N(INDEX(Lists!$C$2:$C$40,MATCH($C1345,Lists!$A$2:$A$40,0)))=0,"",IF(MIN($F1345:$J1345)&gt;=INDEX(Lists!$C$2:$C$40,MATCH($C1345,Lists!$A$2:$A$40,0)),"LEVEL UP",""))),"")</f>
        <v/>
      </c>
      <c r="N1345" s="20"/>
      <c r="O1345" s="19"/>
    </row>
    <row r="1346" customFormat="false" ht="15" hidden="false" customHeight="false" outlineLevel="0" collapsed="false">
      <c r="A1346" s="17"/>
      <c r="B1346" s="18" t="str">
        <f aca="false">IF($A1346="","",TEXT($A1346,"ddd"))</f>
        <v/>
      </c>
      <c r="C1346" s="19"/>
      <c r="D1346" s="19"/>
      <c r="E1346" s="18" t="str">
        <f aca="false">IF($C1346="","",IFERROR(INDEX(Lists!$B$2:$B$40,MATCH($C1346,Lists!$A$2:$A$40,0)),""))</f>
        <v/>
      </c>
      <c r="F1346" s="20"/>
      <c r="G1346" s="20"/>
      <c r="H1346" s="20"/>
      <c r="I1346" s="20"/>
      <c r="J1346" s="20"/>
      <c r="K1346" s="18" t="str">
        <f aca="false">IF(COUNT($F1346:$J1346)=0,"",SUM($F1346:$J1346))</f>
        <v/>
      </c>
      <c r="L1346" s="18" t="str">
        <f aca="false">IF(COUNT($F1346:$J1346)=0,"",MAX($F1346:$J1346))</f>
        <v/>
      </c>
      <c r="M1346" s="18" t="str">
        <f aca="false">IFERROR(IF(OR($C1346="",COUNT($F1346:$J1346)&lt;3),"",IF(N(INDEX(Lists!$C$2:$C$40,MATCH($C1346,Lists!$A$2:$A$40,0)))=0,"",IF(MIN($F1346:$J1346)&gt;=INDEX(Lists!$C$2:$C$40,MATCH($C1346,Lists!$A$2:$A$40,0)),"LEVEL UP",""))),"")</f>
        <v/>
      </c>
      <c r="N1346" s="20"/>
      <c r="O1346" s="19"/>
    </row>
    <row r="1347" customFormat="false" ht="15" hidden="false" customHeight="false" outlineLevel="0" collapsed="false">
      <c r="A1347" s="17"/>
      <c r="B1347" s="18" t="str">
        <f aca="false">IF($A1347="","",TEXT($A1347,"ddd"))</f>
        <v/>
      </c>
      <c r="C1347" s="19"/>
      <c r="D1347" s="19"/>
      <c r="E1347" s="18" t="str">
        <f aca="false">IF($C1347="","",IFERROR(INDEX(Lists!$B$2:$B$40,MATCH($C1347,Lists!$A$2:$A$40,0)),""))</f>
        <v/>
      </c>
      <c r="F1347" s="20"/>
      <c r="G1347" s="20"/>
      <c r="H1347" s="20"/>
      <c r="I1347" s="20"/>
      <c r="J1347" s="20"/>
      <c r="K1347" s="18" t="str">
        <f aca="false">IF(COUNT($F1347:$J1347)=0,"",SUM($F1347:$J1347))</f>
        <v/>
      </c>
      <c r="L1347" s="18" t="str">
        <f aca="false">IF(COUNT($F1347:$J1347)=0,"",MAX($F1347:$J1347))</f>
        <v/>
      </c>
      <c r="M1347" s="18" t="str">
        <f aca="false">IFERROR(IF(OR($C1347="",COUNT($F1347:$J1347)&lt;3),"",IF(N(INDEX(Lists!$C$2:$C$40,MATCH($C1347,Lists!$A$2:$A$40,0)))=0,"",IF(MIN($F1347:$J1347)&gt;=INDEX(Lists!$C$2:$C$40,MATCH($C1347,Lists!$A$2:$A$40,0)),"LEVEL UP",""))),"")</f>
        <v/>
      </c>
      <c r="N1347" s="20"/>
      <c r="O1347" s="19"/>
    </row>
    <row r="1348" customFormat="false" ht="15" hidden="false" customHeight="false" outlineLevel="0" collapsed="false">
      <c r="A1348" s="17"/>
      <c r="B1348" s="18" t="str">
        <f aca="false">IF($A1348="","",TEXT($A1348,"ddd"))</f>
        <v/>
      </c>
      <c r="C1348" s="19"/>
      <c r="D1348" s="19"/>
      <c r="E1348" s="18" t="str">
        <f aca="false">IF($C1348="","",IFERROR(INDEX(Lists!$B$2:$B$40,MATCH($C1348,Lists!$A$2:$A$40,0)),""))</f>
        <v/>
      </c>
      <c r="F1348" s="20"/>
      <c r="G1348" s="20"/>
      <c r="H1348" s="20"/>
      <c r="I1348" s="20"/>
      <c r="J1348" s="20"/>
      <c r="K1348" s="18" t="str">
        <f aca="false">IF(COUNT($F1348:$J1348)=0,"",SUM($F1348:$J1348))</f>
        <v/>
      </c>
      <c r="L1348" s="18" t="str">
        <f aca="false">IF(COUNT($F1348:$J1348)=0,"",MAX($F1348:$J1348))</f>
        <v/>
      </c>
      <c r="M1348" s="18" t="str">
        <f aca="false">IFERROR(IF(OR($C1348="",COUNT($F1348:$J1348)&lt;3),"",IF(N(INDEX(Lists!$C$2:$C$40,MATCH($C1348,Lists!$A$2:$A$40,0)))=0,"",IF(MIN($F1348:$J1348)&gt;=INDEX(Lists!$C$2:$C$40,MATCH($C1348,Lists!$A$2:$A$40,0)),"LEVEL UP",""))),"")</f>
        <v/>
      </c>
      <c r="N1348" s="20"/>
      <c r="O1348" s="19"/>
    </row>
    <row r="1349" customFormat="false" ht="15" hidden="false" customHeight="false" outlineLevel="0" collapsed="false">
      <c r="A1349" s="17"/>
      <c r="B1349" s="18" t="str">
        <f aca="false">IF($A1349="","",TEXT($A1349,"ddd"))</f>
        <v/>
      </c>
      <c r="C1349" s="19"/>
      <c r="D1349" s="19"/>
      <c r="E1349" s="18" t="str">
        <f aca="false">IF($C1349="","",IFERROR(INDEX(Lists!$B$2:$B$40,MATCH($C1349,Lists!$A$2:$A$40,0)),""))</f>
        <v/>
      </c>
      <c r="F1349" s="20"/>
      <c r="G1349" s="20"/>
      <c r="H1349" s="20"/>
      <c r="I1349" s="20"/>
      <c r="J1349" s="20"/>
      <c r="K1349" s="18" t="str">
        <f aca="false">IF(COUNT($F1349:$J1349)=0,"",SUM($F1349:$J1349))</f>
        <v/>
      </c>
      <c r="L1349" s="18" t="str">
        <f aca="false">IF(COUNT($F1349:$J1349)=0,"",MAX($F1349:$J1349))</f>
        <v/>
      </c>
      <c r="M1349" s="18" t="str">
        <f aca="false">IFERROR(IF(OR($C1349="",COUNT($F1349:$J1349)&lt;3),"",IF(N(INDEX(Lists!$C$2:$C$40,MATCH($C1349,Lists!$A$2:$A$40,0)))=0,"",IF(MIN($F1349:$J1349)&gt;=INDEX(Lists!$C$2:$C$40,MATCH($C1349,Lists!$A$2:$A$40,0)),"LEVEL UP",""))),"")</f>
        <v/>
      </c>
      <c r="N1349" s="20"/>
      <c r="O1349" s="19"/>
    </row>
    <row r="1350" customFormat="false" ht="15" hidden="false" customHeight="false" outlineLevel="0" collapsed="false">
      <c r="A1350" s="17"/>
      <c r="B1350" s="18" t="str">
        <f aca="false">IF($A1350="","",TEXT($A1350,"ddd"))</f>
        <v/>
      </c>
      <c r="C1350" s="19"/>
      <c r="D1350" s="19"/>
      <c r="E1350" s="18" t="str">
        <f aca="false">IF($C1350="","",IFERROR(INDEX(Lists!$B$2:$B$40,MATCH($C1350,Lists!$A$2:$A$40,0)),""))</f>
        <v/>
      </c>
      <c r="F1350" s="20"/>
      <c r="G1350" s="20"/>
      <c r="H1350" s="20"/>
      <c r="I1350" s="20"/>
      <c r="J1350" s="20"/>
      <c r="K1350" s="18" t="str">
        <f aca="false">IF(COUNT($F1350:$J1350)=0,"",SUM($F1350:$J1350))</f>
        <v/>
      </c>
      <c r="L1350" s="18" t="str">
        <f aca="false">IF(COUNT($F1350:$J1350)=0,"",MAX($F1350:$J1350))</f>
        <v/>
      </c>
      <c r="M1350" s="18" t="str">
        <f aca="false">IFERROR(IF(OR($C1350="",COUNT($F1350:$J1350)&lt;3),"",IF(N(INDEX(Lists!$C$2:$C$40,MATCH($C1350,Lists!$A$2:$A$40,0)))=0,"",IF(MIN($F1350:$J1350)&gt;=INDEX(Lists!$C$2:$C$40,MATCH($C1350,Lists!$A$2:$A$40,0)),"LEVEL UP",""))),"")</f>
        <v/>
      </c>
      <c r="N1350" s="20"/>
      <c r="O1350" s="19"/>
    </row>
    <row r="1351" customFormat="false" ht="15" hidden="false" customHeight="false" outlineLevel="0" collapsed="false">
      <c r="A1351" s="17"/>
      <c r="B1351" s="18" t="str">
        <f aca="false">IF($A1351="","",TEXT($A1351,"ddd"))</f>
        <v/>
      </c>
      <c r="C1351" s="19"/>
      <c r="D1351" s="19"/>
      <c r="E1351" s="18" t="str">
        <f aca="false">IF($C1351="","",IFERROR(INDEX(Lists!$B$2:$B$40,MATCH($C1351,Lists!$A$2:$A$40,0)),""))</f>
        <v/>
      </c>
      <c r="F1351" s="20"/>
      <c r="G1351" s="20"/>
      <c r="H1351" s="20"/>
      <c r="I1351" s="20"/>
      <c r="J1351" s="20"/>
      <c r="K1351" s="18" t="str">
        <f aca="false">IF(COUNT($F1351:$J1351)=0,"",SUM($F1351:$J1351))</f>
        <v/>
      </c>
      <c r="L1351" s="18" t="str">
        <f aca="false">IF(COUNT($F1351:$J1351)=0,"",MAX($F1351:$J1351))</f>
        <v/>
      </c>
      <c r="M1351" s="18" t="str">
        <f aca="false">IFERROR(IF(OR($C1351="",COUNT($F1351:$J1351)&lt;3),"",IF(N(INDEX(Lists!$C$2:$C$40,MATCH($C1351,Lists!$A$2:$A$40,0)))=0,"",IF(MIN($F1351:$J1351)&gt;=INDEX(Lists!$C$2:$C$40,MATCH($C1351,Lists!$A$2:$A$40,0)),"LEVEL UP",""))),"")</f>
        <v/>
      </c>
      <c r="N1351" s="20"/>
      <c r="O1351" s="19"/>
    </row>
    <row r="1352" customFormat="false" ht="15" hidden="false" customHeight="false" outlineLevel="0" collapsed="false">
      <c r="A1352" s="17"/>
      <c r="B1352" s="18" t="str">
        <f aca="false">IF($A1352="","",TEXT($A1352,"ddd"))</f>
        <v/>
      </c>
      <c r="C1352" s="19"/>
      <c r="D1352" s="19"/>
      <c r="E1352" s="18" t="str">
        <f aca="false">IF($C1352="","",IFERROR(INDEX(Lists!$B$2:$B$40,MATCH($C1352,Lists!$A$2:$A$40,0)),""))</f>
        <v/>
      </c>
      <c r="F1352" s="20"/>
      <c r="G1352" s="20"/>
      <c r="H1352" s="20"/>
      <c r="I1352" s="20"/>
      <c r="J1352" s="20"/>
      <c r="K1352" s="18" t="str">
        <f aca="false">IF(COUNT($F1352:$J1352)=0,"",SUM($F1352:$J1352))</f>
        <v/>
      </c>
      <c r="L1352" s="18" t="str">
        <f aca="false">IF(COUNT($F1352:$J1352)=0,"",MAX($F1352:$J1352))</f>
        <v/>
      </c>
      <c r="M1352" s="18" t="str">
        <f aca="false">IFERROR(IF(OR($C1352="",COUNT($F1352:$J1352)&lt;3),"",IF(N(INDEX(Lists!$C$2:$C$40,MATCH($C1352,Lists!$A$2:$A$40,0)))=0,"",IF(MIN($F1352:$J1352)&gt;=INDEX(Lists!$C$2:$C$40,MATCH($C1352,Lists!$A$2:$A$40,0)),"LEVEL UP",""))),"")</f>
        <v/>
      </c>
      <c r="N1352" s="20"/>
      <c r="O1352" s="19"/>
    </row>
    <row r="1353" customFormat="false" ht="15" hidden="false" customHeight="false" outlineLevel="0" collapsed="false">
      <c r="A1353" s="17"/>
      <c r="B1353" s="18" t="str">
        <f aca="false">IF($A1353="","",TEXT($A1353,"ddd"))</f>
        <v/>
      </c>
      <c r="C1353" s="19"/>
      <c r="D1353" s="19"/>
      <c r="E1353" s="18" t="str">
        <f aca="false">IF($C1353="","",IFERROR(INDEX(Lists!$B$2:$B$40,MATCH($C1353,Lists!$A$2:$A$40,0)),""))</f>
        <v/>
      </c>
      <c r="F1353" s="20"/>
      <c r="G1353" s="20"/>
      <c r="H1353" s="20"/>
      <c r="I1353" s="20"/>
      <c r="J1353" s="20"/>
      <c r="K1353" s="18" t="str">
        <f aca="false">IF(COUNT($F1353:$J1353)=0,"",SUM($F1353:$J1353))</f>
        <v/>
      </c>
      <c r="L1353" s="18" t="str">
        <f aca="false">IF(COUNT($F1353:$J1353)=0,"",MAX($F1353:$J1353))</f>
        <v/>
      </c>
      <c r="M1353" s="18" t="str">
        <f aca="false">IFERROR(IF(OR($C1353="",COUNT($F1353:$J1353)&lt;3),"",IF(N(INDEX(Lists!$C$2:$C$40,MATCH($C1353,Lists!$A$2:$A$40,0)))=0,"",IF(MIN($F1353:$J1353)&gt;=INDEX(Lists!$C$2:$C$40,MATCH($C1353,Lists!$A$2:$A$40,0)),"LEVEL UP",""))),"")</f>
        <v/>
      </c>
      <c r="N1353" s="20"/>
      <c r="O1353" s="19"/>
    </row>
    <row r="1354" customFormat="false" ht="15" hidden="false" customHeight="false" outlineLevel="0" collapsed="false">
      <c r="A1354" s="17"/>
      <c r="B1354" s="18" t="str">
        <f aca="false">IF($A1354="","",TEXT($A1354,"ddd"))</f>
        <v/>
      </c>
      <c r="C1354" s="19"/>
      <c r="D1354" s="19"/>
      <c r="E1354" s="18" t="str">
        <f aca="false">IF($C1354="","",IFERROR(INDEX(Lists!$B$2:$B$40,MATCH($C1354,Lists!$A$2:$A$40,0)),""))</f>
        <v/>
      </c>
      <c r="F1354" s="20"/>
      <c r="G1354" s="20"/>
      <c r="H1354" s="20"/>
      <c r="I1354" s="20"/>
      <c r="J1354" s="20"/>
      <c r="K1354" s="18" t="str">
        <f aca="false">IF(COUNT($F1354:$J1354)=0,"",SUM($F1354:$J1354))</f>
        <v/>
      </c>
      <c r="L1354" s="18" t="str">
        <f aca="false">IF(COUNT($F1354:$J1354)=0,"",MAX($F1354:$J1354))</f>
        <v/>
      </c>
      <c r="M1354" s="18" t="str">
        <f aca="false">IFERROR(IF(OR($C1354="",COUNT($F1354:$J1354)&lt;3),"",IF(N(INDEX(Lists!$C$2:$C$40,MATCH($C1354,Lists!$A$2:$A$40,0)))=0,"",IF(MIN($F1354:$J1354)&gt;=INDEX(Lists!$C$2:$C$40,MATCH($C1354,Lists!$A$2:$A$40,0)),"LEVEL UP",""))),"")</f>
        <v/>
      </c>
      <c r="N1354" s="20"/>
      <c r="O1354" s="19"/>
    </row>
    <row r="1355" customFormat="false" ht="15" hidden="false" customHeight="false" outlineLevel="0" collapsed="false">
      <c r="A1355" s="17"/>
      <c r="B1355" s="18" t="str">
        <f aca="false">IF($A1355="","",TEXT($A1355,"ddd"))</f>
        <v/>
      </c>
      <c r="C1355" s="19"/>
      <c r="D1355" s="19"/>
      <c r="E1355" s="18" t="str">
        <f aca="false">IF($C1355="","",IFERROR(INDEX(Lists!$B$2:$B$40,MATCH($C1355,Lists!$A$2:$A$40,0)),""))</f>
        <v/>
      </c>
      <c r="F1355" s="20"/>
      <c r="G1355" s="20"/>
      <c r="H1355" s="20"/>
      <c r="I1355" s="20"/>
      <c r="J1355" s="20"/>
      <c r="K1355" s="18" t="str">
        <f aca="false">IF(COUNT($F1355:$J1355)=0,"",SUM($F1355:$J1355))</f>
        <v/>
      </c>
      <c r="L1355" s="18" t="str">
        <f aca="false">IF(COUNT($F1355:$J1355)=0,"",MAX($F1355:$J1355))</f>
        <v/>
      </c>
      <c r="M1355" s="18" t="str">
        <f aca="false">IFERROR(IF(OR($C1355="",COUNT($F1355:$J1355)&lt;3),"",IF(N(INDEX(Lists!$C$2:$C$40,MATCH($C1355,Lists!$A$2:$A$40,0)))=0,"",IF(MIN($F1355:$J1355)&gt;=INDEX(Lists!$C$2:$C$40,MATCH($C1355,Lists!$A$2:$A$40,0)),"LEVEL UP",""))),"")</f>
        <v/>
      </c>
      <c r="N1355" s="20"/>
      <c r="O1355" s="19"/>
    </row>
    <row r="1356" customFormat="false" ht="15" hidden="false" customHeight="false" outlineLevel="0" collapsed="false">
      <c r="A1356" s="17"/>
      <c r="B1356" s="18" t="str">
        <f aca="false">IF($A1356="","",TEXT($A1356,"ddd"))</f>
        <v/>
      </c>
      <c r="C1356" s="19"/>
      <c r="D1356" s="19"/>
      <c r="E1356" s="18" t="str">
        <f aca="false">IF($C1356="","",IFERROR(INDEX(Lists!$B$2:$B$40,MATCH($C1356,Lists!$A$2:$A$40,0)),""))</f>
        <v/>
      </c>
      <c r="F1356" s="20"/>
      <c r="G1356" s="20"/>
      <c r="H1356" s="20"/>
      <c r="I1356" s="20"/>
      <c r="J1356" s="20"/>
      <c r="K1356" s="18" t="str">
        <f aca="false">IF(COUNT($F1356:$J1356)=0,"",SUM($F1356:$J1356))</f>
        <v/>
      </c>
      <c r="L1356" s="18" t="str">
        <f aca="false">IF(COUNT($F1356:$J1356)=0,"",MAX($F1356:$J1356))</f>
        <v/>
      </c>
      <c r="M1356" s="18" t="str">
        <f aca="false">IFERROR(IF(OR($C1356="",COUNT($F1356:$J1356)&lt;3),"",IF(N(INDEX(Lists!$C$2:$C$40,MATCH($C1356,Lists!$A$2:$A$40,0)))=0,"",IF(MIN($F1356:$J1356)&gt;=INDEX(Lists!$C$2:$C$40,MATCH($C1356,Lists!$A$2:$A$40,0)),"LEVEL UP",""))),"")</f>
        <v/>
      </c>
      <c r="N1356" s="20"/>
      <c r="O1356" s="19"/>
    </row>
    <row r="1357" customFormat="false" ht="15" hidden="false" customHeight="false" outlineLevel="0" collapsed="false">
      <c r="A1357" s="17"/>
      <c r="B1357" s="18" t="str">
        <f aca="false">IF($A1357="","",TEXT($A1357,"ddd"))</f>
        <v/>
      </c>
      <c r="C1357" s="19"/>
      <c r="D1357" s="19"/>
      <c r="E1357" s="18" t="str">
        <f aca="false">IF($C1357="","",IFERROR(INDEX(Lists!$B$2:$B$40,MATCH($C1357,Lists!$A$2:$A$40,0)),""))</f>
        <v/>
      </c>
      <c r="F1357" s="20"/>
      <c r="G1357" s="20"/>
      <c r="H1357" s="20"/>
      <c r="I1357" s="20"/>
      <c r="J1357" s="20"/>
      <c r="K1357" s="18" t="str">
        <f aca="false">IF(COUNT($F1357:$J1357)=0,"",SUM($F1357:$J1357))</f>
        <v/>
      </c>
      <c r="L1357" s="18" t="str">
        <f aca="false">IF(COUNT($F1357:$J1357)=0,"",MAX($F1357:$J1357))</f>
        <v/>
      </c>
      <c r="M1357" s="18" t="str">
        <f aca="false">IFERROR(IF(OR($C1357="",COUNT($F1357:$J1357)&lt;3),"",IF(N(INDEX(Lists!$C$2:$C$40,MATCH($C1357,Lists!$A$2:$A$40,0)))=0,"",IF(MIN($F1357:$J1357)&gt;=INDEX(Lists!$C$2:$C$40,MATCH($C1357,Lists!$A$2:$A$40,0)),"LEVEL UP",""))),"")</f>
        <v/>
      </c>
      <c r="N1357" s="20"/>
      <c r="O1357" s="19"/>
    </row>
    <row r="1358" customFormat="false" ht="15" hidden="false" customHeight="false" outlineLevel="0" collapsed="false">
      <c r="A1358" s="17"/>
      <c r="B1358" s="18" t="str">
        <f aca="false">IF($A1358="","",TEXT($A1358,"ddd"))</f>
        <v/>
      </c>
      <c r="C1358" s="19"/>
      <c r="D1358" s="19"/>
      <c r="E1358" s="18" t="str">
        <f aca="false">IF($C1358="","",IFERROR(INDEX(Lists!$B$2:$B$40,MATCH($C1358,Lists!$A$2:$A$40,0)),""))</f>
        <v/>
      </c>
      <c r="F1358" s="20"/>
      <c r="G1358" s="20"/>
      <c r="H1358" s="20"/>
      <c r="I1358" s="20"/>
      <c r="J1358" s="20"/>
      <c r="K1358" s="18" t="str">
        <f aca="false">IF(COUNT($F1358:$J1358)=0,"",SUM($F1358:$J1358))</f>
        <v/>
      </c>
      <c r="L1358" s="18" t="str">
        <f aca="false">IF(COUNT($F1358:$J1358)=0,"",MAX($F1358:$J1358))</f>
        <v/>
      </c>
      <c r="M1358" s="18" t="str">
        <f aca="false">IFERROR(IF(OR($C1358="",COUNT($F1358:$J1358)&lt;3),"",IF(N(INDEX(Lists!$C$2:$C$40,MATCH($C1358,Lists!$A$2:$A$40,0)))=0,"",IF(MIN($F1358:$J1358)&gt;=INDEX(Lists!$C$2:$C$40,MATCH($C1358,Lists!$A$2:$A$40,0)),"LEVEL UP",""))),"")</f>
        <v/>
      </c>
      <c r="N1358" s="20"/>
      <c r="O1358" s="19"/>
    </row>
    <row r="1359" customFormat="false" ht="15" hidden="false" customHeight="false" outlineLevel="0" collapsed="false">
      <c r="A1359" s="17"/>
      <c r="B1359" s="18" t="str">
        <f aca="false">IF($A1359="","",TEXT($A1359,"ddd"))</f>
        <v/>
      </c>
      <c r="C1359" s="19"/>
      <c r="D1359" s="19"/>
      <c r="E1359" s="18" t="str">
        <f aca="false">IF($C1359="","",IFERROR(INDEX(Lists!$B$2:$B$40,MATCH($C1359,Lists!$A$2:$A$40,0)),""))</f>
        <v/>
      </c>
      <c r="F1359" s="20"/>
      <c r="G1359" s="20"/>
      <c r="H1359" s="20"/>
      <c r="I1359" s="20"/>
      <c r="J1359" s="20"/>
      <c r="K1359" s="18" t="str">
        <f aca="false">IF(COUNT($F1359:$J1359)=0,"",SUM($F1359:$J1359))</f>
        <v/>
      </c>
      <c r="L1359" s="18" t="str">
        <f aca="false">IF(COUNT($F1359:$J1359)=0,"",MAX($F1359:$J1359))</f>
        <v/>
      </c>
      <c r="M1359" s="18" t="str">
        <f aca="false">IFERROR(IF(OR($C1359="",COUNT($F1359:$J1359)&lt;3),"",IF(N(INDEX(Lists!$C$2:$C$40,MATCH($C1359,Lists!$A$2:$A$40,0)))=0,"",IF(MIN($F1359:$J1359)&gt;=INDEX(Lists!$C$2:$C$40,MATCH($C1359,Lists!$A$2:$A$40,0)),"LEVEL UP",""))),"")</f>
        <v/>
      </c>
      <c r="N1359" s="20"/>
      <c r="O1359" s="19"/>
    </row>
    <row r="1360" customFormat="false" ht="15" hidden="false" customHeight="false" outlineLevel="0" collapsed="false">
      <c r="A1360" s="17"/>
      <c r="B1360" s="18" t="str">
        <f aca="false">IF($A1360="","",TEXT($A1360,"ddd"))</f>
        <v/>
      </c>
      <c r="C1360" s="19"/>
      <c r="D1360" s="19"/>
      <c r="E1360" s="18" t="str">
        <f aca="false">IF($C1360="","",IFERROR(INDEX(Lists!$B$2:$B$40,MATCH($C1360,Lists!$A$2:$A$40,0)),""))</f>
        <v/>
      </c>
      <c r="F1360" s="20"/>
      <c r="G1360" s="20"/>
      <c r="H1360" s="20"/>
      <c r="I1360" s="20"/>
      <c r="J1360" s="20"/>
      <c r="K1360" s="18" t="str">
        <f aca="false">IF(COUNT($F1360:$J1360)=0,"",SUM($F1360:$J1360))</f>
        <v/>
      </c>
      <c r="L1360" s="18" t="str">
        <f aca="false">IF(COUNT($F1360:$J1360)=0,"",MAX($F1360:$J1360))</f>
        <v/>
      </c>
      <c r="M1360" s="18" t="str">
        <f aca="false">IFERROR(IF(OR($C1360="",COUNT($F1360:$J1360)&lt;3),"",IF(N(INDEX(Lists!$C$2:$C$40,MATCH($C1360,Lists!$A$2:$A$40,0)))=0,"",IF(MIN($F1360:$J1360)&gt;=INDEX(Lists!$C$2:$C$40,MATCH($C1360,Lists!$A$2:$A$40,0)),"LEVEL UP",""))),"")</f>
        <v/>
      </c>
      <c r="N1360" s="20"/>
      <c r="O1360" s="19"/>
    </row>
    <row r="1361" customFormat="false" ht="15" hidden="false" customHeight="false" outlineLevel="0" collapsed="false">
      <c r="A1361" s="17"/>
      <c r="B1361" s="18" t="str">
        <f aca="false">IF($A1361="","",TEXT($A1361,"ddd"))</f>
        <v/>
      </c>
      <c r="C1361" s="19"/>
      <c r="D1361" s="19"/>
      <c r="E1361" s="18" t="str">
        <f aca="false">IF($C1361="","",IFERROR(INDEX(Lists!$B$2:$B$40,MATCH($C1361,Lists!$A$2:$A$40,0)),""))</f>
        <v/>
      </c>
      <c r="F1361" s="20"/>
      <c r="G1361" s="20"/>
      <c r="H1361" s="20"/>
      <c r="I1361" s="20"/>
      <c r="J1361" s="20"/>
      <c r="K1361" s="18" t="str">
        <f aca="false">IF(COUNT($F1361:$J1361)=0,"",SUM($F1361:$J1361))</f>
        <v/>
      </c>
      <c r="L1361" s="18" t="str">
        <f aca="false">IF(COUNT($F1361:$J1361)=0,"",MAX($F1361:$J1361))</f>
        <v/>
      </c>
      <c r="M1361" s="18" t="str">
        <f aca="false">IFERROR(IF(OR($C1361="",COUNT($F1361:$J1361)&lt;3),"",IF(N(INDEX(Lists!$C$2:$C$40,MATCH($C1361,Lists!$A$2:$A$40,0)))=0,"",IF(MIN($F1361:$J1361)&gt;=INDEX(Lists!$C$2:$C$40,MATCH($C1361,Lists!$A$2:$A$40,0)),"LEVEL UP",""))),"")</f>
        <v/>
      </c>
      <c r="N1361" s="20"/>
      <c r="O1361" s="19"/>
    </row>
    <row r="1362" customFormat="false" ht="15" hidden="false" customHeight="false" outlineLevel="0" collapsed="false">
      <c r="A1362" s="17"/>
      <c r="B1362" s="18" t="str">
        <f aca="false">IF($A1362="","",TEXT($A1362,"ddd"))</f>
        <v/>
      </c>
      <c r="C1362" s="19"/>
      <c r="D1362" s="19"/>
      <c r="E1362" s="18" t="str">
        <f aca="false">IF($C1362="","",IFERROR(INDEX(Lists!$B$2:$B$40,MATCH($C1362,Lists!$A$2:$A$40,0)),""))</f>
        <v/>
      </c>
      <c r="F1362" s="20"/>
      <c r="G1362" s="20"/>
      <c r="H1362" s="20"/>
      <c r="I1362" s="20"/>
      <c r="J1362" s="20"/>
      <c r="K1362" s="18" t="str">
        <f aca="false">IF(COUNT($F1362:$J1362)=0,"",SUM($F1362:$J1362))</f>
        <v/>
      </c>
      <c r="L1362" s="18" t="str">
        <f aca="false">IF(COUNT($F1362:$J1362)=0,"",MAX($F1362:$J1362))</f>
        <v/>
      </c>
      <c r="M1362" s="18" t="str">
        <f aca="false">IFERROR(IF(OR($C1362="",COUNT($F1362:$J1362)&lt;3),"",IF(N(INDEX(Lists!$C$2:$C$40,MATCH($C1362,Lists!$A$2:$A$40,0)))=0,"",IF(MIN($F1362:$J1362)&gt;=INDEX(Lists!$C$2:$C$40,MATCH($C1362,Lists!$A$2:$A$40,0)),"LEVEL UP",""))),"")</f>
        <v/>
      </c>
      <c r="N1362" s="20"/>
      <c r="O1362" s="19"/>
    </row>
    <row r="1363" customFormat="false" ht="15" hidden="false" customHeight="false" outlineLevel="0" collapsed="false">
      <c r="A1363" s="17"/>
      <c r="B1363" s="18" t="str">
        <f aca="false">IF($A1363="","",TEXT($A1363,"ddd"))</f>
        <v/>
      </c>
      <c r="C1363" s="19"/>
      <c r="D1363" s="19"/>
      <c r="E1363" s="18" t="str">
        <f aca="false">IF($C1363="","",IFERROR(INDEX(Lists!$B$2:$B$40,MATCH($C1363,Lists!$A$2:$A$40,0)),""))</f>
        <v/>
      </c>
      <c r="F1363" s="20"/>
      <c r="G1363" s="20"/>
      <c r="H1363" s="20"/>
      <c r="I1363" s="20"/>
      <c r="J1363" s="20"/>
      <c r="K1363" s="18" t="str">
        <f aca="false">IF(COUNT($F1363:$J1363)=0,"",SUM($F1363:$J1363))</f>
        <v/>
      </c>
      <c r="L1363" s="18" t="str">
        <f aca="false">IF(COUNT($F1363:$J1363)=0,"",MAX($F1363:$J1363))</f>
        <v/>
      </c>
      <c r="M1363" s="18" t="str">
        <f aca="false">IFERROR(IF(OR($C1363="",COUNT($F1363:$J1363)&lt;3),"",IF(N(INDEX(Lists!$C$2:$C$40,MATCH($C1363,Lists!$A$2:$A$40,0)))=0,"",IF(MIN($F1363:$J1363)&gt;=INDEX(Lists!$C$2:$C$40,MATCH($C1363,Lists!$A$2:$A$40,0)),"LEVEL UP",""))),"")</f>
        <v/>
      </c>
      <c r="N1363" s="20"/>
      <c r="O1363" s="19"/>
    </row>
    <row r="1364" customFormat="false" ht="15" hidden="false" customHeight="false" outlineLevel="0" collapsed="false">
      <c r="A1364" s="17"/>
      <c r="B1364" s="18" t="str">
        <f aca="false">IF($A1364="","",TEXT($A1364,"ddd"))</f>
        <v/>
      </c>
      <c r="C1364" s="19"/>
      <c r="D1364" s="19"/>
      <c r="E1364" s="18" t="str">
        <f aca="false">IF($C1364="","",IFERROR(INDEX(Lists!$B$2:$B$40,MATCH($C1364,Lists!$A$2:$A$40,0)),""))</f>
        <v/>
      </c>
      <c r="F1364" s="20"/>
      <c r="G1364" s="20"/>
      <c r="H1364" s="20"/>
      <c r="I1364" s="20"/>
      <c r="J1364" s="20"/>
      <c r="K1364" s="18" t="str">
        <f aca="false">IF(COUNT($F1364:$J1364)=0,"",SUM($F1364:$J1364))</f>
        <v/>
      </c>
      <c r="L1364" s="18" t="str">
        <f aca="false">IF(COUNT($F1364:$J1364)=0,"",MAX($F1364:$J1364))</f>
        <v/>
      </c>
      <c r="M1364" s="18" t="str">
        <f aca="false">IFERROR(IF(OR($C1364="",COUNT($F1364:$J1364)&lt;3),"",IF(N(INDEX(Lists!$C$2:$C$40,MATCH($C1364,Lists!$A$2:$A$40,0)))=0,"",IF(MIN($F1364:$J1364)&gt;=INDEX(Lists!$C$2:$C$40,MATCH($C1364,Lists!$A$2:$A$40,0)),"LEVEL UP",""))),"")</f>
        <v/>
      </c>
      <c r="N1364" s="20"/>
      <c r="O1364" s="19"/>
    </row>
    <row r="1365" customFormat="false" ht="15" hidden="false" customHeight="false" outlineLevel="0" collapsed="false">
      <c r="A1365" s="17"/>
      <c r="B1365" s="18" t="str">
        <f aca="false">IF($A1365="","",TEXT($A1365,"ddd"))</f>
        <v/>
      </c>
      <c r="C1365" s="19"/>
      <c r="D1365" s="19"/>
      <c r="E1365" s="18" t="str">
        <f aca="false">IF($C1365="","",IFERROR(INDEX(Lists!$B$2:$B$40,MATCH($C1365,Lists!$A$2:$A$40,0)),""))</f>
        <v/>
      </c>
      <c r="F1365" s="20"/>
      <c r="G1365" s="20"/>
      <c r="H1365" s="20"/>
      <c r="I1365" s="20"/>
      <c r="J1365" s="20"/>
      <c r="K1365" s="18" t="str">
        <f aca="false">IF(COUNT($F1365:$J1365)=0,"",SUM($F1365:$J1365))</f>
        <v/>
      </c>
      <c r="L1365" s="18" t="str">
        <f aca="false">IF(COUNT($F1365:$J1365)=0,"",MAX($F1365:$J1365))</f>
        <v/>
      </c>
      <c r="M1365" s="18" t="str">
        <f aca="false">IFERROR(IF(OR($C1365="",COUNT($F1365:$J1365)&lt;3),"",IF(N(INDEX(Lists!$C$2:$C$40,MATCH($C1365,Lists!$A$2:$A$40,0)))=0,"",IF(MIN($F1365:$J1365)&gt;=INDEX(Lists!$C$2:$C$40,MATCH($C1365,Lists!$A$2:$A$40,0)),"LEVEL UP",""))),"")</f>
        <v/>
      </c>
      <c r="N1365" s="20"/>
      <c r="O1365" s="19"/>
    </row>
    <row r="1366" customFormat="false" ht="15" hidden="false" customHeight="false" outlineLevel="0" collapsed="false">
      <c r="A1366" s="17"/>
      <c r="B1366" s="18" t="str">
        <f aca="false">IF($A1366="","",TEXT($A1366,"ddd"))</f>
        <v/>
      </c>
      <c r="C1366" s="19"/>
      <c r="D1366" s="19"/>
      <c r="E1366" s="18" t="str">
        <f aca="false">IF($C1366="","",IFERROR(INDEX(Lists!$B$2:$B$40,MATCH($C1366,Lists!$A$2:$A$40,0)),""))</f>
        <v/>
      </c>
      <c r="F1366" s="20"/>
      <c r="G1366" s="20"/>
      <c r="H1366" s="20"/>
      <c r="I1366" s="20"/>
      <c r="J1366" s="20"/>
      <c r="K1366" s="18" t="str">
        <f aca="false">IF(COUNT($F1366:$J1366)=0,"",SUM($F1366:$J1366))</f>
        <v/>
      </c>
      <c r="L1366" s="18" t="str">
        <f aca="false">IF(COUNT($F1366:$J1366)=0,"",MAX($F1366:$J1366))</f>
        <v/>
      </c>
      <c r="M1366" s="18" t="str">
        <f aca="false">IFERROR(IF(OR($C1366="",COUNT($F1366:$J1366)&lt;3),"",IF(N(INDEX(Lists!$C$2:$C$40,MATCH($C1366,Lists!$A$2:$A$40,0)))=0,"",IF(MIN($F1366:$J1366)&gt;=INDEX(Lists!$C$2:$C$40,MATCH($C1366,Lists!$A$2:$A$40,0)),"LEVEL UP",""))),"")</f>
        <v/>
      </c>
      <c r="N1366" s="20"/>
      <c r="O1366" s="19"/>
    </row>
    <row r="1367" customFormat="false" ht="15" hidden="false" customHeight="false" outlineLevel="0" collapsed="false">
      <c r="A1367" s="17"/>
      <c r="B1367" s="18" t="str">
        <f aca="false">IF($A1367="","",TEXT($A1367,"ddd"))</f>
        <v/>
      </c>
      <c r="C1367" s="19"/>
      <c r="D1367" s="19"/>
      <c r="E1367" s="18" t="str">
        <f aca="false">IF($C1367="","",IFERROR(INDEX(Lists!$B$2:$B$40,MATCH($C1367,Lists!$A$2:$A$40,0)),""))</f>
        <v/>
      </c>
      <c r="F1367" s="20"/>
      <c r="G1367" s="20"/>
      <c r="H1367" s="20"/>
      <c r="I1367" s="20"/>
      <c r="J1367" s="20"/>
      <c r="K1367" s="18" t="str">
        <f aca="false">IF(COUNT($F1367:$J1367)=0,"",SUM($F1367:$J1367))</f>
        <v/>
      </c>
      <c r="L1367" s="18" t="str">
        <f aca="false">IF(COUNT($F1367:$J1367)=0,"",MAX($F1367:$J1367))</f>
        <v/>
      </c>
      <c r="M1367" s="18" t="str">
        <f aca="false">IFERROR(IF(OR($C1367="",COUNT($F1367:$J1367)&lt;3),"",IF(N(INDEX(Lists!$C$2:$C$40,MATCH($C1367,Lists!$A$2:$A$40,0)))=0,"",IF(MIN($F1367:$J1367)&gt;=INDEX(Lists!$C$2:$C$40,MATCH($C1367,Lists!$A$2:$A$40,0)),"LEVEL UP",""))),"")</f>
        <v/>
      </c>
      <c r="N1367" s="20"/>
      <c r="O1367" s="19"/>
    </row>
    <row r="1368" customFormat="false" ht="15" hidden="false" customHeight="false" outlineLevel="0" collapsed="false">
      <c r="A1368" s="17"/>
      <c r="B1368" s="18" t="str">
        <f aca="false">IF($A1368="","",TEXT($A1368,"ddd"))</f>
        <v/>
      </c>
      <c r="C1368" s="19"/>
      <c r="D1368" s="19"/>
      <c r="E1368" s="18" t="str">
        <f aca="false">IF($C1368="","",IFERROR(INDEX(Lists!$B$2:$B$40,MATCH($C1368,Lists!$A$2:$A$40,0)),""))</f>
        <v/>
      </c>
      <c r="F1368" s="20"/>
      <c r="G1368" s="20"/>
      <c r="H1368" s="20"/>
      <c r="I1368" s="20"/>
      <c r="J1368" s="20"/>
      <c r="K1368" s="18" t="str">
        <f aca="false">IF(COUNT($F1368:$J1368)=0,"",SUM($F1368:$J1368))</f>
        <v/>
      </c>
      <c r="L1368" s="18" t="str">
        <f aca="false">IF(COUNT($F1368:$J1368)=0,"",MAX($F1368:$J1368))</f>
        <v/>
      </c>
      <c r="M1368" s="18" t="str">
        <f aca="false">IFERROR(IF(OR($C1368="",COUNT($F1368:$J1368)&lt;3),"",IF(N(INDEX(Lists!$C$2:$C$40,MATCH($C1368,Lists!$A$2:$A$40,0)))=0,"",IF(MIN($F1368:$J1368)&gt;=INDEX(Lists!$C$2:$C$40,MATCH($C1368,Lists!$A$2:$A$40,0)),"LEVEL UP",""))),"")</f>
        <v/>
      </c>
      <c r="N1368" s="20"/>
      <c r="O1368" s="19"/>
    </row>
    <row r="1369" customFormat="false" ht="15" hidden="false" customHeight="false" outlineLevel="0" collapsed="false">
      <c r="A1369" s="17"/>
      <c r="B1369" s="18" t="str">
        <f aca="false">IF($A1369="","",TEXT($A1369,"ddd"))</f>
        <v/>
      </c>
      <c r="C1369" s="19"/>
      <c r="D1369" s="19"/>
      <c r="E1369" s="18" t="str">
        <f aca="false">IF($C1369="","",IFERROR(INDEX(Lists!$B$2:$B$40,MATCH($C1369,Lists!$A$2:$A$40,0)),""))</f>
        <v/>
      </c>
      <c r="F1369" s="20"/>
      <c r="G1369" s="20"/>
      <c r="H1369" s="20"/>
      <c r="I1369" s="20"/>
      <c r="J1369" s="20"/>
      <c r="K1369" s="18" t="str">
        <f aca="false">IF(COUNT($F1369:$J1369)=0,"",SUM($F1369:$J1369))</f>
        <v/>
      </c>
      <c r="L1369" s="18" t="str">
        <f aca="false">IF(COUNT($F1369:$J1369)=0,"",MAX($F1369:$J1369))</f>
        <v/>
      </c>
      <c r="M1369" s="18" t="str">
        <f aca="false">IFERROR(IF(OR($C1369="",COUNT($F1369:$J1369)&lt;3),"",IF(N(INDEX(Lists!$C$2:$C$40,MATCH($C1369,Lists!$A$2:$A$40,0)))=0,"",IF(MIN($F1369:$J1369)&gt;=INDEX(Lists!$C$2:$C$40,MATCH($C1369,Lists!$A$2:$A$40,0)),"LEVEL UP",""))),"")</f>
        <v/>
      </c>
      <c r="N1369" s="20"/>
      <c r="O1369" s="19"/>
    </row>
    <row r="1370" customFormat="false" ht="15" hidden="false" customHeight="false" outlineLevel="0" collapsed="false">
      <c r="A1370" s="17"/>
      <c r="B1370" s="18" t="str">
        <f aca="false">IF($A1370="","",TEXT($A1370,"ddd"))</f>
        <v/>
      </c>
      <c r="C1370" s="19"/>
      <c r="D1370" s="19"/>
      <c r="E1370" s="18" t="str">
        <f aca="false">IF($C1370="","",IFERROR(INDEX(Lists!$B$2:$B$40,MATCH($C1370,Lists!$A$2:$A$40,0)),""))</f>
        <v/>
      </c>
      <c r="F1370" s="20"/>
      <c r="G1370" s="20"/>
      <c r="H1370" s="20"/>
      <c r="I1370" s="20"/>
      <c r="J1370" s="20"/>
      <c r="K1370" s="18" t="str">
        <f aca="false">IF(COUNT($F1370:$J1370)=0,"",SUM($F1370:$J1370))</f>
        <v/>
      </c>
      <c r="L1370" s="18" t="str">
        <f aca="false">IF(COUNT($F1370:$J1370)=0,"",MAX($F1370:$J1370))</f>
        <v/>
      </c>
      <c r="M1370" s="18" t="str">
        <f aca="false">IFERROR(IF(OR($C1370="",COUNT($F1370:$J1370)&lt;3),"",IF(N(INDEX(Lists!$C$2:$C$40,MATCH($C1370,Lists!$A$2:$A$40,0)))=0,"",IF(MIN($F1370:$J1370)&gt;=INDEX(Lists!$C$2:$C$40,MATCH($C1370,Lists!$A$2:$A$40,0)),"LEVEL UP",""))),"")</f>
        <v/>
      </c>
      <c r="N1370" s="20"/>
      <c r="O1370" s="19"/>
    </row>
    <row r="1371" customFormat="false" ht="15" hidden="false" customHeight="false" outlineLevel="0" collapsed="false">
      <c r="A1371" s="17"/>
      <c r="B1371" s="18" t="str">
        <f aca="false">IF($A1371="","",TEXT($A1371,"ddd"))</f>
        <v/>
      </c>
      <c r="C1371" s="19"/>
      <c r="D1371" s="19"/>
      <c r="E1371" s="18" t="str">
        <f aca="false">IF($C1371="","",IFERROR(INDEX(Lists!$B$2:$B$40,MATCH($C1371,Lists!$A$2:$A$40,0)),""))</f>
        <v/>
      </c>
      <c r="F1371" s="20"/>
      <c r="G1371" s="20"/>
      <c r="H1371" s="20"/>
      <c r="I1371" s="20"/>
      <c r="J1371" s="20"/>
      <c r="K1371" s="18" t="str">
        <f aca="false">IF(COUNT($F1371:$J1371)=0,"",SUM($F1371:$J1371))</f>
        <v/>
      </c>
      <c r="L1371" s="18" t="str">
        <f aca="false">IF(COUNT($F1371:$J1371)=0,"",MAX($F1371:$J1371))</f>
        <v/>
      </c>
      <c r="M1371" s="18" t="str">
        <f aca="false">IFERROR(IF(OR($C1371="",COUNT($F1371:$J1371)&lt;3),"",IF(N(INDEX(Lists!$C$2:$C$40,MATCH($C1371,Lists!$A$2:$A$40,0)))=0,"",IF(MIN($F1371:$J1371)&gt;=INDEX(Lists!$C$2:$C$40,MATCH($C1371,Lists!$A$2:$A$40,0)),"LEVEL UP",""))),"")</f>
        <v/>
      </c>
      <c r="N1371" s="20"/>
      <c r="O1371" s="19"/>
    </row>
    <row r="1372" customFormat="false" ht="15" hidden="false" customHeight="false" outlineLevel="0" collapsed="false">
      <c r="A1372" s="17"/>
      <c r="B1372" s="18" t="str">
        <f aca="false">IF($A1372="","",TEXT($A1372,"ddd"))</f>
        <v/>
      </c>
      <c r="C1372" s="19"/>
      <c r="D1372" s="19"/>
      <c r="E1372" s="18" t="str">
        <f aca="false">IF($C1372="","",IFERROR(INDEX(Lists!$B$2:$B$40,MATCH($C1372,Lists!$A$2:$A$40,0)),""))</f>
        <v/>
      </c>
      <c r="F1372" s="20"/>
      <c r="G1372" s="20"/>
      <c r="H1372" s="20"/>
      <c r="I1372" s="20"/>
      <c r="J1372" s="20"/>
      <c r="K1372" s="18" t="str">
        <f aca="false">IF(COUNT($F1372:$J1372)=0,"",SUM($F1372:$J1372))</f>
        <v/>
      </c>
      <c r="L1372" s="18" t="str">
        <f aca="false">IF(COUNT($F1372:$J1372)=0,"",MAX($F1372:$J1372))</f>
        <v/>
      </c>
      <c r="M1372" s="18" t="str">
        <f aca="false">IFERROR(IF(OR($C1372="",COUNT($F1372:$J1372)&lt;3),"",IF(N(INDEX(Lists!$C$2:$C$40,MATCH($C1372,Lists!$A$2:$A$40,0)))=0,"",IF(MIN($F1372:$J1372)&gt;=INDEX(Lists!$C$2:$C$40,MATCH($C1372,Lists!$A$2:$A$40,0)),"LEVEL UP",""))),"")</f>
        <v/>
      </c>
      <c r="N1372" s="20"/>
      <c r="O1372" s="19"/>
    </row>
    <row r="1373" customFormat="false" ht="15" hidden="false" customHeight="false" outlineLevel="0" collapsed="false">
      <c r="A1373" s="17"/>
      <c r="B1373" s="18" t="str">
        <f aca="false">IF($A1373="","",TEXT($A1373,"ddd"))</f>
        <v/>
      </c>
      <c r="C1373" s="19"/>
      <c r="D1373" s="19"/>
      <c r="E1373" s="18" t="str">
        <f aca="false">IF($C1373="","",IFERROR(INDEX(Lists!$B$2:$B$40,MATCH($C1373,Lists!$A$2:$A$40,0)),""))</f>
        <v/>
      </c>
      <c r="F1373" s="20"/>
      <c r="G1373" s="20"/>
      <c r="H1373" s="20"/>
      <c r="I1373" s="20"/>
      <c r="J1373" s="20"/>
      <c r="K1373" s="18" t="str">
        <f aca="false">IF(COUNT($F1373:$J1373)=0,"",SUM($F1373:$J1373))</f>
        <v/>
      </c>
      <c r="L1373" s="18" t="str">
        <f aca="false">IF(COUNT($F1373:$J1373)=0,"",MAX($F1373:$J1373))</f>
        <v/>
      </c>
      <c r="M1373" s="18" t="str">
        <f aca="false">IFERROR(IF(OR($C1373="",COUNT($F1373:$J1373)&lt;3),"",IF(N(INDEX(Lists!$C$2:$C$40,MATCH($C1373,Lists!$A$2:$A$40,0)))=0,"",IF(MIN($F1373:$J1373)&gt;=INDEX(Lists!$C$2:$C$40,MATCH($C1373,Lists!$A$2:$A$40,0)),"LEVEL UP",""))),"")</f>
        <v/>
      </c>
      <c r="N1373" s="20"/>
      <c r="O1373" s="19"/>
    </row>
    <row r="1374" customFormat="false" ht="15" hidden="false" customHeight="false" outlineLevel="0" collapsed="false">
      <c r="A1374" s="17"/>
      <c r="B1374" s="18" t="str">
        <f aca="false">IF($A1374="","",TEXT($A1374,"ddd"))</f>
        <v/>
      </c>
      <c r="C1374" s="19"/>
      <c r="D1374" s="19"/>
      <c r="E1374" s="18" t="str">
        <f aca="false">IF($C1374="","",IFERROR(INDEX(Lists!$B$2:$B$40,MATCH($C1374,Lists!$A$2:$A$40,0)),""))</f>
        <v/>
      </c>
      <c r="F1374" s="20"/>
      <c r="G1374" s="20"/>
      <c r="H1374" s="20"/>
      <c r="I1374" s="20"/>
      <c r="J1374" s="20"/>
      <c r="K1374" s="18" t="str">
        <f aca="false">IF(COUNT($F1374:$J1374)=0,"",SUM($F1374:$J1374))</f>
        <v/>
      </c>
      <c r="L1374" s="18" t="str">
        <f aca="false">IF(COUNT($F1374:$J1374)=0,"",MAX($F1374:$J1374))</f>
        <v/>
      </c>
      <c r="M1374" s="18" t="str">
        <f aca="false">IFERROR(IF(OR($C1374="",COUNT($F1374:$J1374)&lt;3),"",IF(N(INDEX(Lists!$C$2:$C$40,MATCH($C1374,Lists!$A$2:$A$40,0)))=0,"",IF(MIN($F1374:$J1374)&gt;=INDEX(Lists!$C$2:$C$40,MATCH($C1374,Lists!$A$2:$A$40,0)),"LEVEL UP",""))),"")</f>
        <v/>
      </c>
      <c r="N1374" s="20"/>
      <c r="O1374" s="19"/>
    </row>
    <row r="1375" customFormat="false" ht="15" hidden="false" customHeight="false" outlineLevel="0" collapsed="false">
      <c r="A1375" s="17"/>
      <c r="B1375" s="18" t="str">
        <f aca="false">IF($A1375="","",TEXT($A1375,"ddd"))</f>
        <v/>
      </c>
      <c r="C1375" s="19"/>
      <c r="D1375" s="19"/>
      <c r="E1375" s="18" t="str">
        <f aca="false">IF($C1375="","",IFERROR(INDEX(Lists!$B$2:$B$40,MATCH($C1375,Lists!$A$2:$A$40,0)),""))</f>
        <v/>
      </c>
      <c r="F1375" s="20"/>
      <c r="G1375" s="20"/>
      <c r="H1375" s="20"/>
      <c r="I1375" s="20"/>
      <c r="J1375" s="20"/>
      <c r="K1375" s="18" t="str">
        <f aca="false">IF(COUNT($F1375:$J1375)=0,"",SUM($F1375:$J1375))</f>
        <v/>
      </c>
      <c r="L1375" s="18" t="str">
        <f aca="false">IF(COUNT($F1375:$J1375)=0,"",MAX($F1375:$J1375))</f>
        <v/>
      </c>
      <c r="M1375" s="18" t="str">
        <f aca="false">IFERROR(IF(OR($C1375="",COUNT($F1375:$J1375)&lt;3),"",IF(N(INDEX(Lists!$C$2:$C$40,MATCH($C1375,Lists!$A$2:$A$40,0)))=0,"",IF(MIN($F1375:$J1375)&gt;=INDEX(Lists!$C$2:$C$40,MATCH($C1375,Lists!$A$2:$A$40,0)),"LEVEL UP",""))),"")</f>
        <v/>
      </c>
      <c r="N1375" s="20"/>
      <c r="O1375" s="19"/>
    </row>
    <row r="1376" customFormat="false" ht="15" hidden="false" customHeight="false" outlineLevel="0" collapsed="false">
      <c r="A1376" s="17"/>
      <c r="B1376" s="18" t="str">
        <f aca="false">IF($A1376="","",TEXT($A1376,"ddd"))</f>
        <v/>
      </c>
      <c r="C1376" s="19"/>
      <c r="D1376" s="19"/>
      <c r="E1376" s="18" t="str">
        <f aca="false">IF($C1376="","",IFERROR(INDEX(Lists!$B$2:$B$40,MATCH($C1376,Lists!$A$2:$A$40,0)),""))</f>
        <v/>
      </c>
      <c r="F1376" s="20"/>
      <c r="G1376" s="20"/>
      <c r="H1376" s="20"/>
      <c r="I1376" s="20"/>
      <c r="J1376" s="20"/>
      <c r="K1376" s="18" t="str">
        <f aca="false">IF(COUNT($F1376:$J1376)=0,"",SUM($F1376:$J1376))</f>
        <v/>
      </c>
      <c r="L1376" s="18" t="str">
        <f aca="false">IF(COUNT($F1376:$J1376)=0,"",MAX($F1376:$J1376))</f>
        <v/>
      </c>
      <c r="M1376" s="18" t="str">
        <f aca="false">IFERROR(IF(OR($C1376="",COUNT($F1376:$J1376)&lt;3),"",IF(N(INDEX(Lists!$C$2:$C$40,MATCH($C1376,Lists!$A$2:$A$40,0)))=0,"",IF(MIN($F1376:$J1376)&gt;=INDEX(Lists!$C$2:$C$40,MATCH($C1376,Lists!$A$2:$A$40,0)),"LEVEL UP",""))),"")</f>
        <v/>
      </c>
      <c r="N1376" s="20"/>
      <c r="O1376" s="19"/>
    </row>
    <row r="1377" customFormat="false" ht="15" hidden="false" customHeight="false" outlineLevel="0" collapsed="false">
      <c r="A1377" s="17"/>
      <c r="B1377" s="18" t="str">
        <f aca="false">IF($A1377="","",TEXT($A1377,"ddd"))</f>
        <v/>
      </c>
      <c r="C1377" s="19"/>
      <c r="D1377" s="19"/>
      <c r="E1377" s="18" t="str">
        <f aca="false">IF($C1377="","",IFERROR(INDEX(Lists!$B$2:$B$40,MATCH($C1377,Lists!$A$2:$A$40,0)),""))</f>
        <v/>
      </c>
      <c r="F1377" s="20"/>
      <c r="G1377" s="20"/>
      <c r="H1377" s="20"/>
      <c r="I1377" s="20"/>
      <c r="J1377" s="20"/>
      <c r="K1377" s="18" t="str">
        <f aca="false">IF(COUNT($F1377:$J1377)=0,"",SUM($F1377:$J1377))</f>
        <v/>
      </c>
      <c r="L1377" s="18" t="str">
        <f aca="false">IF(COUNT($F1377:$J1377)=0,"",MAX($F1377:$J1377))</f>
        <v/>
      </c>
      <c r="M1377" s="18" t="str">
        <f aca="false">IFERROR(IF(OR($C1377="",COUNT($F1377:$J1377)&lt;3),"",IF(N(INDEX(Lists!$C$2:$C$40,MATCH($C1377,Lists!$A$2:$A$40,0)))=0,"",IF(MIN($F1377:$J1377)&gt;=INDEX(Lists!$C$2:$C$40,MATCH($C1377,Lists!$A$2:$A$40,0)),"LEVEL UP",""))),"")</f>
        <v/>
      </c>
      <c r="N1377" s="20"/>
      <c r="O1377" s="19"/>
    </row>
    <row r="1378" customFormat="false" ht="15" hidden="false" customHeight="false" outlineLevel="0" collapsed="false">
      <c r="A1378" s="17"/>
      <c r="B1378" s="18" t="str">
        <f aca="false">IF($A1378="","",TEXT($A1378,"ddd"))</f>
        <v/>
      </c>
      <c r="C1378" s="19"/>
      <c r="D1378" s="19"/>
      <c r="E1378" s="18" t="str">
        <f aca="false">IF($C1378="","",IFERROR(INDEX(Lists!$B$2:$B$40,MATCH($C1378,Lists!$A$2:$A$40,0)),""))</f>
        <v/>
      </c>
      <c r="F1378" s="20"/>
      <c r="G1378" s="20"/>
      <c r="H1378" s="20"/>
      <c r="I1378" s="20"/>
      <c r="J1378" s="20"/>
      <c r="K1378" s="18" t="str">
        <f aca="false">IF(COUNT($F1378:$J1378)=0,"",SUM($F1378:$J1378))</f>
        <v/>
      </c>
      <c r="L1378" s="18" t="str">
        <f aca="false">IF(COUNT($F1378:$J1378)=0,"",MAX($F1378:$J1378))</f>
        <v/>
      </c>
      <c r="M1378" s="18" t="str">
        <f aca="false">IFERROR(IF(OR($C1378="",COUNT($F1378:$J1378)&lt;3),"",IF(N(INDEX(Lists!$C$2:$C$40,MATCH($C1378,Lists!$A$2:$A$40,0)))=0,"",IF(MIN($F1378:$J1378)&gt;=INDEX(Lists!$C$2:$C$40,MATCH($C1378,Lists!$A$2:$A$40,0)),"LEVEL UP",""))),"")</f>
        <v/>
      </c>
      <c r="N1378" s="20"/>
      <c r="O1378" s="19"/>
    </row>
    <row r="1379" customFormat="false" ht="15" hidden="false" customHeight="false" outlineLevel="0" collapsed="false">
      <c r="A1379" s="17"/>
      <c r="B1379" s="18" t="str">
        <f aca="false">IF($A1379="","",TEXT($A1379,"ddd"))</f>
        <v/>
      </c>
      <c r="C1379" s="19"/>
      <c r="D1379" s="19"/>
      <c r="E1379" s="18" t="str">
        <f aca="false">IF($C1379="","",IFERROR(INDEX(Lists!$B$2:$B$40,MATCH($C1379,Lists!$A$2:$A$40,0)),""))</f>
        <v/>
      </c>
      <c r="F1379" s="20"/>
      <c r="G1379" s="20"/>
      <c r="H1379" s="20"/>
      <c r="I1379" s="20"/>
      <c r="J1379" s="20"/>
      <c r="K1379" s="18" t="str">
        <f aca="false">IF(COUNT($F1379:$J1379)=0,"",SUM($F1379:$J1379))</f>
        <v/>
      </c>
      <c r="L1379" s="18" t="str">
        <f aca="false">IF(COUNT($F1379:$J1379)=0,"",MAX($F1379:$J1379))</f>
        <v/>
      </c>
      <c r="M1379" s="18" t="str">
        <f aca="false">IFERROR(IF(OR($C1379="",COUNT($F1379:$J1379)&lt;3),"",IF(N(INDEX(Lists!$C$2:$C$40,MATCH($C1379,Lists!$A$2:$A$40,0)))=0,"",IF(MIN($F1379:$J1379)&gt;=INDEX(Lists!$C$2:$C$40,MATCH($C1379,Lists!$A$2:$A$40,0)),"LEVEL UP",""))),"")</f>
        <v/>
      </c>
      <c r="N1379" s="20"/>
      <c r="O1379" s="19"/>
    </row>
    <row r="1380" customFormat="false" ht="15" hidden="false" customHeight="false" outlineLevel="0" collapsed="false">
      <c r="A1380" s="17"/>
      <c r="B1380" s="18" t="str">
        <f aca="false">IF($A1380="","",TEXT($A1380,"ddd"))</f>
        <v/>
      </c>
      <c r="C1380" s="19"/>
      <c r="D1380" s="19"/>
      <c r="E1380" s="18" t="str">
        <f aca="false">IF($C1380="","",IFERROR(INDEX(Lists!$B$2:$B$40,MATCH($C1380,Lists!$A$2:$A$40,0)),""))</f>
        <v/>
      </c>
      <c r="F1380" s="20"/>
      <c r="G1380" s="20"/>
      <c r="H1380" s="20"/>
      <c r="I1380" s="20"/>
      <c r="J1380" s="20"/>
      <c r="K1380" s="18" t="str">
        <f aca="false">IF(COUNT($F1380:$J1380)=0,"",SUM($F1380:$J1380))</f>
        <v/>
      </c>
      <c r="L1380" s="18" t="str">
        <f aca="false">IF(COUNT($F1380:$J1380)=0,"",MAX($F1380:$J1380))</f>
        <v/>
      </c>
      <c r="M1380" s="18" t="str">
        <f aca="false">IFERROR(IF(OR($C1380="",COUNT($F1380:$J1380)&lt;3),"",IF(N(INDEX(Lists!$C$2:$C$40,MATCH($C1380,Lists!$A$2:$A$40,0)))=0,"",IF(MIN($F1380:$J1380)&gt;=INDEX(Lists!$C$2:$C$40,MATCH($C1380,Lists!$A$2:$A$40,0)),"LEVEL UP",""))),"")</f>
        <v/>
      </c>
      <c r="N1380" s="20"/>
      <c r="O1380" s="19"/>
    </row>
    <row r="1381" customFormat="false" ht="15" hidden="false" customHeight="false" outlineLevel="0" collapsed="false">
      <c r="A1381" s="17"/>
      <c r="B1381" s="18" t="str">
        <f aca="false">IF($A1381="","",TEXT($A1381,"ddd"))</f>
        <v/>
      </c>
      <c r="C1381" s="19"/>
      <c r="D1381" s="19"/>
      <c r="E1381" s="18" t="str">
        <f aca="false">IF($C1381="","",IFERROR(INDEX(Lists!$B$2:$B$40,MATCH($C1381,Lists!$A$2:$A$40,0)),""))</f>
        <v/>
      </c>
      <c r="F1381" s="20"/>
      <c r="G1381" s="20"/>
      <c r="H1381" s="20"/>
      <c r="I1381" s="20"/>
      <c r="J1381" s="20"/>
      <c r="K1381" s="18" t="str">
        <f aca="false">IF(COUNT($F1381:$J1381)=0,"",SUM($F1381:$J1381))</f>
        <v/>
      </c>
      <c r="L1381" s="18" t="str">
        <f aca="false">IF(COUNT($F1381:$J1381)=0,"",MAX($F1381:$J1381))</f>
        <v/>
      </c>
      <c r="M1381" s="18" t="str">
        <f aca="false">IFERROR(IF(OR($C1381="",COUNT($F1381:$J1381)&lt;3),"",IF(N(INDEX(Lists!$C$2:$C$40,MATCH($C1381,Lists!$A$2:$A$40,0)))=0,"",IF(MIN($F1381:$J1381)&gt;=INDEX(Lists!$C$2:$C$40,MATCH($C1381,Lists!$A$2:$A$40,0)),"LEVEL UP",""))),"")</f>
        <v/>
      </c>
      <c r="N1381" s="20"/>
      <c r="O1381" s="19"/>
    </row>
    <row r="1382" customFormat="false" ht="15" hidden="false" customHeight="false" outlineLevel="0" collapsed="false">
      <c r="A1382" s="17"/>
      <c r="B1382" s="18" t="str">
        <f aca="false">IF($A1382="","",TEXT($A1382,"ddd"))</f>
        <v/>
      </c>
      <c r="C1382" s="19"/>
      <c r="D1382" s="19"/>
      <c r="E1382" s="18" t="str">
        <f aca="false">IF($C1382="","",IFERROR(INDEX(Lists!$B$2:$B$40,MATCH($C1382,Lists!$A$2:$A$40,0)),""))</f>
        <v/>
      </c>
      <c r="F1382" s="20"/>
      <c r="G1382" s="20"/>
      <c r="H1382" s="20"/>
      <c r="I1382" s="20"/>
      <c r="J1382" s="20"/>
      <c r="K1382" s="18" t="str">
        <f aca="false">IF(COUNT($F1382:$J1382)=0,"",SUM($F1382:$J1382))</f>
        <v/>
      </c>
      <c r="L1382" s="18" t="str">
        <f aca="false">IF(COUNT($F1382:$J1382)=0,"",MAX($F1382:$J1382))</f>
        <v/>
      </c>
      <c r="M1382" s="18" t="str">
        <f aca="false">IFERROR(IF(OR($C1382="",COUNT($F1382:$J1382)&lt;3),"",IF(N(INDEX(Lists!$C$2:$C$40,MATCH($C1382,Lists!$A$2:$A$40,0)))=0,"",IF(MIN($F1382:$J1382)&gt;=INDEX(Lists!$C$2:$C$40,MATCH($C1382,Lists!$A$2:$A$40,0)),"LEVEL UP",""))),"")</f>
        <v/>
      </c>
      <c r="N1382" s="20"/>
      <c r="O1382" s="19"/>
    </row>
    <row r="1383" customFormat="false" ht="15" hidden="false" customHeight="false" outlineLevel="0" collapsed="false">
      <c r="A1383" s="17"/>
      <c r="B1383" s="18" t="str">
        <f aca="false">IF($A1383="","",TEXT($A1383,"ddd"))</f>
        <v/>
      </c>
      <c r="C1383" s="19"/>
      <c r="D1383" s="19"/>
      <c r="E1383" s="18" t="str">
        <f aca="false">IF($C1383="","",IFERROR(INDEX(Lists!$B$2:$B$40,MATCH($C1383,Lists!$A$2:$A$40,0)),""))</f>
        <v/>
      </c>
      <c r="F1383" s="20"/>
      <c r="G1383" s="20"/>
      <c r="H1383" s="20"/>
      <c r="I1383" s="20"/>
      <c r="J1383" s="20"/>
      <c r="K1383" s="18" t="str">
        <f aca="false">IF(COUNT($F1383:$J1383)=0,"",SUM($F1383:$J1383))</f>
        <v/>
      </c>
      <c r="L1383" s="18" t="str">
        <f aca="false">IF(COUNT($F1383:$J1383)=0,"",MAX($F1383:$J1383))</f>
        <v/>
      </c>
      <c r="M1383" s="18" t="str">
        <f aca="false">IFERROR(IF(OR($C1383="",COUNT($F1383:$J1383)&lt;3),"",IF(N(INDEX(Lists!$C$2:$C$40,MATCH($C1383,Lists!$A$2:$A$40,0)))=0,"",IF(MIN($F1383:$J1383)&gt;=INDEX(Lists!$C$2:$C$40,MATCH($C1383,Lists!$A$2:$A$40,0)),"LEVEL UP",""))),"")</f>
        <v/>
      </c>
      <c r="N1383" s="20"/>
      <c r="O1383" s="19"/>
    </row>
    <row r="1384" customFormat="false" ht="15" hidden="false" customHeight="false" outlineLevel="0" collapsed="false">
      <c r="A1384" s="17"/>
      <c r="B1384" s="18" t="str">
        <f aca="false">IF($A1384="","",TEXT($A1384,"ddd"))</f>
        <v/>
      </c>
      <c r="C1384" s="19"/>
      <c r="D1384" s="19"/>
      <c r="E1384" s="18" t="str">
        <f aca="false">IF($C1384="","",IFERROR(INDEX(Lists!$B$2:$B$40,MATCH($C1384,Lists!$A$2:$A$40,0)),""))</f>
        <v/>
      </c>
      <c r="F1384" s="20"/>
      <c r="G1384" s="20"/>
      <c r="H1384" s="20"/>
      <c r="I1384" s="20"/>
      <c r="J1384" s="20"/>
      <c r="K1384" s="18" t="str">
        <f aca="false">IF(COUNT($F1384:$J1384)=0,"",SUM($F1384:$J1384))</f>
        <v/>
      </c>
      <c r="L1384" s="18" t="str">
        <f aca="false">IF(COUNT($F1384:$J1384)=0,"",MAX($F1384:$J1384))</f>
        <v/>
      </c>
      <c r="M1384" s="18" t="str">
        <f aca="false">IFERROR(IF(OR($C1384="",COUNT($F1384:$J1384)&lt;3),"",IF(N(INDEX(Lists!$C$2:$C$40,MATCH($C1384,Lists!$A$2:$A$40,0)))=0,"",IF(MIN($F1384:$J1384)&gt;=INDEX(Lists!$C$2:$C$40,MATCH($C1384,Lists!$A$2:$A$40,0)),"LEVEL UP",""))),"")</f>
        <v/>
      </c>
      <c r="N1384" s="20"/>
      <c r="O1384" s="19"/>
    </row>
    <row r="1385" customFormat="false" ht="15" hidden="false" customHeight="false" outlineLevel="0" collapsed="false">
      <c r="A1385" s="17"/>
      <c r="B1385" s="18" t="str">
        <f aca="false">IF($A1385="","",TEXT($A1385,"ddd"))</f>
        <v/>
      </c>
      <c r="C1385" s="19"/>
      <c r="D1385" s="19"/>
      <c r="E1385" s="18" t="str">
        <f aca="false">IF($C1385="","",IFERROR(INDEX(Lists!$B$2:$B$40,MATCH($C1385,Lists!$A$2:$A$40,0)),""))</f>
        <v/>
      </c>
      <c r="F1385" s="20"/>
      <c r="G1385" s="20"/>
      <c r="H1385" s="20"/>
      <c r="I1385" s="20"/>
      <c r="J1385" s="20"/>
      <c r="K1385" s="18" t="str">
        <f aca="false">IF(COUNT($F1385:$J1385)=0,"",SUM($F1385:$J1385))</f>
        <v/>
      </c>
      <c r="L1385" s="18" t="str">
        <f aca="false">IF(COUNT($F1385:$J1385)=0,"",MAX($F1385:$J1385))</f>
        <v/>
      </c>
      <c r="M1385" s="18" t="str">
        <f aca="false">IFERROR(IF(OR($C1385="",COUNT($F1385:$J1385)&lt;3),"",IF(N(INDEX(Lists!$C$2:$C$40,MATCH($C1385,Lists!$A$2:$A$40,0)))=0,"",IF(MIN($F1385:$J1385)&gt;=INDEX(Lists!$C$2:$C$40,MATCH($C1385,Lists!$A$2:$A$40,0)),"LEVEL UP",""))),"")</f>
        <v/>
      </c>
      <c r="N1385" s="20"/>
      <c r="O1385" s="19"/>
    </row>
    <row r="1386" customFormat="false" ht="15" hidden="false" customHeight="false" outlineLevel="0" collapsed="false">
      <c r="A1386" s="17"/>
      <c r="B1386" s="18" t="str">
        <f aca="false">IF($A1386="","",TEXT($A1386,"ddd"))</f>
        <v/>
      </c>
      <c r="C1386" s="19"/>
      <c r="D1386" s="19"/>
      <c r="E1386" s="18" t="str">
        <f aca="false">IF($C1386="","",IFERROR(INDEX(Lists!$B$2:$B$40,MATCH($C1386,Lists!$A$2:$A$40,0)),""))</f>
        <v/>
      </c>
      <c r="F1386" s="20"/>
      <c r="G1386" s="20"/>
      <c r="H1386" s="20"/>
      <c r="I1386" s="20"/>
      <c r="J1386" s="20"/>
      <c r="K1386" s="18" t="str">
        <f aca="false">IF(COUNT($F1386:$J1386)=0,"",SUM($F1386:$J1386))</f>
        <v/>
      </c>
      <c r="L1386" s="18" t="str">
        <f aca="false">IF(COUNT($F1386:$J1386)=0,"",MAX($F1386:$J1386))</f>
        <v/>
      </c>
      <c r="M1386" s="18" t="str">
        <f aca="false">IFERROR(IF(OR($C1386="",COUNT($F1386:$J1386)&lt;3),"",IF(N(INDEX(Lists!$C$2:$C$40,MATCH($C1386,Lists!$A$2:$A$40,0)))=0,"",IF(MIN($F1386:$J1386)&gt;=INDEX(Lists!$C$2:$C$40,MATCH($C1386,Lists!$A$2:$A$40,0)),"LEVEL UP",""))),"")</f>
        <v/>
      </c>
      <c r="N1386" s="20"/>
      <c r="O1386" s="19"/>
    </row>
    <row r="1387" customFormat="false" ht="15" hidden="false" customHeight="false" outlineLevel="0" collapsed="false">
      <c r="A1387" s="17"/>
      <c r="B1387" s="18" t="str">
        <f aca="false">IF($A1387="","",TEXT($A1387,"ddd"))</f>
        <v/>
      </c>
      <c r="C1387" s="19"/>
      <c r="D1387" s="19"/>
      <c r="E1387" s="18" t="str">
        <f aca="false">IF($C1387="","",IFERROR(INDEX(Lists!$B$2:$B$40,MATCH($C1387,Lists!$A$2:$A$40,0)),""))</f>
        <v/>
      </c>
      <c r="F1387" s="20"/>
      <c r="G1387" s="20"/>
      <c r="H1387" s="20"/>
      <c r="I1387" s="20"/>
      <c r="J1387" s="20"/>
      <c r="K1387" s="18" t="str">
        <f aca="false">IF(COUNT($F1387:$J1387)=0,"",SUM($F1387:$J1387))</f>
        <v/>
      </c>
      <c r="L1387" s="18" t="str">
        <f aca="false">IF(COUNT($F1387:$J1387)=0,"",MAX($F1387:$J1387))</f>
        <v/>
      </c>
      <c r="M1387" s="18" t="str">
        <f aca="false">IFERROR(IF(OR($C1387="",COUNT($F1387:$J1387)&lt;3),"",IF(N(INDEX(Lists!$C$2:$C$40,MATCH($C1387,Lists!$A$2:$A$40,0)))=0,"",IF(MIN($F1387:$J1387)&gt;=INDEX(Lists!$C$2:$C$40,MATCH($C1387,Lists!$A$2:$A$40,0)),"LEVEL UP",""))),"")</f>
        <v/>
      </c>
      <c r="N1387" s="20"/>
      <c r="O1387" s="19"/>
    </row>
    <row r="1388" customFormat="false" ht="15" hidden="false" customHeight="false" outlineLevel="0" collapsed="false">
      <c r="A1388" s="17"/>
      <c r="B1388" s="18" t="str">
        <f aca="false">IF($A1388="","",TEXT($A1388,"ddd"))</f>
        <v/>
      </c>
      <c r="C1388" s="19"/>
      <c r="D1388" s="19"/>
      <c r="E1388" s="18" t="str">
        <f aca="false">IF($C1388="","",IFERROR(INDEX(Lists!$B$2:$B$40,MATCH($C1388,Lists!$A$2:$A$40,0)),""))</f>
        <v/>
      </c>
      <c r="F1388" s="20"/>
      <c r="G1388" s="20"/>
      <c r="H1388" s="20"/>
      <c r="I1388" s="20"/>
      <c r="J1388" s="20"/>
      <c r="K1388" s="18" t="str">
        <f aca="false">IF(COUNT($F1388:$J1388)=0,"",SUM($F1388:$J1388))</f>
        <v/>
      </c>
      <c r="L1388" s="18" t="str">
        <f aca="false">IF(COUNT($F1388:$J1388)=0,"",MAX($F1388:$J1388))</f>
        <v/>
      </c>
      <c r="M1388" s="18" t="str">
        <f aca="false">IFERROR(IF(OR($C1388="",COUNT($F1388:$J1388)&lt;3),"",IF(N(INDEX(Lists!$C$2:$C$40,MATCH($C1388,Lists!$A$2:$A$40,0)))=0,"",IF(MIN($F1388:$J1388)&gt;=INDEX(Lists!$C$2:$C$40,MATCH($C1388,Lists!$A$2:$A$40,0)),"LEVEL UP",""))),"")</f>
        <v/>
      </c>
      <c r="N1388" s="20"/>
      <c r="O1388" s="19"/>
    </row>
    <row r="1389" customFormat="false" ht="15" hidden="false" customHeight="false" outlineLevel="0" collapsed="false">
      <c r="A1389" s="17"/>
      <c r="B1389" s="18" t="str">
        <f aca="false">IF($A1389="","",TEXT($A1389,"ddd"))</f>
        <v/>
      </c>
      <c r="C1389" s="19"/>
      <c r="D1389" s="19"/>
      <c r="E1389" s="18" t="str">
        <f aca="false">IF($C1389="","",IFERROR(INDEX(Lists!$B$2:$B$40,MATCH($C1389,Lists!$A$2:$A$40,0)),""))</f>
        <v/>
      </c>
      <c r="F1389" s="20"/>
      <c r="G1389" s="20"/>
      <c r="H1389" s="20"/>
      <c r="I1389" s="20"/>
      <c r="J1389" s="20"/>
      <c r="K1389" s="18" t="str">
        <f aca="false">IF(COUNT($F1389:$J1389)=0,"",SUM($F1389:$J1389))</f>
        <v/>
      </c>
      <c r="L1389" s="18" t="str">
        <f aca="false">IF(COUNT($F1389:$J1389)=0,"",MAX($F1389:$J1389))</f>
        <v/>
      </c>
      <c r="M1389" s="18" t="str">
        <f aca="false">IFERROR(IF(OR($C1389="",COUNT($F1389:$J1389)&lt;3),"",IF(N(INDEX(Lists!$C$2:$C$40,MATCH($C1389,Lists!$A$2:$A$40,0)))=0,"",IF(MIN($F1389:$J1389)&gt;=INDEX(Lists!$C$2:$C$40,MATCH($C1389,Lists!$A$2:$A$40,0)),"LEVEL UP",""))),"")</f>
        <v/>
      </c>
      <c r="N1389" s="20"/>
      <c r="O1389" s="19"/>
    </row>
    <row r="1390" customFormat="false" ht="15" hidden="false" customHeight="false" outlineLevel="0" collapsed="false">
      <c r="A1390" s="17"/>
      <c r="B1390" s="18" t="str">
        <f aca="false">IF($A1390="","",TEXT($A1390,"ddd"))</f>
        <v/>
      </c>
      <c r="C1390" s="19"/>
      <c r="D1390" s="19"/>
      <c r="E1390" s="18" t="str">
        <f aca="false">IF($C1390="","",IFERROR(INDEX(Lists!$B$2:$B$40,MATCH($C1390,Lists!$A$2:$A$40,0)),""))</f>
        <v/>
      </c>
      <c r="F1390" s="20"/>
      <c r="G1390" s="20"/>
      <c r="H1390" s="20"/>
      <c r="I1390" s="20"/>
      <c r="J1390" s="20"/>
      <c r="K1390" s="18" t="str">
        <f aca="false">IF(COUNT($F1390:$J1390)=0,"",SUM($F1390:$J1390))</f>
        <v/>
      </c>
      <c r="L1390" s="18" t="str">
        <f aca="false">IF(COUNT($F1390:$J1390)=0,"",MAX($F1390:$J1390))</f>
        <v/>
      </c>
      <c r="M1390" s="18" t="str">
        <f aca="false">IFERROR(IF(OR($C1390="",COUNT($F1390:$J1390)&lt;3),"",IF(N(INDEX(Lists!$C$2:$C$40,MATCH($C1390,Lists!$A$2:$A$40,0)))=0,"",IF(MIN($F1390:$J1390)&gt;=INDEX(Lists!$C$2:$C$40,MATCH($C1390,Lists!$A$2:$A$40,0)),"LEVEL UP",""))),"")</f>
        <v/>
      </c>
      <c r="N1390" s="20"/>
      <c r="O1390" s="19"/>
    </row>
    <row r="1391" customFormat="false" ht="15" hidden="false" customHeight="false" outlineLevel="0" collapsed="false">
      <c r="A1391" s="17"/>
      <c r="B1391" s="18" t="str">
        <f aca="false">IF($A1391="","",TEXT($A1391,"ddd"))</f>
        <v/>
      </c>
      <c r="C1391" s="19"/>
      <c r="D1391" s="19"/>
      <c r="E1391" s="18" t="str">
        <f aca="false">IF($C1391="","",IFERROR(INDEX(Lists!$B$2:$B$40,MATCH($C1391,Lists!$A$2:$A$40,0)),""))</f>
        <v/>
      </c>
      <c r="F1391" s="20"/>
      <c r="G1391" s="20"/>
      <c r="H1391" s="20"/>
      <c r="I1391" s="20"/>
      <c r="J1391" s="20"/>
      <c r="K1391" s="18" t="str">
        <f aca="false">IF(COUNT($F1391:$J1391)=0,"",SUM($F1391:$J1391))</f>
        <v/>
      </c>
      <c r="L1391" s="18" t="str">
        <f aca="false">IF(COUNT($F1391:$J1391)=0,"",MAX($F1391:$J1391))</f>
        <v/>
      </c>
      <c r="M1391" s="18" t="str">
        <f aca="false">IFERROR(IF(OR($C1391="",COUNT($F1391:$J1391)&lt;3),"",IF(N(INDEX(Lists!$C$2:$C$40,MATCH($C1391,Lists!$A$2:$A$40,0)))=0,"",IF(MIN($F1391:$J1391)&gt;=INDEX(Lists!$C$2:$C$40,MATCH($C1391,Lists!$A$2:$A$40,0)),"LEVEL UP",""))),"")</f>
        <v/>
      </c>
      <c r="N1391" s="20"/>
      <c r="O1391" s="19"/>
    </row>
    <row r="1392" customFormat="false" ht="15" hidden="false" customHeight="false" outlineLevel="0" collapsed="false">
      <c r="A1392" s="17"/>
      <c r="B1392" s="18" t="str">
        <f aca="false">IF($A1392="","",TEXT($A1392,"ddd"))</f>
        <v/>
      </c>
      <c r="C1392" s="19"/>
      <c r="D1392" s="19"/>
      <c r="E1392" s="18" t="str">
        <f aca="false">IF($C1392="","",IFERROR(INDEX(Lists!$B$2:$B$40,MATCH($C1392,Lists!$A$2:$A$40,0)),""))</f>
        <v/>
      </c>
      <c r="F1392" s="20"/>
      <c r="G1392" s="20"/>
      <c r="H1392" s="20"/>
      <c r="I1392" s="20"/>
      <c r="J1392" s="20"/>
      <c r="K1392" s="18" t="str">
        <f aca="false">IF(COUNT($F1392:$J1392)=0,"",SUM($F1392:$J1392))</f>
        <v/>
      </c>
      <c r="L1392" s="18" t="str">
        <f aca="false">IF(COUNT($F1392:$J1392)=0,"",MAX($F1392:$J1392))</f>
        <v/>
      </c>
      <c r="M1392" s="18" t="str">
        <f aca="false">IFERROR(IF(OR($C1392="",COUNT($F1392:$J1392)&lt;3),"",IF(N(INDEX(Lists!$C$2:$C$40,MATCH($C1392,Lists!$A$2:$A$40,0)))=0,"",IF(MIN($F1392:$J1392)&gt;=INDEX(Lists!$C$2:$C$40,MATCH($C1392,Lists!$A$2:$A$40,0)),"LEVEL UP",""))),"")</f>
        <v/>
      </c>
      <c r="N1392" s="20"/>
      <c r="O1392" s="19"/>
    </row>
    <row r="1393" customFormat="false" ht="15" hidden="false" customHeight="false" outlineLevel="0" collapsed="false">
      <c r="A1393" s="17"/>
      <c r="B1393" s="18" t="str">
        <f aca="false">IF($A1393="","",TEXT($A1393,"ddd"))</f>
        <v/>
      </c>
      <c r="C1393" s="19"/>
      <c r="D1393" s="19"/>
      <c r="E1393" s="18" t="str">
        <f aca="false">IF($C1393="","",IFERROR(INDEX(Lists!$B$2:$B$40,MATCH($C1393,Lists!$A$2:$A$40,0)),""))</f>
        <v/>
      </c>
      <c r="F1393" s="20"/>
      <c r="G1393" s="20"/>
      <c r="H1393" s="20"/>
      <c r="I1393" s="20"/>
      <c r="J1393" s="20"/>
      <c r="K1393" s="18" t="str">
        <f aca="false">IF(COUNT($F1393:$J1393)=0,"",SUM($F1393:$J1393))</f>
        <v/>
      </c>
      <c r="L1393" s="18" t="str">
        <f aca="false">IF(COUNT($F1393:$J1393)=0,"",MAX($F1393:$J1393))</f>
        <v/>
      </c>
      <c r="M1393" s="18" t="str">
        <f aca="false">IFERROR(IF(OR($C1393="",COUNT($F1393:$J1393)&lt;3),"",IF(N(INDEX(Lists!$C$2:$C$40,MATCH($C1393,Lists!$A$2:$A$40,0)))=0,"",IF(MIN($F1393:$J1393)&gt;=INDEX(Lists!$C$2:$C$40,MATCH($C1393,Lists!$A$2:$A$40,0)),"LEVEL UP",""))),"")</f>
        <v/>
      </c>
      <c r="N1393" s="20"/>
      <c r="O1393" s="19"/>
    </row>
    <row r="1394" customFormat="false" ht="15" hidden="false" customHeight="false" outlineLevel="0" collapsed="false">
      <c r="A1394" s="17"/>
      <c r="B1394" s="18" t="str">
        <f aca="false">IF($A1394="","",TEXT($A1394,"ddd"))</f>
        <v/>
      </c>
      <c r="C1394" s="19"/>
      <c r="D1394" s="19"/>
      <c r="E1394" s="18" t="str">
        <f aca="false">IF($C1394="","",IFERROR(INDEX(Lists!$B$2:$B$40,MATCH($C1394,Lists!$A$2:$A$40,0)),""))</f>
        <v/>
      </c>
      <c r="F1394" s="20"/>
      <c r="G1394" s="20"/>
      <c r="H1394" s="20"/>
      <c r="I1394" s="20"/>
      <c r="J1394" s="20"/>
      <c r="K1394" s="18" t="str">
        <f aca="false">IF(COUNT($F1394:$J1394)=0,"",SUM($F1394:$J1394))</f>
        <v/>
      </c>
      <c r="L1394" s="18" t="str">
        <f aca="false">IF(COUNT($F1394:$J1394)=0,"",MAX($F1394:$J1394))</f>
        <v/>
      </c>
      <c r="M1394" s="18" t="str">
        <f aca="false">IFERROR(IF(OR($C1394="",COUNT($F1394:$J1394)&lt;3),"",IF(N(INDEX(Lists!$C$2:$C$40,MATCH($C1394,Lists!$A$2:$A$40,0)))=0,"",IF(MIN($F1394:$J1394)&gt;=INDEX(Lists!$C$2:$C$40,MATCH($C1394,Lists!$A$2:$A$40,0)),"LEVEL UP",""))),"")</f>
        <v/>
      </c>
      <c r="N1394" s="20"/>
      <c r="O1394" s="19"/>
    </row>
    <row r="1395" customFormat="false" ht="15" hidden="false" customHeight="false" outlineLevel="0" collapsed="false">
      <c r="A1395" s="17"/>
      <c r="B1395" s="18" t="str">
        <f aca="false">IF($A1395="","",TEXT($A1395,"ddd"))</f>
        <v/>
      </c>
      <c r="C1395" s="19"/>
      <c r="D1395" s="19"/>
      <c r="E1395" s="18" t="str">
        <f aca="false">IF($C1395="","",IFERROR(INDEX(Lists!$B$2:$B$40,MATCH($C1395,Lists!$A$2:$A$40,0)),""))</f>
        <v/>
      </c>
      <c r="F1395" s="20"/>
      <c r="G1395" s="20"/>
      <c r="H1395" s="20"/>
      <c r="I1395" s="20"/>
      <c r="J1395" s="20"/>
      <c r="K1395" s="18" t="str">
        <f aca="false">IF(COUNT($F1395:$J1395)=0,"",SUM($F1395:$J1395))</f>
        <v/>
      </c>
      <c r="L1395" s="18" t="str">
        <f aca="false">IF(COUNT($F1395:$J1395)=0,"",MAX($F1395:$J1395))</f>
        <v/>
      </c>
      <c r="M1395" s="18" t="str">
        <f aca="false">IFERROR(IF(OR($C1395="",COUNT($F1395:$J1395)&lt;3),"",IF(N(INDEX(Lists!$C$2:$C$40,MATCH($C1395,Lists!$A$2:$A$40,0)))=0,"",IF(MIN($F1395:$J1395)&gt;=INDEX(Lists!$C$2:$C$40,MATCH($C1395,Lists!$A$2:$A$40,0)),"LEVEL UP",""))),"")</f>
        <v/>
      </c>
      <c r="N1395" s="20"/>
      <c r="O1395" s="19"/>
    </row>
    <row r="1396" customFormat="false" ht="15" hidden="false" customHeight="false" outlineLevel="0" collapsed="false">
      <c r="A1396" s="17"/>
      <c r="B1396" s="18" t="str">
        <f aca="false">IF($A1396="","",TEXT($A1396,"ddd"))</f>
        <v/>
      </c>
      <c r="C1396" s="19"/>
      <c r="D1396" s="19"/>
      <c r="E1396" s="18" t="str">
        <f aca="false">IF($C1396="","",IFERROR(INDEX(Lists!$B$2:$B$40,MATCH($C1396,Lists!$A$2:$A$40,0)),""))</f>
        <v/>
      </c>
      <c r="F1396" s="20"/>
      <c r="G1396" s="20"/>
      <c r="H1396" s="20"/>
      <c r="I1396" s="20"/>
      <c r="J1396" s="20"/>
      <c r="K1396" s="18" t="str">
        <f aca="false">IF(COUNT($F1396:$J1396)=0,"",SUM($F1396:$J1396))</f>
        <v/>
      </c>
      <c r="L1396" s="18" t="str">
        <f aca="false">IF(COUNT($F1396:$J1396)=0,"",MAX($F1396:$J1396))</f>
        <v/>
      </c>
      <c r="M1396" s="18" t="str">
        <f aca="false">IFERROR(IF(OR($C1396="",COUNT($F1396:$J1396)&lt;3),"",IF(N(INDEX(Lists!$C$2:$C$40,MATCH($C1396,Lists!$A$2:$A$40,0)))=0,"",IF(MIN($F1396:$J1396)&gt;=INDEX(Lists!$C$2:$C$40,MATCH($C1396,Lists!$A$2:$A$40,0)),"LEVEL UP",""))),"")</f>
        <v/>
      </c>
      <c r="N1396" s="20"/>
      <c r="O1396" s="19"/>
    </row>
    <row r="1397" customFormat="false" ht="15" hidden="false" customHeight="false" outlineLevel="0" collapsed="false">
      <c r="A1397" s="17"/>
      <c r="B1397" s="18" t="str">
        <f aca="false">IF($A1397="","",TEXT($A1397,"ddd"))</f>
        <v/>
      </c>
      <c r="C1397" s="19"/>
      <c r="D1397" s="19"/>
      <c r="E1397" s="18" t="str">
        <f aca="false">IF($C1397="","",IFERROR(INDEX(Lists!$B$2:$B$40,MATCH($C1397,Lists!$A$2:$A$40,0)),""))</f>
        <v/>
      </c>
      <c r="F1397" s="20"/>
      <c r="G1397" s="20"/>
      <c r="H1397" s="20"/>
      <c r="I1397" s="20"/>
      <c r="J1397" s="20"/>
      <c r="K1397" s="18" t="str">
        <f aca="false">IF(COUNT($F1397:$J1397)=0,"",SUM($F1397:$J1397))</f>
        <v/>
      </c>
      <c r="L1397" s="18" t="str">
        <f aca="false">IF(COUNT($F1397:$J1397)=0,"",MAX($F1397:$J1397))</f>
        <v/>
      </c>
      <c r="M1397" s="18" t="str">
        <f aca="false">IFERROR(IF(OR($C1397="",COUNT($F1397:$J1397)&lt;3),"",IF(N(INDEX(Lists!$C$2:$C$40,MATCH($C1397,Lists!$A$2:$A$40,0)))=0,"",IF(MIN($F1397:$J1397)&gt;=INDEX(Lists!$C$2:$C$40,MATCH($C1397,Lists!$A$2:$A$40,0)),"LEVEL UP",""))),"")</f>
        <v/>
      </c>
      <c r="N1397" s="20"/>
      <c r="O1397" s="19"/>
    </row>
    <row r="1398" customFormat="false" ht="15" hidden="false" customHeight="false" outlineLevel="0" collapsed="false">
      <c r="A1398" s="17"/>
      <c r="B1398" s="18" t="str">
        <f aca="false">IF($A1398="","",TEXT($A1398,"ddd"))</f>
        <v/>
      </c>
      <c r="C1398" s="19"/>
      <c r="D1398" s="19"/>
      <c r="E1398" s="18" t="str">
        <f aca="false">IF($C1398="","",IFERROR(INDEX(Lists!$B$2:$B$40,MATCH($C1398,Lists!$A$2:$A$40,0)),""))</f>
        <v/>
      </c>
      <c r="F1398" s="20"/>
      <c r="G1398" s="20"/>
      <c r="H1398" s="20"/>
      <c r="I1398" s="20"/>
      <c r="J1398" s="20"/>
      <c r="K1398" s="18" t="str">
        <f aca="false">IF(COUNT($F1398:$J1398)=0,"",SUM($F1398:$J1398))</f>
        <v/>
      </c>
      <c r="L1398" s="18" t="str">
        <f aca="false">IF(COUNT($F1398:$J1398)=0,"",MAX($F1398:$J1398))</f>
        <v/>
      </c>
      <c r="M1398" s="18" t="str">
        <f aca="false">IFERROR(IF(OR($C1398="",COUNT($F1398:$J1398)&lt;3),"",IF(N(INDEX(Lists!$C$2:$C$40,MATCH($C1398,Lists!$A$2:$A$40,0)))=0,"",IF(MIN($F1398:$J1398)&gt;=INDEX(Lists!$C$2:$C$40,MATCH($C1398,Lists!$A$2:$A$40,0)),"LEVEL UP",""))),"")</f>
        <v/>
      </c>
      <c r="N1398" s="20"/>
      <c r="O1398" s="19"/>
    </row>
    <row r="1399" customFormat="false" ht="15" hidden="false" customHeight="false" outlineLevel="0" collapsed="false">
      <c r="A1399" s="17"/>
      <c r="B1399" s="18" t="str">
        <f aca="false">IF($A1399="","",TEXT($A1399,"ddd"))</f>
        <v/>
      </c>
      <c r="C1399" s="19"/>
      <c r="D1399" s="19"/>
      <c r="E1399" s="18" t="str">
        <f aca="false">IF($C1399="","",IFERROR(INDEX(Lists!$B$2:$B$40,MATCH($C1399,Lists!$A$2:$A$40,0)),""))</f>
        <v/>
      </c>
      <c r="F1399" s="20"/>
      <c r="G1399" s="20"/>
      <c r="H1399" s="20"/>
      <c r="I1399" s="20"/>
      <c r="J1399" s="20"/>
      <c r="K1399" s="18" t="str">
        <f aca="false">IF(COUNT($F1399:$J1399)=0,"",SUM($F1399:$J1399))</f>
        <v/>
      </c>
      <c r="L1399" s="18" t="str">
        <f aca="false">IF(COUNT($F1399:$J1399)=0,"",MAX($F1399:$J1399))</f>
        <v/>
      </c>
      <c r="M1399" s="18" t="str">
        <f aca="false">IFERROR(IF(OR($C1399="",COUNT($F1399:$J1399)&lt;3),"",IF(N(INDEX(Lists!$C$2:$C$40,MATCH($C1399,Lists!$A$2:$A$40,0)))=0,"",IF(MIN($F1399:$J1399)&gt;=INDEX(Lists!$C$2:$C$40,MATCH($C1399,Lists!$A$2:$A$40,0)),"LEVEL UP",""))),"")</f>
        <v/>
      </c>
      <c r="N1399" s="20"/>
      <c r="O1399" s="19"/>
    </row>
    <row r="1400" customFormat="false" ht="15" hidden="false" customHeight="false" outlineLevel="0" collapsed="false">
      <c r="A1400" s="17"/>
      <c r="B1400" s="18" t="str">
        <f aca="false">IF($A1400="","",TEXT($A1400,"ddd"))</f>
        <v/>
      </c>
      <c r="C1400" s="19"/>
      <c r="D1400" s="19"/>
      <c r="E1400" s="18" t="str">
        <f aca="false">IF($C1400="","",IFERROR(INDEX(Lists!$B$2:$B$40,MATCH($C1400,Lists!$A$2:$A$40,0)),""))</f>
        <v/>
      </c>
      <c r="F1400" s="20"/>
      <c r="G1400" s="20"/>
      <c r="H1400" s="20"/>
      <c r="I1400" s="20"/>
      <c r="J1400" s="20"/>
      <c r="K1400" s="18" t="str">
        <f aca="false">IF(COUNT($F1400:$J1400)=0,"",SUM($F1400:$J1400))</f>
        <v/>
      </c>
      <c r="L1400" s="18" t="str">
        <f aca="false">IF(COUNT($F1400:$J1400)=0,"",MAX($F1400:$J1400))</f>
        <v/>
      </c>
      <c r="M1400" s="18" t="str">
        <f aca="false">IFERROR(IF(OR($C1400="",COUNT($F1400:$J1400)&lt;3),"",IF(N(INDEX(Lists!$C$2:$C$40,MATCH($C1400,Lists!$A$2:$A$40,0)))=0,"",IF(MIN($F1400:$J1400)&gt;=INDEX(Lists!$C$2:$C$40,MATCH($C1400,Lists!$A$2:$A$40,0)),"LEVEL UP",""))),"")</f>
        <v/>
      </c>
      <c r="N1400" s="20"/>
      <c r="O1400" s="19"/>
    </row>
    <row r="1401" customFormat="false" ht="15" hidden="false" customHeight="false" outlineLevel="0" collapsed="false">
      <c r="A1401" s="17"/>
      <c r="B1401" s="18" t="str">
        <f aca="false">IF($A1401="","",TEXT($A1401,"ddd"))</f>
        <v/>
      </c>
      <c r="C1401" s="19"/>
      <c r="D1401" s="19"/>
      <c r="E1401" s="18" t="str">
        <f aca="false">IF($C1401="","",IFERROR(INDEX(Lists!$B$2:$B$40,MATCH($C1401,Lists!$A$2:$A$40,0)),""))</f>
        <v/>
      </c>
      <c r="F1401" s="20"/>
      <c r="G1401" s="20"/>
      <c r="H1401" s="20"/>
      <c r="I1401" s="20"/>
      <c r="J1401" s="20"/>
      <c r="K1401" s="18" t="str">
        <f aca="false">IF(COUNT($F1401:$J1401)=0,"",SUM($F1401:$J1401))</f>
        <v/>
      </c>
      <c r="L1401" s="18" t="str">
        <f aca="false">IF(COUNT($F1401:$J1401)=0,"",MAX($F1401:$J1401))</f>
        <v/>
      </c>
      <c r="M1401" s="18" t="str">
        <f aca="false">IFERROR(IF(OR($C1401="",COUNT($F1401:$J1401)&lt;3),"",IF(N(INDEX(Lists!$C$2:$C$40,MATCH($C1401,Lists!$A$2:$A$40,0)))=0,"",IF(MIN($F1401:$J1401)&gt;=INDEX(Lists!$C$2:$C$40,MATCH($C1401,Lists!$A$2:$A$40,0)),"LEVEL UP",""))),"")</f>
        <v/>
      </c>
      <c r="N1401" s="20"/>
      <c r="O1401" s="19"/>
    </row>
    <row r="1402" customFormat="false" ht="15" hidden="false" customHeight="false" outlineLevel="0" collapsed="false">
      <c r="A1402" s="17"/>
      <c r="B1402" s="18" t="str">
        <f aca="false">IF($A1402="","",TEXT($A1402,"ddd"))</f>
        <v/>
      </c>
      <c r="C1402" s="19"/>
      <c r="D1402" s="19"/>
      <c r="E1402" s="18" t="str">
        <f aca="false">IF($C1402="","",IFERROR(INDEX(Lists!$B$2:$B$40,MATCH($C1402,Lists!$A$2:$A$40,0)),""))</f>
        <v/>
      </c>
      <c r="F1402" s="20"/>
      <c r="G1402" s="20"/>
      <c r="H1402" s="20"/>
      <c r="I1402" s="20"/>
      <c r="J1402" s="20"/>
      <c r="K1402" s="18" t="str">
        <f aca="false">IF(COUNT($F1402:$J1402)=0,"",SUM($F1402:$J1402))</f>
        <v/>
      </c>
      <c r="L1402" s="18" t="str">
        <f aca="false">IF(COUNT($F1402:$J1402)=0,"",MAX($F1402:$J1402))</f>
        <v/>
      </c>
      <c r="M1402" s="18" t="str">
        <f aca="false">IFERROR(IF(OR($C1402="",COUNT($F1402:$J1402)&lt;3),"",IF(N(INDEX(Lists!$C$2:$C$40,MATCH($C1402,Lists!$A$2:$A$40,0)))=0,"",IF(MIN($F1402:$J1402)&gt;=INDEX(Lists!$C$2:$C$40,MATCH($C1402,Lists!$A$2:$A$40,0)),"LEVEL UP",""))),"")</f>
        <v/>
      </c>
      <c r="N1402" s="20"/>
      <c r="O1402" s="19"/>
    </row>
    <row r="1403" customFormat="false" ht="15" hidden="false" customHeight="false" outlineLevel="0" collapsed="false">
      <c r="A1403" s="17"/>
      <c r="B1403" s="18" t="str">
        <f aca="false">IF($A1403="","",TEXT($A1403,"ddd"))</f>
        <v/>
      </c>
      <c r="C1403" s="19"/>
      <c r="D1403" s="19"/>
      <c r="E1403" s="18" t="str">
        <f aca="false">IF($C1403="","",IFERROR(INDEX(Lists!$B$2:$B$40,MATCH($C1403,Lists!$A$2:$A$40,0)),""))</f>
        <v/>
      </c>
      <c r="F1403" s="20"/>
      <c r="G1403" s="20"/>
      <c r="H1403" s="20"/>
      <c r="I1403" s="20"/>
      <c r="J1403" s="20"/>
      <c r="K1403" s="18" t="str">
        <f aca="false">IF(COUNT($F1403:$J1403)=0,"",SUM($F1403:$J1403))</f>
        <v/>
      </c>
      <c r="L1403" s="18" t="str">
        <f aca="false">IF(COUNT($F1403:$J1403)=0,"",MAX($F1403:$J1403))</f>
        <v/>
      </c>
      <c r="M1403" s="18" t="str">
        <f aca="false">IFERROR(IF(OR($C1403="",COUNT($F1403:$J1403)&lt;3),"",IF(N(INDEX(Lists!$C$2:$C$40,MATCH($C1403,Lists!$A$2:$A$40,0)))=0,"",IF(MIN($F1403:$J1403)&gt;=INDEX(Lists!$C$2:$C$40,MATCH($C1403,Lists!$A$2:$A$40,0)),"LEVEL UP",""))),"")</f>
        <v/>
      </c>
      <c r="N1403" s="20"/>
      <c r="O1403" s="19"/>
    </row>
    <row r="1404" customFormat="false" ht="15" hidden="false" customHeight="false" outlineLevel="0" collapsed="false">
      <c r="A1404" s="17"/>
      <c r="B1404" s="18" t="str">
        <f aca="false">IF($A1404="","",TEXT($A1404,"ddd"))</f>
        <v/>
      </c>
      <c r="C1404" s="19"/>
      <c r="D1404" s="19"/>
      <c r="E1404" s="18" t="str">
        <f aca="false">IF($C1404="","",IFERROR(INDEX(Lists!$B$2:$B$40,MATCH($C1404,Lists!$A$2:$A$40,0)),""))</f>
        <v/>
      </c>
      <c r="F1404" s="20"/>
      <c r="G1404" s="20"/>
      <c r="H1404" s="20"/>
      <c r="I1404" s="20"/>
      <c r="J1404" s="20"/>
      <c r="K1404" s="18" t="str">
        <f aca="false">IF(COUNT($F1404:$J1404)=0,"",SUM($F1404:$J1404))</f>
        <v/>
      </c>
      <c r="L1404" s="18" t="str">
        <f aca="false">IF(COUNT($F1404:$J1404)=0,"",MAX($F1404:$J1404))</f>
        <v/>
      </c>
      <c r="M1404" s="18" t="str">
        <f aca="false">IFERROR(IF(OR($C1404="",COUNT($F1404:$J1404)&lt;3),"",IF(N(INDEX(Lists!$C$2:$C$40,MATCH($C1404,Lists!$A$2:$A$40,0)))=0,"",IF(MIN($F1404:$J1404)&gt;=INDEX(Lists!$C$2:$C$40,MATCH($C1404,Lists!$A$2:$A$40,0)),"LEVEL UP",""))),"")</f>
        <v/>
      </c>
      <c r="N1404" s="20"/>
      <c r="O1404" s="19"/>
    </row>
    <row r="1405" customFormat="false" ht="15" hidden="false" customHeight="false" outlineLevel="0" collapsed="false">
      <c r="A1405" s="17"/>
      <c r="B1405" s="18" t="str">
        <f aca="false">IF($A1405="","",TEXT($A1405,"ddd"))</f>
        <v/>
      </c>
      <c r="C1405" s="19"/>
      <c r="D1405" s="19"/>
      <c r="E1405" s="18" t="str">
        <f aca="false">IF($C1405="","",IFERROR(INDEX(Lists!$B$2:$B$40,MATCH($C1405,Lists!$A$2:$A$40,0)),""))</f>
        <v/>
      </c>
      <c r="F1405" s="20"/>
      <c r="G1405" s="20"/>
      <c r="H1405" s="20"/>
      <c r="I1405" s="20"/>
      <c r="J1405" s="20"/>
      <c r="K1405" s="18" t="str">
        <f aca="false">IF(COUNT($F1405:$J1405)=0,"",SUM($F1405:$J1405))</f>
        <v/>
      </c>
      <c r="L1405" s="18" t="str">
        <f aca="false">IF(COUNT($F1405:$J1405)=0,"",MAX($F1405:$J1405))</f>
        <v/>
      </c>
      <c r="M1405" s="18" t="str">
        <f aca="false">IFERROR(IF(OR($C1405="",COUNT($F1405:$J1405)&lt;3),"",IF(N(INDEX(Lists!$C$2:$C$40,MATCH($C1405,Lists!$A$2:$A$40,0)))=0,"",IF(MIN($F1405:$J1405)&gt;=INDEX(Lists!$C$2:$C$40,MATCH($C1405,Lists!$A$2:$A$40,0)),"LEVEL UP",""))),"")</f>
        <v/>
      </c>
      <c r="N1405" s="20"/>
      <c r="O1405" s="19"/>
    </row>
    <row r="1406" customFormat="false" ht="15" hidden="false" customHeight="false" outlineLevel="0" collapsed="false">
      <c r="A1406" s="17"/>
      <c r="B1406" s="18" t="str">
        <f aca="false">IF($A1406="","",TEXT($A1406,"ddd"))</f>
        <v/>
      </c>
      <c r="C1406" s="19"/>
      <c r="D1406" s="19"/>
      <c r="E1406" s="18" t="str">
        <f aca="false">IF($C1406="","",IFERROR(INDEX(Lists!$B$2:$B$40,MATCH($C1406,Lists!$A$2:$A$40,0)),""))</f>
        <v/>
      </c>
      <c r="F1406" s="20"/>
      <c r="G1406" s="20"/>
      <c r="H1406" s="20"/>
      <c r="I1406" s="20"/>
      <c r="J1406" s="20"/>
      <c r="K1406" s="18" t="str">
        <f aca="false">IF(COUNT($F1406:$J1406)=0,"",SUM($F1406:$J1406))</f>
        <v/>
      </c>
      <c r="L1406" s="18" t="str">
        <f aca="false">IF(COUNT($F1406:$J1406)=0,"",MAX($F1406:$J1406))</f>
        <v/>
      </c>
      <c r="M1406" s="18" t="str">
        <f aca="false">IFERROR(IF(OR($C1406="",COUNT($F1406:$J1406)&lt;3),"",IF(N(INDEX(Lists!$C$2:$C$40,MATCH($C1406,Lists!$A$2:$A$40,0)))=0,"",IF(MIN($F1406:$J1406)&gt;=INDEX(Lists!$C$2:$C$40,MATCH($C1406,Lists!$A$2:$A$40,0)),"LEVEL UP",""))),"")</f>
        <v/>
      </c>
      <c r="N1406" s="20"/>
      <c r="O1406" s="19"/>
    </row>
    <row r="1407" customFormat="false" ht="15" hidden="false" customHeight="false" outlineLevel="0" collapsed="false">
      <c r="A1407" s="17"/>
      <c r="B1407" s="18" t="str">
        <f aca="false">IF($A1407="","",TEXT($A1407,"ddd"))</f>
        <v/>
      </c>
      <c r="C1407" s="19"/>
      <c r="D1407" s="19"/>
      <c r="E1407" s="18" t="str">
        <f aca="false">IF($C1407="","",IFERROR(INDEX(Lists!$B$2:$B$40,MATCH($C1407,Lists!$A$2:$A$40,0)),""))</f>
        <v/>
      </c>
      <c r="F1407" s="20"/>
      <c r="G1407" s="20"/>
      <c r="H1407" s="20"/>
      <c r="I1407" s="20"/>
      <c r="J1407" s="20"/>
      <c r="K1407" s="18" t="str">
        <f aca="false">IF(COUNT($F1407:$J1407)=0,"",SUM($F1407:$J1407))</f>
        <v/>
      </c>
      <c r="L1407" s="18" t="str">
        <f aca="false">IF(COUNT($F1407:$J1407)=0,"",MAX($F1407:$J1407))</f>
        <v/>
      </c>
      <c r="M1407" s="18" t="str">
        <f aca="false">IFERROR(IF(OR($C1407="",COUNT($F1407:$J1407)&lt;3),"",IF(N(INDEX(Lists!$C$2:$C$40,MATCH($C1407,Lists!$A$2:$A$40,0)))=0,"",IF(MIN($F1407:$J1407)&gt;=INDEX(Lists!$C$2:$C$40,MATCH($C1407,Lists!$A$2:$A$40,0)),"LEVEL UP",""))),"")</f>
        <v/>
      </c>
      <c r="N1407" s="20"/>
      <c r="O1407" s="19"/>
    </row>
    <row r="1408" customFormat="false" ht="15" hidden="false" customHeight="false" outlineLevel="0" collapsed="false">
      <c r="A1408" s="17"/>
      <c r="B1408" s="18" t="str">
        <f aca="false">IF($A1408="","",TEXT($A1408,"ddd"))</f>
        <v/>
      </c>
      <c r="C1408" s="19"/>
      <c r="D1408" s="19"/>
      <c r="E1408" s="18" t="str">
        <f aca="false">IF($C1408="","",IFERROR(INDEX(Lists!$B$2:$B$40,MATCH($C1408,Lists!$A$2:$A$40,0)),""))</f>
        <v/>
      </c>
      <c r="F1408" s="20"/>
      <c r="G1408" s="20"/>
      <c r="H1408" s="20"/>
      <c r="I1408" s="20"/>
      <c r="J1408" s="20"/>
      <c r="K1408" s="18" t="str">
        <f aca="false">IF(COUNT($F1408:$J1408)=0,"",SUM($F1408:$J1408))</f>
        <v/>
      </c>
      <c r="L1408" s="18" t="str">
        <f aca="false">IF(COUNT($F1408:$J1408)=0,"",MAX($F1408:$J1408))</f>
        <v/>
      </c>
      <c r="M1408" s="18" t="str">
        <f aca="false">IFERROR(IF(OR($C1408="",COUNT($F1408:$J1408)&lt;3),"",IF(N(INDEX(Lists!$C$2:$C$40,MATCH($C1408,Lists!$A$2:$A$40,0)))=0,"",IF(MIN($F1408:$J1408)&gt;=INDEX(Lists!$C$2:$C$40,MATCH($C1408,Lists!$A$2:$A$40,0)),"LEVEL UP",""))),"")</f>
        <v/>
      </c>
      <c r="N1408" s="20"/>
      <c r="O1408" s="19"/>
    </row>
    <row r="1409" customFormat="false" ht="15" hidden="false" customHeight="false" outlineLevel="0" collapsed="false">
      <c r="A1409" s="17"/>
      <c r="B1409" s="18" t="str">
        <f aca="false">IF($A1409="","",TEXT($A1409,"ddd"))</f>
        <v/>
      </c>
      <c r="C1409" s="19"/>
      <c r="D1409" s="19"/>
      <c r="E1409" s="18" t="str">
        <f aca="false">IF($C1409="","",IFERROR(INDEX(Lists!$B$2:$B$40,MATCH($C1409,Lists!$A$2:$A$40,0)),""))</f>
        <v/>
      </c>
      <c r="F1409" s="20"/>
      <c r="G1409" s="20"/>
      <c r="H1409" s="20"/>
      <c r="I1409" s="20"/>
      <c r="J1409" s="20"/>
      <c r="K1409" s="18" t="str">
        <f aca="false">IF(COUNT($F1409:$J1409)=0,"",SUM($F1409:$J1409))</f>
        <v/>
      </c>
      <c r="L1409" s="18" t="str">
        <f aca="false">IF(COUNT($F1409:$J1409)=0,"",MAX($F1409:$J1409))</f>
        <v/>
      </c>
      <c r="M1409" s="18" t="str">
        <f aca="false">IFERROR(IF(OR($C1409="",COUNT($F1409:$J1409)&lt;3),"",IF(N(INDEX(Lists!$C$2:$C$40,MATCH($C1409,Lists!$A$2:$A$40,0)))=0,"",IF(MIN($F1409:$J1409)&gt;=INDEX(Lists!$C$2:$C$40,MATCH($C1409,Lists!$A$2:$A$40,0)),"LEVEL UP",""))),"")</f>
        <v/>
      </c>
      <c r="N1409" s="20"/>
      <c r="O1409" s="19"/>
    </row>
    <row r="1410" customFormat="false" ht="15" hidden="false" customHeight="false" outlineLevel="0" collapsed="false">
      <c r="A1410" s="17"/>
      <c r="B1410" s="18" t="str">
        <f aca="false">IF($A1410="","",TEXT($A1410,"ddd"))</f>
        <v/>
      </c>
      <c r="C1410" s="19"/>
      <c r="D1410" s="19"/>
      <c r="E1410" s="18" t="str">
        <f aca="false">IF($C1410="","",IFERROR(INDEX(Lists!$B$2:$B$40,MATCH($C1410,Lists!$A$2:$A$40,0)),""))</f>
        <v/>
      </c>
      <c r="F1410" s="20"/>
      <c r="G1410" s="20"/>
      <c r="H1410" s="20"/>
      <c r="I1410" s="20"/>
      <c r="J1410" s="20"/>
      <c r="K1410" s="18" t="str">
        <f aca="false">IF(COUNT($F1410:$J1410)=0,"",SUM($F1410:$J1410))</f>
        <v/>
      </c>
      <c r="L1410" s="18" t="str">
        <f aca="false">IF(COUNT($F1410:$J1410)=0,"",MAX($F1410:$J1410))</f>
        <v/>
      </c>
      <c r="M1410" s="18" t="str">
        <f aca="false">IFERROR(IF(OR($C1410="",COUNT($F1410:$J1410)&lt;3),"",IF(N(INDEX(Lists!$C$2:$C$40,MATCH($C1410,Lists!$A$2:$A$40,0)))=0,"",IF(MIN($F1410:$J1410)&gt;=INDEX(Lists!$C$2:$C$40,MATCH($C1410,Lists!$A$2:$A$40,0)),"LEVEL UP",""))),"")</f>
        <v/>
      </c>
      <c r="N1410" s="20"/>
      <c r="O1410" s="19"/>
    </row>
    <row r="1411" customFormat="false" ht="15" hidden="false" customHeight="false" outlineLevel="0" collapsed="false">
      <c r="A1411" s="17"/>
      <c r="B1411" s="18" t="str">
        <f aca="false">IF($A1411="","",TEXT($A1411,"ddd"))</f>
        <v/>
      </c>
      <c r="C1411" s="19"/>
      <c r="D1411" s="19"/>
      <c r="E1411" s="18" t="str">
        <f aca="false">IF($C1411="","",IFERROR(INDEX(Lists!$B$2:$B$40,MATCH($C1411,Lists!$A$2:$A$40,0)),""))</f>
        <v/>
      </c>
      <c r="F1411" s="20"/>
      <c r="G1411" s="20"/>
      <c r="H1411" s="20"/>
      <c r="I1411" s="20"/>
      <c r="J1411" s="20"/>
      <c r="K1411" s="18" t="str">
        <f aca="false">IF(COUNT($F1411:$J1411)=0,"",SUM($F1411:$J1411))</f>
        <v/>
      </c>
      <c r="L1411" s="18" t="str">
        <f aca="false">IF(COUNT($F1411:$J1411)=0,"",MAX($F1411:$J1411))</f>
        <v/>
      </c>
      <c r="M1411" s="18" t="str">
        <f aca="false">IFERROR(IF(OR($C1411="",COUNT($F1411:$J1411)&lt;3),"",IF(N(INDEX(Lists!$C$2:$C$40,MATCH($C1411,Lists!$A$2:$A$40,0)))=0,"",IF(MIN($F1411:$J1411)&gt;=INDEX(Lists!$C$2:$C$40,MATCH($C1411,Lists!$A$2:$A$40,0)),"LEVEL UP",""))),"")</f>
        <v/>
      </c>
      <c r="N1411" s="20"/>
      <c r="O1411" s="19"/>
    </row>
    <row r="1412" customFormat="false" ht="15" hidden="false" customHeight="false" outlineLevel="0" collapsed="false">
      <c r="A1412" s="17"/>
      <c r="B1412" s="18" t="str">
        <f aca="false">IF($A1412="","",TEXT($A1412,"ddd"))</f>
        <v/>
      </c>
      <c r="C1412" s="19"/>
      <c r="D1412" s="19"/>
      <c r="E1412" s="18" t="str">
        <f aca="false">IF($C1412="","",IFERROR(INDEX(Lists!$B$2:$B$40,MATCH($C1412,Lists!$A$2:$A$40,0)),""))</f>
        <v/>
      </c>
      <c r="F1412" s="20"/>
      <c r="G1412" s="20"/>
      <c r="H1412" s="20"/>
      <c r="I1412" s="20"/>
      <c r="J1412" s="20"/>
      <c r="K1412" s="18" t="str">
        <f aca="false">IF(COUNT($F1412:$J1412)=0,"",SUM($F1412:$J1412))</f>
        <v/>
      </c>
      <c r="L1412" s="18" t="str">
        <f aca="false">IF(COUNT($F1412:$J1412)=0,"",MAX($F1412:$J1412))</f>
        <v/>
      </c>
      <c r="M1412" s="18" t="str">
        <f aca="false">IFERROR(IF(OR($C1412="",COUNT($F1412:$J1412)&lt;3),"",IF(N(INDEX(Lists!$C$2:$C$40,MATCH($C1412,Lists!$A$2:$A$40,0)))=0,"",IF(MIN($F1412:$J1412)&gt;=INDEX(Lists!$C$2:$C$40,MATCH($C1412,Lists!$A$2:$A$40,0)),"LEVEL UP",""))),"")</f>
        <v/>
      </c>
      <c r="N1412" s="20"/>
      <c r="O1412" s="19"/>
    </row>
    <row r="1413" customFormat="false" ht="15" hidden="false" customHeight="false" outlineLevel="0" collapsed="false">
      <c r="A1413" s="17"/>
      <c r="B1413" s="18" t="str">
        <f aca="false">IF($A1413="","",TEXT($A1413,"ddd"))</f>
        <v/>
      </c>
      <c r="C1413" s="19"/>
      <c r="D1413" s="19"/>
      <c r="E1413" s="18" t="str">
        <f aca="false">IF($C1413="","",IFERROR(INDEX(Lists!$B$2:$B$40,MATCH($C1413,Lists!$A$2:$A$40,0)),""))</f>
        <v/>
      </c>
      <c r="F1413" s="20"/>
      <c r="G1413" s="20"/>
      <c r="H1413" s="20"/>
      <c r="I1413" s="20"/>
      <c r="J1413" s="20"/>
      <c r="K1413" s="18" t="str">
        <f aca="false">IF(COUNT($F1413:$J1413)=0,"",SUM($F1413:$J1413))</f>
        <v/>
      </c>
      <c r="L1413" s="18" t="str">
        <f aca="false">IF(COUNT($F1413:$J1413)=0,"",MAX($F1413:$J1413))</f>
        <v/>
      </c>
      <c r="M1413" s="18" t="str">
        <f aca="false">IFERROR(IF(OR($C1413="",COUNT($F1413:$J1413)&lt;3),"",IF(N(INDEX(Lists!$C$2:$C$40,MATCH($C1413,Lists!$A$2:$A$40,0)))=0,"",IF(MIN($F1413:$J1413)&gt;=INDEX(Lists!$C$2:$C$40,MATCH($C1413,Lists!$A$2:$A$40,0)),"LEVEL UP",""))),"")</f>
        <v/>
      </c>
      <c r="N1413" s="20"/>
      <c r="O1413" s="19"/>
    </row>
    <row r="1414" customFormat="false" ht="15" hidden="false" customHeight="false" outlineLevel="0" collapsed="false">
      <c r="A1414" s="17"/>
      <c r="B1414" s="18" t="str">
        <f aca="false">IF($A1414="","",TEXT($A1414,"ddd"))</f>
        <v/>
      </c>
      <c r="C1414" s="19"/>
      <c r="D1414" s="19"/>
      <c r="E1414" s="18" t="str">
        <f aca="false">IF($C1414="","",IFERROR(INDEX(Lists!$B$2:$B$40,MATCH($C1414,Lists!$A$2:$A$40,0)),""))</f>
        <v/>
      </c>
      <c r="F1414" s="20"/>
      <c r="G1414" s="20"/>
      <c r="H1414" s="20"/>
      <c r="I1414" s="20"/>
      <c r="J1414" s="20"/>
      <c r="K1414" s="18" t="str">
        <f aca="false">IF(COUNT($F1414:$J1414)=0,"",SUM($F1414:$J1414))</f>
        <v/>
      </c>
      <c r="L1414" s="18" t="str">
        <f aca="false">IF(COUNT($F1414:$J1414)=0,"",MAX($F1414:$J1414))</f>
        <v/>
      </c>
      <c r="M1414" s="18" t="str">
        <f aca="false">IFERROR(IF(OR($C1414="",COUNT($F1414:$J1414)&lt;3),"",IF(N(INDEX(Lists!$C$2:$C$40,MATCH($C1414,Lists!$A$2:$A$40,0)))=0,"",IF(MIN($F1414:$J1414)&gt;=INDEX(Lists!$C$2:$C$40,MATCH($C1414,Lists!$A$2:$A$40,0)),"LEVEL UP",""))),"")</f>
        <v/>
      </c>
      <c r="N1414" s="20"/>
      <c r="O1414" s="19"/>
    </row>
    <row r="1415" customFormat="false" ht="15" hidden="false" customHeight="false" outlineLevel="0" collapsed="false">
      <c r="A1415" s="17"/>
      <c r="B1415" s="18" t="str">
        <f aca="false">IF($A1415="","",TEXT($A1415,"ddd"))</f>
        <v/>
      </c>
      <c r="C1415" s="19"/>
      <c r="D1415" s="19"/>
      <c r="E1415" s="18" t="str">
        <f aca="false">IF($C1415="","",IFERROR(INDEX(Lists!$B$2:$B$40,MATCH($C1415,Lists!$A$2:$A$40,0)),""))</f>
        <v/>
      </c>
      <c r="F1415" s="20"/>
      <c r="G1415" s="20"/>
      <c r="H1415" s="20"/>
      <c r="I1415" s="20"/>
      <c r="J1415" s="20"/>
      <c r="K1415" s="18" t="str">
        <f aca="false">IF(COUNT($F1415:$J1415)=0,"",SUM($F1415:$J1415))</f>
        <v/>
      </c>
      <c r="L1415" s="18" t="str">
        <f aca="false">IF(COUNT($F1415:$J1415)=0,"",MAX($F1415:$J1415))</f>
        <v/>
      </c>
      <c r="M1415" s="18" t="str">
        <f aca="false">IFERROR(IF(OR($C1415="",COUNT($F1415:$J1415)&lt;3),"",IF(N(INDEX(Lists!$C$2:$C$40,MATCH($C1415,Lists!$A$2:$A$40,0)))=0,"",IF(MIN($F1415:$J1415)&gt;=INDEX(Lists!$C$2:$C$40,MATCH($C1415,Lists!$A$2:$A$40,0)),"LEVEL UP",""))),"")</f>
        <v/>
      </c>
      <c r="N1415" s="20"/>
      <c r="O1415" s="19"/>
    </row>
    <row r="1416" customFormat="false" ht="15" hidden="false" customHeight="false" outlineLevel="0" collapsed="false">
      <c r="A1416" s="17"/>
      <c r="B1416" s="18" t="str">
        <f aca="false">IF($A1416="","",TEXT($A1416,"ddd"))</f>
        <v/>
      </c>
      <c r="C1416" s="19"/>
      <c r="D1416" s="19"/>
      <c r="E1416" s="18" t="str">
        <f aca="false">IF($C1416="","",IFERROR(INDEX(Lists!$B$2:$B$40,MATCH($C1416,Lists!$A$2:$A$40,0)),""))</f>
        <v/>
      </c>
      <c r="F1416" s="20"/>
      <c r="G1416" s="20"/>
      <c r="H1416" s="20"/>
      <c r="I1416" s="20"/>
      <c r="J1416" s="20"/>
      <c r="K1416" s="18" t="str">
        <f aca="false">IF(COUNT($F1416:$J1416)=0,"",SUM($F1416:$J1416))</f>
        <v/>
      </c>
      <c r="L1416" s="18" t="str">
        <f aca="false">IF(COUNT($F1416:$J1416)=0,"",MAX($F1416:$J1416))</f>
        <v/>
      </c>
      <c r="M1416" s="18" t="str">
        <f aca="false">IFERROR(IF(OR($C1416="",COUNT($F1416:$J1416)&lt;3),"",IF(N(INDEX(Lists!$C$2:$C$40,MATCH($C1416,Lists!$A$2:$A$40,0)))=0,"",IF(MIN($F1416:$J1416)&gt;=INDEX(Lists!$C$2:$C$40,MATCH($C1416,Lists!$A$2:$A$40,0)),"LEVEL UP",""))),"")</f>
        <v/>
      </c>
      <c r="N1416" s="20"/>
      <c r="O1416" s="19"/>
    </row>
    <row r="1417" customFormat="false" ht="15" hidden="false" customHeight="false" outlineLevel="0" collapsed="false">
      <c r="A1417" s="17"/>
      <c r="B1417" s="18" t="str">
        <f aca="false">IF($A1417="","",TEXT($A1417,"ddd"))</f>
        <v/>
      </c>
      <c r="C1417" s="19"/>
      <c r="D1417" s="19"/>
      <c r="E1417" s="18" t="str">
        <f aca="false">IF($C1417="","",IFERROR(INDEX(Lists!$B$2:$B$40,MATCH($C1417,Lists!$A$2:$A$40,0)),""))</f>
        <v/>
      </c>
      <c r="F1417" s="20"/>
      <c r="G1417" s="20"/>
      <c r="H1417" s="20"/>
      <c r="I1417" s="20"/>
      <c r="J1417" s="20"/>
      <c r="K1417" s="18" t="str">
        <f aca="false">IF(COUNT($F1417:$J1417)=0,"",SUM($F1417:$J1417))</f>
        <v/>
      </c>
      <c r="L1417" s="18" t="str">
        <f aca="false">IF(COUNT($F1417:$J1417)=0,"",MAX($F1417:$J1417))</f>
        <v/>
      </c>
      <c r="M1417" s="18" t="str">
        <f aca="false">IFERROR(IF(OR($C1417="",COUNT($F1417:$J1417)&lt;3),"",IF(N(INDEX(Lists!$C$2:$C$40,MATCH($C1417,Lists!$A$2:$A$40,0)))=0,"",IF(MIN($F1417:$J1417)&gt;=INDEX(Lists!$C$2:$C$40,MATCH($C1417,Lists!$A$2:$A$40,0)),"LEVEL UP",""))),"")</f>
        <v/>
      </c>
      <c r="N1417" s="20"/>
      <c r="O1417" s="19"/>
    </row>
    <row r="1418" customFormat="false" ht="15" hidden="false" customHeight="false" outlineLevel="0" collapsed="false">
      <c r="A1418" s="17"/>
      <c r="B1418" s="18" t="str">
        <f aca="false">IF($A1418="","",TEXT($A1418,"ddd"))</f>
        <v/>
      </c>
      <c r="C1418" s="19"/>
      <c r="D1418" s="19"/>
      <c r="E1418" s="18" t="str">
        <f aca="false">IF($C1418="","",IFERROR(INDEX(Lists!$B$2:$B$40,MATCH($C1418,Lists!$A$2:$A$40,0)),""))</f>
        <v/>
      </c>
      <c r="F1418" s="20"/>
      <c r="G1418" s="20"/>
      <c r="H1418" s="20"/>
      <c r="I1418" s="20"/>
      <c r="J1418" s="20"/>
      <c r="K1418" s="18" t="str">
        <f aca="false">IF(COUNT($F1418:$J1418)=0,"",SUM($F1418:$J1418))</f>
        <v/>
      </c>
      <c r="L1418" s="18" t="str">
        <f aca="false">IF(COUNT($F1418:$J1418)=0,"",MAX($F1418:$J1418))</f>
        <v/>
      </c>
      <c r="M1418" s="18" t="str">
        <f aca="false">IFERROR(IF(OR($C1418="",COUNT($F1418:$J1418)&lt;3),"",IF(N(INDEX(Lists!$C$2:$C$40,MATCH($C1418,Lists!$A$2:$A$40,0)))=0,"",IF(MIN($F1418:$J1418)&gt;=INDEX(Lists!$C$2:$C$40,MATCH($C1418,Lists!$A$2:$A$40,0)),"LEVEL UP",""))),"")</f>
        <v/>
      </c>
      <c r="N1418" s="20"/>
      <c r="O1418" s="19"/>
    </row>
    <row r="1419" customFormat="false" ht="15" hidden="false" customHeight="false" outlineLevel="0" collapsed="false">
      <c r="A1419" s="17"/>
      <c r="B1419" s="18" t="str">
        <f aca="false">IF($A1419="","",TEXT($A1419,"ddd"))</f>
        <v/>
      </c>
      <c r="C1419" s="19"/>
      <c r="D1419" s="19"/>
      <c r="E1419" s="18" t="str">
        <f aca="false">IF($C1419="","",IFERROR(INDEX(Lists!$B$2:$B$40,MATCH($C1419,Lists!$A$2:$A$40,0)),""))</f>
        <v/>
      </c>
      <c r="F1419" s="20"/>
      <c r="G1419" s="20"/>
      <c r="H1419" s="20"/>
      <c r="I1419" s="20"/>
      <c r="J1419" s="20"/>
      <c r="K1419" s="18" t="str">
        <f aca="false">IF(COUNT($F1419:$J1419)=0,"",SUM($F1419:$J1419))</f>
        <v/>
      </c>
      <c r="L1419" s="18" t="str">
        <f aca="false">IF(COUNT($F1419:$J1419)=0,"",MAX($F1419:$J1419))</f>
        <v/>
      </c>
      <c r="M1419" s="18" t="str">
        <f aca="false">IFERROR(IF(OR($C1419="",COUNT($F1419:$J1419)&lt;3),"",IF(N(INDEX(Lists!$C$2:$C$40,MATCH($C1419,Lists!$A$2:$A$40,0)))=0,"",IF(MIN($F1419:$J1419)&gt;=INDEX(Lists!$C$2:$C$40,MATCH($C1419,Lists!$A$2:$A$40,0)),"LEVEL UP",""))),"")</f>
        <v/>
      </c>
      <c r="N1419" s="20"/>
      <c r="O1419" s="19"/>
    </row>
    <row r="1420" customFormat="false" ht="15" hidden="false" customHeight="false" outlineLevel="0" collapsed="false">
      <c r="A1420" s="17"/>
      <c r="B1420" s="18" t="str">
        <f aca="false">IF($A1420="","",TEXT($A1420,"ddd"))</f>
        <v/>
      </c>
      <c r="C1420" s="19"/>
      <c r="D1420" s="19"/>
      <c r="E1420" s="18" t="str">
        <f aca="false">IF($C1420="","",IFERROR(INDEX(Lists!$B$2:$B$40,MATCH($C1420,Lists!$A$2:$A$40,0)),""))</f>
        <v/>
      </c>
      <c r="F1420" s="20"/>
      <c r="G1420" s="20"/>
      <c r="H1420" s="20"/>
      <c r="I1420" s="20"/>
      <c r="J1420" s="20"/>
      <c r="K1420" s="18" t="str">
        <f aca="false">IF(COUNT($F1420:$J1420)=0,"",SUM($F1420:$J1420))</f>
        <v/>
      </c>
      <c r="L1420" s="18" t="str">
        <f aca="false">IF(COUNT($F1420:$J1420)=0,"",MAX($F1420:$J1420))</f>
        <v/>
      </c>
      <c r="M1420" s="18" t="str">
        <f aca="false">IFERROR(IF(OR($C1420="",COUNT($F1420:$J1420)&lt;3),"",IF(N(INDEX(Lists!$C$2:$C$40,MATCH($C1420,Lists!$A$2:$A$40,0)))=0,"",IF(MIN($F1420:$J1420)&gt;=INDEX(Lists!$C$2:$C$40,MATCH($C1420,Lists!$A$2:$A$40,0)),"LEVEL UP",""))),"")</f>
        <v/>
      </c>
      <c r="N1420" s="20"/>
      <c r="O1420" s="19"/>
    </row>
    <row r="1421" customFormat="false" ht="15" hidden="false" customHeight="false" outlineLevel="0" collapsed="false">
      <c r="A1421" s="17"/>
      <c r="B1421" s="18" t="str">
        <f aca="false">IF($A1421="","",TEXT($A1421,"ddd"))</f>
        <v/>
      </c>
      <c r="C1421" s="19"/>
      <c r="D1421" s="19"/>
      <c r="E1421" s="18" t="str">
        <f aca="false">IF($C1421="","",IFERROR(INDEX(Lists!$B$2:$B$40,MATCH($C1421,Lists!$A$2:$A$40,0)),""))</f>
        <v/>
      </c>
      <c r="F1421" s="20"/>
      <c r="G1421" s="20"/>
      <c r="H1421" s="20"/>
      <c r="I1421" s="20"/>
      <c r="J1421" s="20"/>
      <c r="K1421" s="18" t="str">
        <f aca="false">IF(COUNT($F1421:$J1421)=0,"",SUM($F1421:$J1421))</f>
        <v/>
      </c>
      <c r="L1421" s="18" t="str">
        <f aca="false">IF(COUNT($F1421:$J1421)=0,"",MAX($F1421:$J1421))</f>
        <v/>
      </c>
      <c r="M1421" s="18" t="str">
        <f aca="false">IFERROR(IF(OR($C1421="",COUNT($F1421:$J1421)&lt;3),"",IF(N(INDEX(Lists!$C$2:$C$40,MATCH($C1421,Lists!$A$2:$A$40,0)))=0,"",IF(MIN($F1421:$J1421)&gt;=INDEX(Lists!$C$2:$C$40,MATCH($C1421,Lists!$A$2:$A$40,0)),"LEVEL UP",""))),"")</f>
        <v/>
      </c>
      <c r="N1421" s="20"/>
      <c r="O1421" s="19"/>
    </row>
    <row r="1422" customFormat="false" ht="15" hidden="false" customHeight="false" outlineLevel="0" collapsed="false">
      <c r="A1422" s="17"/>
      <c r="B1422" s="18" t="str">
        <f aca="false">IF($A1422="","",TEXT($A1422,"ddd"))</f>
        <v/>
      </c>
      <c r="C1422" s="19"/>
      <c r="D1422" s="19"/>
      <c r="E1422" s="18" t="str">
        <f aca="false">IF($C1422="","",IFERROR(INDEX(Lists!$B$2:$B$40,MATCH($C1422,Lists!$A$2:$A$40,0)),""))</f>
        <v/>
      </c>
      <c r="F1422" s="20"/>
      <c r="G1422" s="20"/>
      <c r="H1422" s="20"/>
      <c r="I1422" s="20"/>
      <c r="J1422" s="20"/>
      <c r="K1422" s="18" t="str">
        <f aca="false">IF(COUNT($F1422:$J1422)=0,"",SUM($F1422:$J1422))</f>
        <v/>
      </c>
      <c r="L1422" s="18" t="str">
        <f aca="false">IF(COUNT($F1422:$J1422)=0,"",MAX($F1422:$J1422))</f>
        <v/>
      </c>
      <c r="M1422" s="18" t="str">
        <f aca="false">IFERROR(IF(OR($C1422="",COUNT($F1422:$J1422)&lt;3),"",IF(N(INDEX(Lists!$C$2:$C$40,MATCH($C1422,Lists!$A$2:$A$40,0)))=0,"",IF(MIN($F1422:$J1422)&gt;=INDEX(Lists!$C$2:$C$40,MATCH($C1422,Lists!$A$2:$A$40,0)),"LEVEL UP",""))),"")</f>
        <v/>
      </c>
      <c r="N1422" s="20"/>
      <c r="O1422" s="19"/>
    </row>
    <row r="1423" customFormat="false" ht="15" hidden="false" customHeight="false" outlineLevel="0" collapsed="false">
      <c r="A1423" s="17"/>
      <c r="B1423" s="18" t="str">
        <f aca="false">IF($A1423="","",TEXT($A1423,"ddd"))</f>
        <v/>
      </c>
      <c r="C1423" s="19"/>
      <c r="D1423" s="19"/>
      <c r="E1423" s="18" t="str">
        <f aca="false">IF($C1423="","",IFERROR(INDEX(Lists!$B$2:$B$40,MATCH($C1423,Lists!$A$2:$A$40,0)),""))</f>
        <v/>
      </c>
      <c r="F1423" s="20"/>
      <c r="G1423" s="20"/>
      <c r="H1423" s="20"/>
      <c r="I1423" s="20"/>
      <c r="J1423" s="20"/>
      <c r="K1423" s="18" t="str">
        <f aca="false">IF(COUNT($F1423:$J1423)=0,"",SUM($F1423:$J1423))</f>
        <v/>
      </c>
      <c r="L1423" s="18" t="str">
        <f aca="false">IF(COUNT($F1423:$J1423)=0,"",MAX($F1423:$J1423))</f>
        <v/>
      </c>
      <c r="M1423" s="18" t="str">
        <f aca="false">IFERROR(IF(OR($C1423="",COUNT($F1423:$J1423)&lt;3),"",IF(N(INDEX(Lists!$C$2:$C$40,MATCH($C1423,Lists!$A$2:$A$40,0)))=0,"",IF(MIN($F1423:$J1423)&gt;=INDEX(Lists!$C$2:$C$40,MATCH($C1423,Lists!$A$2:$A$40,0)),"LEVEL UP",""))),"")</f>
        <v/>
      </c>
      <c r="N1423" s="20"/>
      <c r="O1423" s="19"/>
    </row>
    <row r="1424" customFormat="false" ht="15" hidden="false" customHeight="false" outlineLevel="0" collapsed="false">
      <c r="A1424" s="17"/>
      <c r="B1424" s="18" t="str">
        <f aca="false">IF($A1424="","",TEXT($A1424,"ddd"))</f>
        <v/>
      </c>
      <c r="C1424" s="19"/>
      <c r="D1424" s="19"/>
      <c r="E1424" s="18" t="str">
        <f aca="false">IF($C1424="","",IFERROR(INDEX(Lists!$B$2:$B$40,MATCH($C1424,Lists!$A$2:$A$40,0)),""))</f>
        <v/>
      </c>
      <c r="F1424" s="20"/>
      <c r="G1424" s="20"/>
      <c r="H1424" s="20"/>
      <c r="I1424" s="20"/>
      <c r="J1424" s="20"/>
      <c r="K1424" s="18" t="str">
        <f aca="false">IF(COUNT($F1424:$J1424)=0,"",SUM($F1424:$J1424))</f>
        <v/>
      </c>
      <c r="L1424" s="18" t="str">
        <f aca="false">IF(COUNT($F1424:$J1424)=0,"",MAX($F1424:$J1424))</f>
        <v/>
      </c>
      <c r="M1424" s="18" t="str">
        <f aca="false">IFERROR(IF(OR($C1424="",COUNT($F1424:$J1424)&lt;3),"",IF(N(INDEX(Lists!$C$2:$C$40,MATCH($C1424,Lists!$A$2:$A$40,0)))=0,"",IF(MIN($F1424:$J1424)&gt;=INDEX(Lists!$C$2:$C$40,MATCH($C1424,Lists!$A$2:$A$40,0)),"LEVEL UP",""))),"")</f>
        <v/>
      </c>
      <c r="N1424" s="20"/>
      <c r="O1424" s="19"/>
    </row>
    <row r="1425" customFormat="false" ht="15" hidden="false" customHeight="false" outlineLevel="0" collapsed="false">
      <c r="A1425" s="17"/>
      <c r="B1425" s="18" t="str">
        <f aca="false">IF($A1425="","",TEXT($A1425,"ddd"))</f>
        <v/>
      </c>
      <c r="C1425" s="19"/>
      <c r="D1425" s="19"/>
      <c r="E1425" s="18" t="str">
        <f aca="false">IF($C1425="","",IFERROR(INDEX(Lists!$B$2:$B$40,MATCH($C1425,Lists!$A$2:$A$40,0)),""))</f>
        <v/>
      </c>
      <c r="F1425" s="20"/>
      <c r="G1425" s="20"/>
      <c r="H1425" s="20"/>
      <c r="I1425" s="20"/>
      <c r="J1425" s="20"/>
      <c r="K1425" s="18" t="str">
        <f aca="false">IF(COUNT($F1425:$J1425)=0,"",SUM($F1425:$J1425))</f>
        <v/>
      </c>
      <c r="L1425" s="18" t="str">
        <f aca="false">IF(COUNT($F1425:$J1425)=0,"",MAX($F1425:$J1425))</f>
        <v/>
      </c>
      <c r="M1425" s="18" t="str">
        <f aca="false">IFERROR(IF(OR($C1425="",COUNT($F1425:$J1425)&lt;3),"",IF(N(INDEX(Lists!$C$2:$C$40,MATCH($C1425,Lists!$A$2:$A$40,0)))=0,"",IF(MIN($F1425:$J1425)&gt;=INDEX(Lists!$C$2:$C$40,MATCH($C1425,Lists!$A$2:$A$40,0)),"LEVEL UP",""))),"")</f>
        <v/>
      </c>
      <c r="N1425" s="20"/>
      <c r="O1425" s="19"/>
    </row>
    <row r="1426" customFormat="false" ht="15" hidden="false" customHeight="false" outlineLevel="0" collapsed="false">
      <c r="A1426" s="17"/>
      <c r="B1426" s="18" t="str">
        <f aca="false">IF($A1426="","",TEXT($A1426,"ddd"))</f>
        <v/>
      </c>
      <c r="C1426" s="19"/>
      <c r="D1426" s="19"/>
      <c r="E1426" s="18" t="str">
        <f aca="false">IF($C1426="","",IFERROR(INDEX(Lists!$B$2:$B$40,MATCH($C1426,Lists!$A$2:$A$40,0)),""))</f>
        <v/>
      </c>
      <c r="F1426" s="20"/>
      <c r="G1426" s="20"/>
      <c r="H1426" s="20"/>
      <c r="I1426" s="20"/>
      <c r="J1426" s="20"/>
      <c r="K1426" s="18" t="str">
        <f aca="false">IF(COUNT($F1426:$J1426)=0,"",SUM($F1426:$J1426))</f>
        <v/>
      </c>
      <c r="L1426" s="18" t="str">
        <f aca="false">IF(COUNT($F1426:$J1426)=0,"",MAX($F1426:$J1426))</f>
        <v/>
      </c>
      <c r="M1426" s="18" t="str">
        <f aca="false">IFERROR(IF(OR($C1426="",COUNT($F1426:$J1426)&lt;3),"",IF(N(INDEX(Lists!$C$2:$C$40,MATCH($C1426,Lists!$A$2:$A$40,0)))=0,"",IF(MIN($F1426:$J1426)&gt;=INDEX(Lists!$C$2:$C$40,MATCH($C1426,Lists!$A$2:$A$40,0)),"LEVEL UP",""))),"")</f>
        <v/>
      </c>
      <c r="N1426" s="20"/>
      <c r="O1426" s="19"/>
    </row>
    <row r="1427" customFormat="false" ht="15" hidden="false" customHeight="false" outlineLevel="0" collapsed="false">
      <c r="A1427" s="17"/>
      <c r="B1427" s="18" t="str">
        <f aca="false">IF($A1427="","",TEXT($A1427,"ddd"))</f>
        <v/>
      </c>
      <c r="C1427" s="19"/>
      <c r="D1427" s="19"/>
      <c r="E1427" s="18" t="str">
        <f aca="false">IF($C1427="","",IFERROR(INDEX(Lists!$B$2:$B$40,MATCH($C1427,Lists!$A$2:$A$40,0)),""))</f>
        <v/>
      </c>
      <c r="F1427" s="20"/>
      <c r="G1427" s="20"/>
      <c r="H1427" s="20"/>
      <c r="I1427" s="20"/>
      <c r="J1427" s="20"/>
      <c r="K1427" s="18" t="str">
        <f aca="false">IF(COUNT($F1427:$J1427)=0,"",SUM($F1427:$J1427))</f>
        <v/>
      </c>
      <c r="L1427" s="18" t="str">
        <f aca="false">IF(COUNT($F1427:$J1427)=0,"",MAX($F1427:$J1427))</f>
        <v/>
      </c>
      <c r="M1427" s="18" t="str">
        <f aca="false">IFERROR(IF(OR($C1427="",COUNT($F1427:$J1427)&lt;3),"",IF(N(INDEX(Lists!$C$2:$C$40,MATCH($C1427,Lists!$A$2:$A$40,0)))=0,"",IF(MIN($F1427:$J1427)&gt;=INDEX(Lists!$C$2:$C$40,MATCH($C1427,Lists!$A$2:$A$40,0)),"LEVEL UP",""))),"")</f>
        <v/>
      </c>
      <c r="N1427" s="20"/>
      <c r="O1427" s="19"/>
    </row>
    <row r="1428" customFormat="false" ht="15" hidden="false" customHeight="false" outlineLevel="0" collapsed="false">
      <c r="A1428" s="17"/>
      <c r="B1428" s="18" t="str">
        <f aca="false">IF($A1428="","",TEXT($A1428,"ddd"))</f>
        <v/>
      </c>
      <c r="C1428" s="19"/>
      <c r="D1428" s="19"/>
      <c r="E1428" s="18" t="str">
        <f aca="false">IF($C1428="","",IFERROR(INDEX(Lists!$B$2:$B$40,MATCH($C1428,Lists!$A$2:$A$40,0)),""))</f>
        <v/>
      </c>
      <c r="F1428" s="20"/>
      <c r="G1428" s="20"/>
      <c r="H1428" s="20"/>
      <c r="I1428" s="20"/>
      <c r="J1428" s="20"/>
      <c r="K1428" s="18" t="str">
        <f aca="false">IF(COUNT($F1428:$J1428)=0,"",SUM($F1428:$J1428))</f>
        <v/>
      </c>
      <c r="L1428" s="18" t="str">
        <f aca="false">IF(COUNT($F1428:$J1428)=0,"",MAX($F1428:$J1428))</f>
        <v/>
      </c>
      <c r="M1428" s="18" t="str">
        <f aca="false">IFERROR(IF(OR($C1428="",COUNT($F1428:$J1428)&lt;3),"",IF(N(INDEX(Lists!$C$2:$C$40,MATCH($C1428,Lists!$A$2:$A$40,0)))=0,"",IF(MIN($F1428:$J1428)&gt;=INDEX(Lists!$C$2:$C$40,MATCH($C1428,Lists!$A$2:$A$40,0)),"LEVEL UP",""))),"")</f>
        <v/>
      </c>
      <c r="N1428" s="20"/>
      <c r="O1428" s="19"/>
    </row>
    <row r="1429" customFormat="false" ht="15" hidden="false" customHeight="false" outlineLevel="0" collapsed="false">
      <c r="A1429" s="17"/>
      <c r="B1429" s="18" t="str">
        <f aca="false">IF($A1429="","",TEXT($A1429,"ddd"))</f>
        <v/>
      </c>
      <c r="C1429" s="19"/>
      <c r="D1429" s="19"/>
      <c r="E1429" s="18" t="str">
        <f aca="false">IF($C1429="","",IFERROR(INDEX(Lists!$B$2:$B$40,MATCH($C1429,Lists!$A$2:$A$40,0)),""))</f>
        <v/>
      </c>
      <c r="F1429" s="20"/>
      <c r="G1429" s="20"/>
      <c r="H1429" s="20"/>
      <c r="I1429" s="20"/>
      <c r="J1429" s="20"/>
      <c r="K1429" s="18" t="str">
        <f aca="false">IF(COUNT($F1429:$J1429)=0,"",SUM($F1429:$J1429))</f>
        <v/>
      </c>
      <c r="L1429" s="18" t="str">
        <f aca="false">IF(COUNT($F1429:$J1429)=0,"",MAX($F1429:$J1429))</f>
        <v/>
      </c>
      <c r="M1429" s="18" t="str">
        <f aca="false">IFERROR(IF(OR($C1429="",COUNT($F1429:$J1429)&lt;3),"",IF(N(INDEX(Lists!$C$2:$C$40,MATCH($C1429,Lists!$A$2:$A$40,0)))=0,"",IF(MIN($F1429:$J1429)&gt;=INDEX(Lists!$C$2:$C$40,MATCH($C1429,Lists!$A$2:$A$40,0)),"LEVEL UP",""))),"")</f>
        <v/>
      </c>
      <c r="N1429" s="20"/>
      <c r="O1429" s="19"/>
    </row>
    <row r="1430" customFormat="false" ht="15" hidden="false" customHeight="false" outlineLevel="0" collapsed="false">
      <c r="A1430" s="17"/>
      <c r="B1430" s="18" t="str">
        <f aca="false">IF($A1430="","",TEXT($A1430,"ddd"))</f>
        <v/>
      </c>
      <c r="C1430" s="19"/>
      <c r="D1430" s="19"/>
      <c r="E1430" s="18" t="str">
        <f aca="false">IF($C1430="","",IFERROR(INDEX(Lists!$B$2:$B$40,MATCH($C1430,Lists!$A$2:$A$40,0)),""))</f>
        <v/>
      </c>
      <c r="F1430" s="20"/>
      <c r="G1430" s="20"/>
      <c r="H1430" s="20"/>
      <c r="I1430" s="20"/>
      <c r="J1430" s="20"/>
      <c r="K1430" s="18" t="str">
        <f aca="false">IF(COUNT($F1430:$J1430)=0,"",SUM($F1430:$J1430))</f>
        <v/>
      </c>
      <c r="L1430" s="18" t="str">
        <f aca="false">IF(COUNT($F1430:$J1430)=0,"",MAX($F1430:$J1430))</f>
        <v/>
      </c>
      <c r="M1430" s="18" t="str">
        <f aca="false">IFERROR(IF(OR($C1430="",COUNT($F1430:$J1430)&lt;3),"",IF(N(INDEX(Lists!$C$2:$C$40,MATCH($C1430,Lists!$A$2:$A$40,0)))=0,"",IF(MIN($F1430:$J1430)&gt;=INDEX(Lists!$C$2:$C$40,MATCH($C1430,Lists!$A$2:$A$40,0)),"LEVEL UP",""))),"")</f>
        <v/>
      </c>
      <c r="N1430" s="20"/>
      <c r="O1430" s="19"/>
    </row>
    <row r="1431" customFormat="false" ht="15" hidden="false" customHeight="false" outlineLevel="0" collapsed="false">
      <c r="A1431" s="17"/>
      <c r="B1431" s="18" t="str">
        <f aca="false">IF($A1431="","",TEXT($A1431,"ddd"))</f>
        <v/>
      </c>
      <c r="C1431" s="19"/>
      <c r="D1431" s="19"/>
      <c r="E1431" s="18" t="str">
        <f aca="false">IF($C1431="","",IFERROR(INDEX(Lists!$B$2:$B$40,MATCH($C1431,Lists!$A$2:$A$40,0)),""))</f>
        <v/>
      </c>
      <c r="F1431" s="20"/>
      <c r="G1431" s="20"/>
      <c r="H1431" s="20"/>
      <c r="I1431" s="20"/>
      <c r="J1431" s="20"/>
      <c r="K1431" s="18" t="str">
        <f aca="false">IF(COUNT($F1431:$J1431)=0,"",SUM($F1431:$J1431))</f>
        <v/>
      </c>
      <c r="L1431" s="18" t="str">
        <f aca="false">IF(COUNT($F1431:$J1431)=0,"",MAX($F1431:$J1431))</f>
        <v/>
      </c>
      <c r="M1431" s="18" t="str">
        <f aca="false">IFERROR(IF(OR($C1431="",COUNT($F1431:$J1431)&lt;3),"",IF(N(INDEX(Lists!$C$2:$C$40,MATCH($C1431,Lists!$A$2:$A$40,0)))=0,"",IF(MIN($F1431:$J1431)&gt;=INDEX(Lists!$C$2:$C$40,MATCH($C1431,Lists!$A$2:$A$40,0)),"LEVEL UP",""))),"")</f>
        <v/>
      </c>
      <c r="N1431" s="20"/>
      <c r="O1431" s="19"/>
    </row>
    <row r="1432" customFormat="false" ht="15" hidden="false" customHeight="false" outlineLevel="0" collapsed="false">
      <c r="A1432" s="17"/>
      <c r="B1432" s="18" t="str">
        <f aca="false">IF($A1432="","",TEXT($A1432,"ddd"))</f>
        <v/>
      </c>
      <c r="C1432" s="19"/>
      <c r="D1432" s="19"/>
      <c r="E1432" s="18" t="str">
        <f aca="false">IF($C1432="","",IFERROR(INDEX(Lists!$B$2:$B$40,MATCH($C1432,Lists!$A$2:$A$40,0)),""))</f>
        <v/>
      </c>
      <c r="F1432" s="20"/>
      <c r="G1432" s="20"/>
      <c r="H1432" s="20"/>
      <c r="I1432" s="20"/>
      <c r="J1432" s="20"/>
      <c r="K1432" s="18" t="str">
        <f aca="false">IF(COUNT($F1432:$J1432)=0,"",SUM($F1432:$J1432))</f>
        <v/>
      </c>
      <c r="L1432" s="18" t="str">
        <f aca="false">IF(COUNT($F1432:$J1432)=0,"",MAX($F1432:$J1432))</f>
        <v/>
      </c>
      <c r="M1432" s="18" t="str">
        <f aca="false">IFERROR(IF(OR($C1432="",COUNT($F1432:$J1432)&lt;3),"",IF(N(INDEX(Lists!$C$2:$C$40,MATCH($C1432,Lists!$A$2:$A$40,0)))=0,"",IF(MIN($F1432:$J1432)&gt;=INDEX(Lists!$C$2:$C$40,MATCH($C1432,Lists!$A$2:$A$40,0)),"LEVEL UP",""))),"")</f>
        <v/>
      </c>
      <c r="N1432" s="20"/>
      <c r="O1432" s="19"/>
    </row>
    <row r="1433" customFormat="false" ht="15" hidden="false" customHeight="false" outlineLevel="0" collapsed="false">
      <c r="A1433" s="17"/>
      <c r="B1433" s="18" t="str">
        <f aca="false">IF($A1433="","",TEXT($A1433,"ddd"))</f>
        <v/>
      </c>
      <c r="C1433" s="19"/>
      <c r="D1433" s="19"/>
      <c r="E1433" s="18" t="str">
        <f aca="false">IF($C1433="","",IFERROR(INDEX(Lists!$B$2:$B$40,MATCH($C1433,Lists!$A$2:$A$40,0)),""))</f>
        <v/>
      </c>
      <c r="F1433" s="20"/>
      <c r="G1433" s="20"/>
      <c r="H1433" s="20"/>
      <c r="I1433" s="20"/>
      <c r="J1433" s="20"/>
      <c r="K1433" s="18" t="str">
        <f aca="false">IF(COUNT($F1433:$J1433)=0,"",SUM($F1433:$J1433))</f>
        <v/>
      </c>
      <c r="L1433" s="18" t="str">
        <f aca="false">IF(COUNT($F1433:$J1433)=0,"",MAX($F1433:$J1433))</f>
        <v/>
      </c>
      <c r="M1433" s="18" t="str">
        <f aca="false">IFERROR(IF(OR($C1433="",COUNT($F1433:$J1433)&lt;3),"",IF(N(INDEX(Lists!$C$2:$C$40,MATCH($C1433,Lists!$A$2:$A$40,0)))=0,"",IF(MIN($F1433:$J1433)&gt;=INDEX(Lists!$C$2:$C$40,MATCH($C1433,Lists!$A$2:$A$40,0)),"LEVEL UP",""))),"")</f>
        <v/>
      </c>
      <c r="N1433" s="20"/>
      <c r="O1433" s="19"/>
    </row>
    <row r="1434" customFormat="false" ht="15" hidden="false" customHeight="false" outlineLevel="0" collapsed="false">
      <c r="A1434" s="17"/>
      <c r="B1434" s="18" t="str">
        <f aca="false">IF($A1434="","",TEXT($A1434,"ddd"))</f>
        <v/>
      </c>
      <c r="C1434" s="19"/>
      <c r="D1434" s="19"/>
      <c r="E1434" s="18" t="str">
        <f aca="false">IF($C1434="","",IFERROR(INDEX(Lists!$B$2:$B$40,MATCH($C1434,Lists!$A$2:$A$40,0)),""))</f>
        <v/>
      </c>
      <c r="F1434" s="20"/>
      <c r="G1434" s="20"/>
      <c r="H1434" s="20"/>
      <c r="I1434" s="20"/>
      <c r="J1434" s="20"/>
      <c r="K1434" s="18" t="str">
        <f aca="false">IF(COUNT($F1434:$J1434)=0,"",SUM($F1434:$J1434))</f>
        <v/>
      </c>
      <c r="L1434" s="18" t="str">
        <f aca="false">IF(COUNT($F1434:$J1434)=0,"",MAX($F1434:$J1434))</f>
        <v/>
      </c>
      <c r="M1434" s="18" t="str">
        <f aca="false">IFERROR(IF(OR($C1434="",COUNT($F1434:$J1434)&lt;3),"",IF(N(INDEX(Lists!$C$2:$C$40,MATCH($C1434,Lists!$A$2:$A$40,0)))=0,"",IF(MIN($F1434:$J1434)&gt;=INDEX(Lists!$C$2:$C$40,MATCH($C1434,Lists!$A$2:$A$40,0)),"LEVEL UP",""))),"")</f>
        <v/>
      </c>
      <c r="N1434" s="20"/>
      <c r="O1434" s="19"/>
    </row>
    <row r="1435" customFormat="false" ht="15" hidden="false" customHeight="false" outlineLevel="0" collapsed="false">
      <c r="A1435" s="17"/>
      <c r="B1435" s="18" t="str">
        <f aca="false">IF($A1435="","",TEXT($A1435,"ddd"))</f>
        <v/>
      </c>
      <c r="C1435" s="19"/>
      <c r="D1435" s="19"/>
      <c r="E1435" s="18" t="str">
        <f aca="false">IF($C1435="","",IFERROR(INDEX(Lists!$B$2:$B$40,MATCH($C1435,Lists!$A$2:$A$40,0)),""))</f>
        <v/>
      </c>
      <c r="F1435" s="20"/>
      <c r="G1435" s="20"/>
      <c r="H1435" s="20"/>
      <c r="I1435" s="20"/>
      <c r="J1435" s="20"/>
      <c r="K1435" s="18" t="str">
        <f aca="false">IF(COUNT($F1435:$J1435)=0,"",SUM($F1435:$J1435))</f>
        <v/>
      </c>
      <c r="L1435" s="18" t="str">
        <f aca="false">IF(COUNT($F1435:$J1435)=0,"",MAX($F1435:$J1435))</f>
        <v/>
      </c>
      <c r="M1435" s="18" t="str">
        <f aca="false">IFERROR(IF(OR($C1435="",COUNT($F1435:$J1435)&lt;3),"",IF(N(INDEX(Lists!$C$2:$C$40,MATCH($C1435,Lists!$A$2:$A$40,0)))=0,"",IF(MIN($F1435:$J1435)&gt;=INDEX(Lists!$C$2:$C$40,MATCH($C1435,Lists!$A$2:$A$40,0)),"LEVEL UP",""))),"")</f>
        <v/>
      </c>
      <c r="N1435" s="20"/>
      <c r="O1435" s="19"/>
    </row>
    <row r="1436" customFormat="false" ht="15" hidden="false" customHeight="false" outlineLevel="0" collapsed="false">
      <c r="A1436" s="17"/>
      <c r="B1436" s="18" t="str">
        <f aca="false">IF($A1436="","",TEXT($A1436,"ddd"))</f>
        <v/>
      </c>
      <c r="C1436" s="19"/>
      <c r="D1436" s="19"/>
      <c r="E1436" s="18" t="str">
        <f aca="false">IF($C1436="","",IFERROR(INDEX(Lists!$B$2:$B$40,MATCH($C1436,Lists!$A$2:$A$40,0)),""))</f>
        <v/>
      </c>
      <c r="F1436" s="20"/>
      <c r="G1436" s="20"/>
      <c r="H1436" s="20"/>
      <c r="I1436" s="20"/>
      <c r="J1436" s="20"/>
      <c r="K1436" s="18" t="str">
        <f aca="false">IF(COUNT($F1436:$J1436)=0,"",SUM($F1436:$J1436))</f>
        <v/>
      </c>
      <c r="L1436" s="18" t="str">
        <f aca="false">IF(COUNT($F1436:$J1436)=0,"",MAX($F1436:$J1436))</f>
        <v/>
      </c>
      <c r="M1436" s="18" t="str">
        <f aca="false">IFERROR(IF(OR($C1436="",COUNT($F1436:$J1436)&lt;3),"",IF(N(INDEX(Lists!$C$2:$C$40,MATCH($C1436,Lists!$A$2:$A$40,0)))=0,"",IF(MIN($F1436:$J1436)&gt;=INDEX(Lists!$C$2:$C$40,MATCH($C1436,Lists!$A$2:$A$40,0)),"LEVEL UP",""))),"")</f>
        <v/>
      </c>
      <c r="N1436" s="20"/>
      <c r="O1436" s="19"/>
    </row>
    <row r="1437" customFormat="false" ht="15" hidden="false" customHeight="false" outlineLevel="0" collapsed="false">
      <c r="A1437" s="17"/>
      <c r="B1437" s="18" t="str">
        <f aca="false">IF($A1437="","",TEXT($A1437,"ddd"))</f>
        <v/>
      </c>
      <c r="C1437" s="19"/>
      <c r="D1437" s="19"/>
      <c r="E1437" s="18" t="str">
        <f aca="false">IF($C1437="","",IFERROR(INDEX(Lists!$B$2:$B$40,MATCH($C1437,Lists!$A$2:$A$40,0)),""))</f>
        <v/>
      </c>
      <c r="F1437" s="20"/>
      <c r="G1437" s="20"/>
      <c r="H1437" s="20"/>
      <c r="I1437" s="20"/>
      <c r="J1437" s="20"/>
      <c r="K1437" s="18" t="str">
        <f aca="false">IF(COUNT($F1437:$J1437)=0,"",SUM($F1437:$J1437))</f>
        <v/>
      </c>
      <c r="L1437" s="18" t="str">
        <f aca="false">IF(COUNT($F1437:$J1437)=0,"",MAX($F1437:$J1437))</f>
        <v/>
      </c>
      <c r="M1437" s="18" t="str">
        <f aca="false">IFERROR(IF(OR($C1437="",COUNT($F1437:$J1437)&lt;3),"",IF(N(INDEX(Lists!$C$2:$C$40,MATCH($C1437,Lists!$A$2:$A$40,0)))=0,"",IF(MIN($F1437:$J1437)&gt;=INDEX(Lists!$C$2:$C$40,MATCH($C1437,Lists!$A$2:$A$40,0)),"LEVEL UP",""))),"")</f>
        <v/>
      </c>
      <c r="N1437" s="20"/>
      <c r="O1437" s="19"/>
    </row>
    <row r="1438" customFormat="false" ht="15" hidden="false" customHeight="false" outlineLevel="0" collapsed="false">
      <c r="A1438" s="17"/>
      <c r="B1438" s="18" t="str">
        <f aca="false">IF($A1438="","",TEXT($A1438,"ddd"))</f>
        <v/>
      </c>
      <c r="C1438" s="19"/>
      <c r="D1438" s="19"/>
      <c r="E1438" s="18" t="str">
        <f aca="false">IF($C1438="","",IFERROR(INDEX(Lists!$B$2:$B$40,MATCH($C1438,Lists!$A$2:$A$40,0)),""))</f>
        <v/>
      </c>
      <c r="F1438" s="20"/>
      <c r="G1438" s="20"/>
      <c r="H1438" s="20"/>
      <c r="I1438" s="20"/>
      <c r="J1438" s="20"/>
      <c r="K1438" s="18" t="str">
        <f aca="false">IF(COUNT($F1438:$J1438)=0,"",SUM($F1438:$J1438))</f>
        <v/>
      </c>
      <c r="L1438" s="18" t="str">
        <f aca="false">IF(COUNT($F1438:$J1438)=0,"",MAX($F1438:$J1438))</f>
        <v/>
      </c>
      <c r="M1438" s="18" t="str">
        <f aca="false">IFERROR(IF(OR($C1438="",COUNT($F1438:$J1438)&lt;3),"",IF(N(INDEX(Lists!$C$2:$C$40,MATCH($C1438,Lists!$A$2:$A$40,0)))=0,"",IF(MIN($F1438:$J1438)&gt;=INDEX(Lists!$C$2:$C$40,MATCH($C1438,Lists!$A$2:$A$40,0)),"LEVEL UP",""))),"")</f>
        <v/>
      </c>
      <c r="N1438" s="20"/>
      <c r="O1438" s="19"/>
    </row>
    <row r="1439" customFormat="false" ht="15" hidden="false" customHeight="false" outlineLevel="0" collapsed="false">
      <c r="A1439" s="17"/>
      <c r="B1439" s="18" t="str">
        <f aca="false">IF($A1439="","",TEXT($A1439,"ddd"))</f>
        <v/>
      </c>
      <c r="C1439" s="19"/>
      <c r="D1439" s="19"/>
      <c r="E1439" s="18" t="str">
        <f aca="false">IF($C1439="","",IFERROR(INDEX(Lists!$B$2:$B$40,MATCH($C1439,Lists!$A$2:$A$40,0)),""))</f>
        <v/>
      </c>
      <c r="F1439" s="20"/>
      <c r="G1439" s="20"/>
      <c r="H1439" s="20"/>
      <c r="I1439" s="20"/>
      <c r="J1439" s="20"/>
      <c r="K1439" s="18" t="str">
        <f aca="false">IF(COUNT($F1439:$J1439)=0,"",SUM($F1439:$J1439))</f>
        <v/>
      </c>
      <c r="L1439" s="18" t="str">
        <f aca="false">IF(COUNT($F1439:$J1439)=0,"",MAX($F1439:$J1439))</f>
        <v/>
      </c>
      <c r="M1439" s="18" t="str">
        <f aca="false">IFERROR(IF(OR($C1439="",COUNT($F1439:$J1439)&lt;3),"",IF(N(INDEX(Lists!$C$2:$C$40,MATCH($C1439,Lists!$A$2:$A$40,0)))=0,"",IF(MIN($F1439:$J1439)&gt;=INDEX(Lists!$C$2:$C$40,MATCH($C1439,Lists!$A$2:$A$40,0)),"LEVEL UP",""))),"")</f>
        <v/>
      </c>
      <c r="N1439" s="20"/>
      <c r="O1439" s="19"/>
    </row>
    <row r="1440" customFormat="false" ht="15" hidden="false" customHeight="false" outlineLevel="0" collapsed="false">
      <c r="A1440" s="17"/>
      <c r="B1440" s="18" t="str">
        <f aca="false">IF($A1440="","",TEXT($A1440,"ddd"))</f>
        <v/>
      </c>
      <c r="C1440" s="19"/>
      <c r="D1440" s="19"/>
      <c r="E1440" s="18" t="str">
        <f aca="false">IF($C1440="","",IFERROR(INDEX(Lists!$B$2:$B$40,MATCH($C1440,Lists!$A$2:$A$40,0)),""))</f>
        <v/>
      </c>
      <c r="F1440" s="20"/>
      <c r="G1440" s="20"/>
      <c r="H1440" s="20"/>
      <c r="I1440" s="20"/>
      <c r="J1440" s="20"/>
      <c r="K1440" s="18" t="str">
        <f aca="false">IF(COUNT($F1440:$J1440)=0,"",SUM($F1440:$J1440))</f>
        <v/>
      </c>
      <c r="L1440" s="18" t="str">
        <f aca="false">IF(COUNT($F1440:$J1440)=0,"",MAX($F1440:$J1440))</f>
        <v/>
      </c>
      <c r="M1440" s="18" t="str">
        <f aca="false">IFERROR(IF(OR($C1440="",COUNT($F1440:$J1440)&lt;3),"",IF(N(INDEX(Lists!$C$2:$C$40,MATCH($C1440,Lists!$A$2:$A$40,0)))=0,"",IF(MIN($F1440:$J1440)&gt;=INDEX(Lists!$C$2:$C$40,MATCH($C1440,Lists!$A$2:$A$40,0)),"LEVEL UP",""))),"")</f>
        <v/>
      </c>
      <c r="N1440" s="20"/>
      <c r="O1440" s="19"/>
    </row>
    <row r="1441" customFormat="false" ht="15" hidden="false" customHeight="false" outlineLevel="0" collapsed="false">
      <c r="A1441" s="17"/>
      <c r="B1441" s="18" t="str">
        <f aca="false">IF($A1441="","",TEXT($A1441,"ddd"))</f>
        <v/>
      </c>
      <c r="C1441" s="19"/>
      <c r="D1441" s="19"/>
      <c r="E1441" s="18" t="str">
        <f aca="false">IF($C1441="","",IFERROR(INDEX(Lists!$B$2:$B$40,MATCH($C1441,Lists!$A$2:$A$40,0)),""))</f>
        <v/>
      </c>
      <c r="F1441" s="20"/>
      <c r="G1441" s="20"/>
      <c r="H1441" s="20"/>
      <c r="I1441" s="20"/>
      <c r="J1441" s="20"/>
      <c r="K1441" s="18" t="str">
        <f aca="false">IF(COUNT($F1441:$J1441)=0,"",SUM($F1441:$J1441))</f>
        <v/>
      </c>
      <c r="L1441" s="18" t="str">
        <f aca="false">IF(COUNT($F1441:$J1441)=0,"",MAX($F1441:$J1441))</f>
        <v/>
      </c>
      <c r="M1441" s="18" t="str">
        <f aca="false">IFERROR(IF(OR($C1441="",COUNT($F1441:$J1441)&lt;3),"",IF(N(INDEX(Lists!$C$2:$C$40,MATCH($C1441,Lists!$A$2:$A$40,0)))=0,"",IF(MIN($F1441:$J1441)&gt;=INDEX(Lists!$C$2:$C$40,MATCH($C1441,Lists!$A$2:$A$40,0)),"LEVEL UP",""))),"")</f>
        <v/>
      </c>
      <c r="N1441" s="20"/>
      <c r="O1441" s="19"/>
    </row>
    <row r="1442" customFormat="false" ht="15" hidden="false" customHeight="false" outlineLevel="0" collapsed="false">
      <c r="A1442" s="17"/>
      <c r="B1442" s="18" t="str">
        <f aca="false">IF($A1442="","",TEXT($A1442,"ddd"))</f>
        <v/>
      </c>
      <c r="C1442" s="19"/>
      <c r="D1442" s="19"/>
      <c r="E1442" s="18" t="str">
        <f aca="false">IF($C1442="","",IFERROR(INDEX(Lists!$B$2:$B$40,MATCH($C1442,Lists!$A$2:$A$40,0)),""))</f>
        <v/>
      </c>
      <c r="F1442" s="20"/>
      <c r="G1442" s="20"/>
      <c r="H1442" s="20"/>
      <c r="I1442" s="20"/>
      <c r="J1442" s="20"/>
      <c r="K1442" s="18" t="str">
        <f aca="false">IF(COUNT($F1442:$J1442)=0,"",SUM($F1442:$J1442))</f>
        <v/>
      </c>
      <c r="L1442" s="18" t="str">
        <f aca="false">IF(COUNT($F1442:$J1442)=0,"",MAX($F1442:$J1442))</f>
        <v/>
      </c>
      <c r="M1442" s="18" t="str">
        <f aca="false">IFERROR(IF(OR($C1442="",COUNT($F1442:$J1442)&lt;3),"",IF(N(INDEX(Lists!$C$2:$C$40,MATCH($C1442,Lists!$A$2:$A$40,0)))=0,"",IF(MIN($F1442:$J1442)&gt;=INDEX(Lists!$C$2:$C$40,MATCH($C1442,Lists!$A$2:$A$40,0)),"LEVEL UP",""))),"")</f>
        <v/>
      </c>
      <c r="N1442" s="20"/>
      <c r="O1442" s="19"/>
    </row>
    <row r="1443" customFormat="false" ht="15" hidden="false" customHeight="false" outlineLevel="0" collapsed="false">
      <c r="A1443" s="17"/>
      <c r="B1443" s="18" t="str">
        <f aca="false">IF($A1443="","",TEXT($A1443,"ddd"))</f>
        <v/>
      </c>
      <c r="C1443" s="19"/>
      <c r="D1443" s="19"/>
      <c r="E1443" s="18" t="str">
        <f aca="false">IF($C1443="","",IFERROR(INDEX(Lists!$B$2:$B$40,MATCH($C1443,Lists!$A$2:$A$40,0)),""))</f>
        <v/>
      </c>
      <c r="F1443" s="20"/>
      <c r="G1443" s="20"/>
      <c r="H1443" s="20"/>
      <c r="I1443" s="20"/>
      <c r="J1443" s="20"/>
      <c r="K1443" s="18" t="str">
        <f aca="false">IF(COUNT($F1443:$J1443)=0,"",SUM($F1443:$J1443))</f>
        <v/>
      </c>
      <c r="L1443" s="18" t="str">
        <f aca="false">IF(COUNT($F1443:$J1443)=0,"",MAX($F1443:$J1443))</f>
        <v/>
      </c>
      <c r="M1443" s="18" t="str">
        <f aca="false">IFERROR(IF(OR($C1443="",COUNT($F1443:$J1443)&lt;3),"",IF(N(INDEX(Lists!$C$2:$C$40,MATCH($C1443,Lists!$A$2:$A$40,0)))=0,"",IF(MIN($F1443:$J1443)&gt;=INDEX(Lists!$C$2:$C$40,MATCH($C1443,Lists!$A$2:$A$40,0)),"LEVEL UP",""))),"")</f>
        <v/>
      </c>
      <c r="N1443" s="20"/>
      <c r="O1443" s="19"/>
    </row>
    <row r="1444" customFormat="false" ht="15" hidden="false" customHeight="false" outlineLevel="0" collapsed="false">
      <c r="A1444" s="17"/>
      <c r="B1444" s="18" t="str">
        <f aca="false">IF($A1444="","",TEXT($A1444,"ddd"))</f>
        <v/>
      </c>
      <c r="C1444" s="19"/>
      <c r="D1444" s="19"/>
      <c r="E1444" s="18" t="str">
        <f aca="false">IF($C1444="","",IFERROR(INDEX(Lists!$B$2:$B$40,MATCH($C1444,Lists!$A$2:$A$40,0)),""))</f>
        <v/>
      </c>
      <c r="F1444" s="20"/>
      <c r="G1444" s="20"/>
      <c r="H1444" s="20"/>
      <c r="I1444" s="20"/>
      <c r="J1444" s="20"/>
      <c r="K1444" s="18" t="str">
        <f aca="false">IF(COUNT($F1444:$J1444)=0,"",SUM($F1444:$J1444))</f>
        <v/>
      </c>
      <c r="L1444" s="18" t="str">
        <f aca="false">IF(COUNT($F1444:$J1444)=0,"",MAX($F1444:$J1444))</f>
        <v/>
      </c>
      <c r="M1444" s="18" t="str">
        <f aca="false">IFERROR(IF(OR($C1444="",COUNT($F1444:$J1444)&lt;3),"",IF(N(INDEX(Lists!$C$2:$C$40,MATCH($C1444,Lists!$A$2:$A$40,0)))=0,"",IF(MIN($F1444:$J1444)&gt;=INDEX(Lists!$C$2:$C$40,MATCH($C1444,Lists!$A$2:$A$40,0)),"LEVEL UP",""))),"")</f>
        <v/>
      </c>
      <c r="N1444" s="20"/>
      <c r="O1444" s="19"/>
    </row>
    <row r="1445" customFormat="false" ht="15" hidden="false" customHeight="false" outlineLevel="0" collapsed="false">
      <c r="A1445" s="17"/>
      <c r="B1445" s="18" t="str">
        <f aca="false">IF($A1445="","",TEXT($A1445,"ddd"))</f>
        <v/>
      </c>
      <c r="C1445" s="19"/>
      <c r="D1445" s="19"/>
      <c r="E1445" s="18" t="str">
        <f aca="false">IF($C1445="","",IFERROR(INDEX(Lists!$B$2:$B$40,MATCH($C1445,Lists!$A$2:$A$40,0)),""))</f>
        <v/>
      </c>
      <c r="F1445" s="20"/>
      <c r="G1445" s="20"/>
      <c r="H1445" s="20"/>
      <c r="I1445" s="20"/>
      <c r="J1445" s="20"/>
      <c r="K1445" s="18" t="str">
        <f aca="false">IF(COUNT($F1445:$J1445)=0,"",SUM($F1445:$J1445))</f>
        <v/>
      </c>
      <c r="L1445" s="18" t="str">
        <f aca="false">IF(COUNT($F1445:$J1445)=0,"",MAX($F1445:$J1445))</f>
        <v/>
      </c>
      <c r="M1445" s="18" t="str">
        <f aca="false">IFERROR(IF(OR($C1445="",COUNT($F1445:$J1445)&lt;3),"",IF(N(INDEX(Lists!$C$2:$C$40,MATCH($C1445,Lists!$A$2:$A$40,0)))=0,"",IF(MIN($F1445:$J1445)&gt;=INDEX(Lists!$C$2:$C$40,MATCH($C1445,Lists!$A$2:$A$40,0)),"LEVEL UP",""))),"")</f>
        <v/>
      </c>
      <c r="N1445" s="20"/>
      <c r="O1445" s="19"/>
    </row>
    <row r="1446" customFormat="false" ht="15" hidden="false" customHeight="false" outlineLevel="0" collapsed="false">
      <c r="A1446" s="17"/>
      <c r="B1446" s="18" t="str">
        <f aca="false">IF($A1446="","",TEXT($A1446,"ddd"))</f>
        <v/>
      </c>
      <c r="C1446" s="19"/>
      <c r="D1446" s="19"/>
      <c r="E1446" s="18" t="str">
        <f aca="false">IF($C1446="","",IFERROR(INDEX(Lists!$B$2:$B$40,MATCH($C1446,Lists!$A$2:$A$40,0)),""))</f>
        <v/>
      </c>
      <c r="F1446" s="20"/>
      <c r="G1446" s="20"/>
      <c r="H1446" s="20"/>
      <c r="I1446" s="20"/>
      <c r="J1446" s="20"/>
      <c r="K1446" s="18" t="str">
        <f aca="false">IF(COUNT($F1446:$J1446)=0,"",SUM($F1446:$J1446))</f>
        <v/>
      </c>
      <c r="L1446" s="18" t="str">
        <f aca="false">IF(COUNT($F1446:$J1446)=0,"",MAX($F1446:$J1446))</f>
        <v/>
      </c>
      <c r="M1446" s="18" t="str">
        <f aca="false">IFERROR(IF(OR($C1446="",COUNT($F1446:$J1446)&lt;3),"",IF(N(INDEX(Lists!$C$2:$C$40,MATCH($C1446,Lists!$A$2:$A$40,0)))=0,"",IF(MIN($F1446:$J1446)&gt;=INDEX(Lists!$C$2:$C$40,MATCH($C1446,Lists!$A$2:$A$40,0)),"LEVEL UP",""))),"")</f>
        <v/>
      </c>
      <c r="N1446" s="20"/>
      <c r="O1446" s="19"/>
    </row>
    <row r="1447" customFormat="false" ht="15" hidden="false" customHeight="false" outlineLevel="0" collapsed="false">
      <c r="A1447" s="17"/>
      <c r="B1447" s="18" t="str">
        <f aca="false">IF($A1447="","",TEXT($A1447,"ddd"))</f>
        <v/>
      </c>
      <c r="C1447" s="19"/>
      <c r="D1447" s="19"/>
      <c r="E1447" s="18" t="str">
        <f aca="false">IF($C1447="","",IFERROR(INDEX(Lists!$B$2:$B$40,MATCH($C1447,Lists!$A$2:$A$40,0)),""))</f>
        <v/>
      </c>
      <c r="F1447" s="20"/>
      <c r="G1447" s="20"/>
      <c r="H1447" s="20"/>
      <c r="I1447" s="20"/>
      <c r="J1447" s="20"/>
      <c r="K1447" s="18" t="str">
        <f aca="false">IF(COUNT($F1447:$J1447)=0,"",SUM($F1447:$J1447))</f>
        <v/>
      </c>
      <c r="L1447" s="18" t="str">
        <f aca="false">IF(COUNT($F1447:$J1447)=0,"",MAX($F1447:$J1447))</f>
        <v/>
      </c>
      <c r="M1447" s="18" t="str">
        <f aca="false">IFERROR(IF(OR($C1447="",COUNT($F1447:$J1447)&lt;3),"",IF(N(INDEX(Lists!$C$2:$C$40,MATCH($C1447,Lists!$A$2:$A$40,0)))=0,"",IF(MIN($F1447:$J1447)&gt;=INDEX(Lists!$C$2:$C$40,MATCH($C1447,Lists!$A$2:$A$40,0)),"LEVEL UP",""))),"")</f>
        <v/>
      </c>
      <c r="N1447" s="20"/>
      <c r="O1447" s="19"/>
    </row>
    <row r="1448" customFormat="false" ht="15" hidden="false" customHeight="false" outlineLevel="0" collapsed="false">
      <c r="A1448" s="17"/>
      <c r="B1448" s="18" t="str">
        <f aca="false">IF($A1448="","",TEXT($A1448,"ddd"))</f>
        <v/>
      </c>
      <c r="C1448" s="19"/>
      <c r="D1448" s="19"/>
      <c r="E1448" s="18" t="str">
        <f aca="false">IF($C1448="","",IFERROR(INDEX(Lists!$B$2:$B$40,MATCH($C1448,Lists!$A$2:$A$40,0)),""))</f>
        <v/>
      </c>
      <c r="F1448" s="20"/>
      <c r="G1448" s="20"/>
      <c r="H1448" s="20"/>
      <c r="I1448" s="20"/>
      <c r="J1448" s="20"/>
      <c r="K1448" s="18" t="str">
        <f aca="false">IF(COUNT($F1448:$J1448)=0,"",SUM($F1448:$J1448))</f>
        <v/>
      </c>
      <c r="L1448" s="18" t="str">
        <f aca="false">IF(COUNT($F1448:$J1448)=0,"",MAX($F1448:$J1448))</f>
        <v/>
      </c>
      <c r="M1448" s="18" t="str">
        <f aca="false">IFERROR(IF(OR($C1448="",COUNT($F1448:$J1448)&lt;3),"",IF(N(INDEX(Lists!$C$2:$C$40,MATCH($C1448,Lists!$A$2:$A$40,0)))=0,"",IF(MIN($F1448:$J1448)&gt;=INDEX(Lists!$C$2:$C$40,MATCH($C1448,Lists!$A$2:$A$40,0)),"LEVEL UP",""))),"")</f>
        <v/>
      </c>
      <c r="N1448" s="20"/>
      <c r="O1448" s="19"/>
    </row>
    <row r="1449" customFormat="false" ht="15" hidden="false" customHeight="false" outlineLevel="0" collapsed="false">
      <c r="A1449" s="17"/>
      <c r="B1449" s="18" t="str">
        <f aca="false">IF($A1449="","",TEXT($A1449,"ddd"))</f>
        <v/>
      </c>
      <c r="C1449" s="19"/>
      <c r="D1449" s="19"/>
      <c r="E1449" s="18" t="str">
        <f aca="false">IF($C1449="","",IFERROR(INDEX(Lists!$B$2:$B$40,MATCH($C1449,Lists!$A$2:$A$40,0)),""))</f>
        <v/>
      </c>
      <c r="F1449" s="20"/>
      <c r="G1449" s="20"/>
      <c r="H1449" s="20"/>
      <c r="I1449" s="20"/>
      <c r="J1449" s="20"/>
      <c r="K1449" s="18" t="str">
        <f aca="false">IF(COUNT($F1449:$J1449)=0,"",SUM($F1449:$J1449))</f>
        <v/>
      </c>
      <c r="L1449" s="18" t="str">
        <f aca="false">IF(COUNT($F1449:$J1449)=0,"",MAX($F1449:$J1449))</f>
        <v/>
      </c>
      <c r="M1449" s="18" t="str">
        <f aca="false">IFERROR(IF(OR($C1449="",COUNT($F1449:$J1449)&lt;3),"",IF(N(INDEX(Lists!$C$2:$C$40,MATCH($C1449,Lists!$A$2:$A$40,0)))=0,"",IF(MIN($F1449:$J1449)&gt;=INDEX(Lists!$C$2:$C$40,MATCH($C1449,Lists!$A$2:$A$40,0)),"LEVEL UP",""))),"")</f>
        <v/>
      </c>
      <c r="N1449" s="20"/>
      <c r="O1449" s="19"/>
    </row>
    <row r="1450" customFormat="false" ht="15" hidden="false" customHeight="false" outlineLevel="0" collapsed="false">
      <c r="A1450" s="17"/>
      <c r="B1450" s="18" t="str">
        <f aca="false">IF($A1450="","",TEXT($A1450,"ddd"))</f>
        <v/>
      </c>
      <c r="C1450" s="19"/>
      <c r="D1450" s="19"/>
      <c r="E1450" s="18" t="str">
        <f aca="false">IF($C1450="","",IFERROR(INDEX(Lists!$B$2:$B$40,MATCH($C1450,Lists!$A$2:$A$40,0)),""))</f>
        <v/>
      </c>
      <c r="F1450" s="20"/>
      <c r="G1450" s="20"/>
      <c r="H1450" s="20"/>
      <c r="I1450" s="20"/>
      <c r="J1450" s="20"/>
      <c r="K1450" s="18" t="str">
        <f aca="false">IF(COUNT($F1450:$J1450)=0,"",SUM($F1450:$J1450))</f>
        <v/>
      </c>
      <c r="L1450" s="18" t="str">
        <f aca="false">IF(COUNT($F1450:$J1450)=0,"",MAX($F1450:$J1450))</f>
        <v/>
      </c>
      <c r="M1450" s="18" t="str">
        <f aca="false">IFERROR(IF(OR($C1450="",COUNT($F1450:$J1450)&lt;3),"",IF(N(INDEX(Lists!$C$2:$C$40,MATCH($C1450,Lists!$A$2:$A$40,0)))=0,"",IF(MIN($F1450:$J1450)&gt;=INDEX(Lists!$C$2:$C$40,MATCH($C1450,Lists!$A$2:$A$40,0)),"LEVEL UP",""))),"")</f>
        <v/>
      </c>
      <c r="N1450" s="20"/>
      <c r="O1450" s="19"/>
    </row>
    <row r="1451" customFormat="false" ht="15" hidden="false" customHeight="false" outlineLevel="0" collapsed="false">
      <c r="A1451" s="17"/>
      <c r="B1451" s="18" t="str">
        <f aca="false">IF($A1451="","",TEXT($A1451,"ddd"))</f>
        <v/>
      </c>
      <c r="C1451" s="19"/>
      <c r="D1451" s="19"/>
      <c r="E1451" s="18" t="str">
        <f aca="false">IF($C1451="","",IFERROR(INDEX(Lists!$B$2:$B$40,MATCH($C1451,Lists!$A$2:$A$40,0)),""))</f>
        <v/>
      </c>
      <c r="F1451" s="20"/>
      <c r="G1451" s="20"/>
      <c r="H1451" s="20"/>
      <c r="I1451" s="20"/>
      <c r="J1451" s="20"/>
      <c r="K1451" s="18" t="str">
        <f aca="false">IF(COUNT($F1451:$J1451)=0,"",SUM($F1451:$J1451))</f>
        <v/>
      </c>
      <c r="L1451" s="18" t="str">
        <f aca="false">IF(COUNT($F1451:$J1451)=0,"",MAX($F1451:$J1451))</f>
        <v/>
      </c>
      <c r="M1451" s="18" t="str">
        <f aca="false">IFERROR(IF(OR($C1451="",COUNT($F1451:$J1451)&lt;3),"",IF(N(INDEX(Lists!$C$2:$C$40,MATCH($C1451,Lists!$A$2:$A$40,0)))=0,"",IF(MIN($F1451:$J1451)&gt;=INDEX(Lists!$C$2:$C$40,MATCH($C1451,Lists!$A$2:$A$40,0)),"LEVEL UP",""))),"")</f>
        <v/>
      </c>
      <c r="N1451" s="20"/>
      <c r="O1451" s="19"/>
    </row>
    <row r="1452" customFormat="false" ht="15" hidden="false" customHeight="false" outlineLevel="0" collapsed="false">
      <c r="A1452" s="17"/>
      <c r="B1452" s="18" t="str">
        <f aca="false">IF($A1452="","",TEXT($A1452,"ddd"))</f>
        <v/>
      </c>
      <c r="C1452" s="19"/>
      <c r="D1452" s="19"/>
      <c r="E1452" s="18" t="str">
        <f aca="false">IF($C1452="","",IFERROR(INDEX(Lists!$B$2:$B$40,MATCH($C1452,Lists!$A$2:$A$40,0)),""))</f>
        <v/>
      </c>
      <c r="F1452" s="20"/>
      <c r="G1452" s="20"/>
      <c r="H1452" s="20"/>
      <c r="I1452" s="20"/>
      <c r="J1452" s="20"/>
      <c r="K1452" s="18" t="str">
        <f aca="false">IF(COUNT($F1452:$J1452)=0,"",SUM($F1452:$J1452))</f>
        <v/>
      </c>
      <c r="L1452" s="18" t="str">
        <f aca="false">IF(COUNT($F1452:$J1452)=0,"",MAX($F1452:$J1452))</f>
        <v/>
      </c>
      <c r="M1452" s="18" t="str">
        <f aca="false">IFERROR(IF(OR($C1452="",COUNT($F1452:$J1452)&lt;3),"",IF(N(INDEX(Lists!$C$2:$C$40,MATCH($C1452,Lists!$A$2:$A$40,0)))=0,"",IF(MIN($F1452:$J1452)&gt;=INDEX(Lists!$C$2:$C$40,MATCH($C1452,Lists!$A$2:$A$40,0)),"LEVEL UP",""))),"")</f>
        <v/>
      </c>
      <c r="N1452" s="20"/>
      <c r="O1452" s="19"/>
    </row>
    <row r="1453" customFormat="false" ht="15" hidden="false" customHeight="false" outlineLevel="0" collapsed="false">
      <c r="A1453" s="17"/>
      <c r="B1453" s="18" t="str">
        <f aca="false">IF($A1453="","",TEXT($A1453,"ddd"))</f>
        <v/>
      </c>
      <c r="C1453" s="19"/>
      <c r="D1453" s="19"/>
      <c r="E1453" s="18" t="str">
        <f aca="false">IF($C1453="","",IFERROR(INDEX(Lists!$B$2:$B$40,MATCH($C1453,Lists!$A$2:$A$40,0)),""))</f>
        <v/>
      </c>
      <c r="F1453" s="20"/>
      <c r="G1453" s="20"/>
      <c r="H1453" s="20"/>
      <c r="I1453" s="20"/>
      <c r="J1453" s="20"/>
      <c r="K1453" s="18" t="str">
        <f aca="false">IF(COUNT($F1453:$J1453)=0,"",SUM($F1453:$J1453))</f>
        <v/>
      </c>
      <c r="L1453" s="18" t="str">
        <f aca="false">IF(COUNT($F1453:$J1453)=0,"",MAX($F1453:$J1453))</f>
        <v/>
      </c>
      <c r="M1453" s="18" t="str">
        <f aca="false">IFERROR(IF(OR($C1453="",COUNT($F1453:$J1453)&lt;3),"",IF(N(INDEX(Lists!$C$2:$C$40,MATCH($C1453,Lists!$A$2:$A$40,0)))=0,"",IF(MIN($F1453:$J1453)&gt;=INDEX(Lists!$C$2:$C$40,MATCH($C1453,Lists!$A$2:$A$40,0)),"LEVEL UP",""))),"")</f>
        <v/>
      </c>
      <c r="N1453" s="20"/>
      <c r="O1453" s="19"/>
    </row>
    <row r="1454" customFormat="false" ht="15" hidden="false" customHeight="false" outlineLevel="0" collapsed="false">
      <c r="A1454" s="17"/>
      <c r="B1454" s="18" t="str">
        <f aca="false">IF($A1454="","",TEXT($A1454,"ddd"))</f>
        <v/>
      </c>
      <c r="C1454" s="19"/>
      <c r="D1454" s="19"/>
      <c r="E1454" s="18" t="str">
        <f aca="false">IF($C1454="","",IFERROR(INDEX(Lists!$B$2:$B$40,MATCH($C1454,Lists!$A$2:$A$40,0)),""))</f>
        <v/>
      </c>
      <c r="F1454" s="20"/>
      <c r="G1454" s="20"/>
      <c r="H1454" s="20"/>
      <c r="I1454" s="20"/>
      <c r="J1454" s="20"/>
      <c r="K1454" s="18" t="str">
        <f aca="false">IF(COUNT($F1454:$J1454)=0,"",SUM($F1454:$J1454))</f>
        <v/>
      </c>
      <c r="L1454" s="18" t="str">
        <f aca="false">IF(COUNT($F1454:$J1454)=0,"",MAX($F1454:$J1454))</f>
        <v/>
      </c>
      <c r="M1454" s="18" t="str">
        <f aca="false">IFERROR(IF(OR($C1454="",COUNT($F1454:$J1454)&lt;3),"",IF(N(INDEX(Lists!$C$2:$C$40,MATCH($C1454,Lists!$A$2:$A$40,0)))=0,"",IF(MIN($F1454:$J1454)&gt;=INDEX(Lists!$C$2:$C$40,MATCH($C1454,Lists!$A$2:$A$40,0)),"LEVEL UP",""))),"")</f>
        <v/>
      </c>
      <c r="N1454" s="20"/>
      <c r="O1454" s="19"/>
    </row>
    <row r="1455" customFormat="false" ht="15" hidden="false" customHeight="false" outlineLevel="0" collapsed="false">
      <c r="A1455" s="17"/>
      <c r="B1455" s="18" t="str">
        <f aca="false">IF($A1455="","",TEXT($A1455,"ddd"))</f>
        <v/>
      </c>
      <c r="C1455" s="19"/>
      <c r="D1455" s="19"/>
      <c r="E1455" s="18" t="str">
        <f aca="false">IF($C1455="","",IFERROR(INDEX(Lists!$B$2:$B$40,MATCH($C1455,Lists!$A$2:$A$40,0)),""))</f>
        <v/>
      </c>
      <c r="F1455" s="20"/>
      <c r="G1455" s="20"/>
      <c r="H1455" s="20"/>
      <c r="I1455" s="20"/>
      <c r="J1455" s="20"/>
      <c r="K1455" s="18" t="str">
        <f aca="false">IF(COUNT($F1455:$J1455)=0,"",SUM($F1455:$J1455))</f>
        <v/>
      </c>
      <c r="L1455" s="18" t="str">
        <f aca="false">IF(COUNT($F1455:$J1455)=0,"",MAX($F1455:$J1455))</f>
        <v/>
      </c>
      <c r="M1455" s="18" t="str">
        <f aca="false">IFERROR(IF(OR($C1455="",COUNT($F1455:$J1455)&lt;3),"",IF(N(INDEX(Lists!$C$2:$C$40,MATCH($C1455,Lists!$A$2:$A$40,0)))=0,"",IF(MIN($F1455:$J1455)&gt;=INDEX(Lists!$C$2:$C$40,MATCH($C1455,Lists!$A$2:$A$40,0)),"LEVEL UP",""))),"")</f>
        <v/>
      </c>
      <c r="N1455" s="20"/>
      <c r="O1455" s="19"/>
    </row>
    <row r="1456" customFormat="false" ht="15" hidden="false" customHeight="false" outlineLevel="0" collapsed="false">
      <c r="A1456" s="17"/>
      <c r="B1456" s="18" t="str">
        <f aca="false">IF($A1456="","",TEXT($A1456,"ddd"))</f>
        <v/>
      </c>
      <c r="C1456" s="19"/>
      <c r="D1456" s="19"/>
      <c r="E1456" s="18" t="str">
        <f aca="false">IF($C1456="","",IFERROR(INDEX(Lists!$B$2:$B$40,MATCH($C1456,Lists!$A$2:$A$40,0)),""))</f>
        <v/>
      </c>
      <c r="F1456" s="20"/>
      <c r="G1456" s="20"/>
      <c r="H1456" s="20"/>
      <c r="I1456" s="20"/>
      <c r="J1456" s="20"/>
      <c r="K1456" s="18" t="str">
        <f aca="false">IF(COUNT($F1456:$J1456)=0,"",SUM($F1456:$J1456))</f>
        <v/>
      </c>
      <c r="L1456" s="18" t="str">
        <f aca="false">IF(COUNT($F1456:$J1456)=0,"",MAX($F1456:$J1456))</f>
        <v/>
      </c>
      <c r="M1456" s="18" t="str">
        <f aca="false">IFERROR(IF(OR($C1456="",COUNT($F1456:$J1456)&lt;3),"",IF(N(INDEX(Lists!$C$2:$C$40,MATCH($C1456,Lists!$A$2:$A$40,0)))=0,"",IF(MIN($F1456:$J1456)&gt;=INDEX(Lists!$C$2:$C$40,MATCH($C1456,Lists!$A$2:$A$40,0)),"LEVEL UP",""))),"")</f>
        <v/>
      </c>
      <c r="N1456" s="20"/>
      <c r="O1456" s="19"/>
    </row>
    <row r="1457" customFormat="false" ht="15" hidden="false" customHeight="false" outlineLevel="0" collapsed="false">
      <c r="A1457" s="17"/>
      <c r="B1457" s="18" t="str">
        <f aca="false">IF($A1457="","",TEXT($A1457,"ddd"))</f>
        <v/>
      </c>
      <c r="C1457" s="19"/>
      <c r="D1457" s="19"/>
      <c r="E1457" s="18" t="str">
        <f aca="false">IF($C1457="","",IFERROR(INDEX(Lists!$B$2:$B$40,MATCH($C1457,Lists!$A$2:$A$40,0)),""))</f>
        <v/>
      </c>
      <c r="F1457" s="20"/>
      <c r="G1457" s="20"/>
      <c r="H1457" s="20"/>
      <c r="I1457" s="20"/>
      <c r="J1457" s="20"/>
      <c r="K1457" s="18" t="str">
        <f aca="false">IF(COUNT($F1457:$J1457)=0,"",SUM($F1457:$J1457))</f>
        <v/>
      </c>
      <c r="L1457" s="18" t="str">
        <f aca="false">IF(COUNT($F1457:$J1457)=0,"",MAX($F1457:$J1457))</f>
        <v/>
      </c>
      <c r="M1457" s="18" t="str">
        <f aca="false">IFERROR(IF(OR($C1457="",COUNT($F1457:$J1457)&lt;3),"",IF(N(INDEX(Lists!$C$2:$C$40,MATCH($C1457,Lists!$A$2:$A$40,0)))=0,"",IF(MIN($F1457:$J1457)&gt;=INDEX(Lists!$C$2:$C$40,MATCH($C1457,Lists!$A$2:$A$40,0)),"LEVEL UP",""))),"")</f>
        <v/>
      </c>
      <c r="N1457" s="20"/>
      <c r="O1457" s="19"/>
    </row>
    <row r="1458" customFormat="false" ht="15" hidden="false" customHeight="false" outlineLevel="0" collapsed="false">
      <c r="A1458" s="17"/>
      <c r="B1458" s="18" t="str">
        <f aca="false">IF($A1458="","",TEXT($A1458,"ddd"))</f>
        <v/>
      </c>
      <c r="C1458" s="19"/>
      <c r="D1458" s="19"/>
      <c r="E1458" s="18" t="str">
        <f aca="false">IF($C1458="","",IFERROR(INDEX(Lists!$B$2:$B$40,MATCH($C1458,Lists!$A$2:$A$40,0)),""))</f>
        <v/>
      </c>
      <c r="F1458" s="20"/>
      <c r="G1458" s="20"/>
      <c r="H1458" s="20"/>
      <c r="I1458" s="20"/>
      <c r="J1458" s="20"/>
      <c r="K1458" s="18" t="str">
        <f aca="false">IF(COUNT($F1458:$J1458)=0,"",SUM($F1458:$J1458))</f>
        <v/>
      </c>
      <c r="L1458" s="18" t="str">
        <f aca="false">IF(COUNT($F1458:$J1458)=0,"",MAX($F1458:$J1458))</f>
        <v/>
      </c>
      <c r="M1458" s="18" t="str">
        <f aca="false">IFERROR(IF(OR($C1458="",COUNT($F1458:$J1458)&lt;3),"",IF(N(INDEX(Lists!$C$2:$C$40,MATCH($C1458,Lists!$A$2:$A$40,0)))=0,"",IF(MIN($F1458:$J1458)&gt;=INDEX(Lists!$C$2:$C$40,MATCH($C1458,Lists!$A$2:$A$40,0)),"LEVEL UP",""))),"")</f>
        <v/>
      </c>
      <c r="N1458" s="20"/>
      <c r="O1458" s="19"/>
    </row>
    <row r="1459" customFormat="false" ht="15" hidden="false" customHeight="false" outlineLevel="0" collapsed="false">
      <c r="A1459" s="17"/>
      <c r="B1459" s="18" t="str">
        <f aca="false">IF($A1459="","",TEXT($A1459,"ddd"))</f>
        <v/>
      </c>
      <c r="C1459" s="19"/>
      <c r="D1459" s="19"/>
      <c r="E1459" s="18" t="str">
        <f aca="false">IF($C1459="","",IFERROR(INDEX(Lists!$B$2:$B$40,MATCH($C1459,Lists!$A$2:$A$40,0)),""))</f>
        <v/>
      </c>
      <c r="F1459" s="20"/>
      <c r="G1459" s="20"/>
      <c r="H1459" s="20"/>
      <c r="I1459" s="20"/>
      <c r="J1459" s="20"/>
      <c r="K1459" s="18" t="str">
        <f aca="false">IF(COUNT($F1459:$J1459)=0,"",SUM($F1459:$J1459))</f>
        <v/>
      </c>
      <c r="L1459" s="18" t="str">
        <f aca="false">IF(COUNT($F1459:$J1459)=0,"",MAX($F1459:$J1459))</f>
        <v/>
      </c>
      <c r="M1459" s="18" t="str">
        <f aca="false">IFERROR(IF(OR($C1459="",COUNT($F1459:$J1459)&lt;3),"",IF(N(INDEX(Lists!$C$2:$C$40,MATCH($C1459,Lists!$A$2:$A$40,0)))=0,"",IF(MIN($F1459:$J1459)&gt;=INDEX(Lists!$C$2:$C$40,MATCH($C1459,Lists!$A$2:$A$40,0)),"LEVEL UP",""))),"")</f>
        <v/>
      </c>
      <c r="N1459" s="20"/>
      <c r="O1459" s="19"/>
    </row>
    <row r="1460" customFormat="false" ht="15" hidden="false" customHeight="false" outlineLevel="0" collapsed="false">
      <c r="A1460" s="17"/>
      <c r="B1460" s="18" t="str">
        <f aca="false">IF($A1460="","",TEXT($A1460,"ddd"))</f>
        <v/>
      </c>
      <c r="C1460" s="19"/>
      <c r="D1460" s="19"/>
      <c r="E1460" s="18" t="str">
        <f aca="false">IF($C1460="","",IFERROR(INDEX(Lists!$B$2:$B$40,MATCH($C1460,Lists!$A$2:$A$40,0)),""))</f>
        <v/>
      </c>
      <c r="F1460" s="20"/>
      <c r="G1460" s="20"/>
      <c r="H1460" s="20"/>
      <c r="I1460" s="20"/>
      <c r="J1460" s="20"/>
      <c r="K1460" s="18" t="str">
        <f aca="false">IF(COUNT($F1460:$J1460)=0,"",SUM($F1460:$J1460))</f>
        <v/>
      </c>
      <c r="L1460" s="18" t="str">
        <f aca="false">IF(COUNT($F1460:$J1460)=0,"",MAX($F1460:$J1460))</f>
        <v/>
      </c>
      <c r="M1460" s="18" t="str">
        <f aca="false">IFERROR(IF(OR($C1460="",COUNT($F1460:$J1460)&lt;3),"",IF(N(INDEX(Lists!$C$2:$C$40,MATCH($C1460,Lists!$A$2:$A$40,0)))=0,"",IF(MIN($F1460:$J1460)&gt;=INDEX(Lists!$C$2:$C$40,MATCH($C1460,Lists!$A$2:$A$40,0)),"LEVEL UP",""))),"")</f>
        <v/>
      </c>
      <c r="N1460" s="20"/>
      <c r="O1460" s="19"/>
    </row>
    <row r="1461" customFormat="false" ht="15" hidden="false" customHeight="false" outlineLevel="0" collapsed="false">
      <c r="A1461" s="17"/>
      <c r="B1461" s="18" t="str">
        <f aca="false">IF($A1461="","",TEXT($A1461,"ddd"))</f>
        <v/>
      </c>
      <c r="C1461" s="19"/>
      <c r="D1461" s="19"/>
      <c r="E1461" s="18" t="str">
        <f aca="false">IF($C1461="","",IFERROR(INDEX(Lists!$B$2:$B$40,MATCH($C1461,Lists!$A$2:$A$40,0)),""))</f>
        <v/>
      </c>
      <c r="F1461" s="20"/>
      <c r="G1461" s="20"/>
      <c r="H1461" s="20"/>
      <c r="I1461" s="20"/>
      <c r="J1461" s="20"/>
      <c r="K1461" s="18" t="str">
        <f aca="false">IF(COUNT($F1461:$J1461)=0,"",SUM($F1461:$J1461))</f>
        <v/>
      </c>
      <c r="L1461" s="18" t="str">
        <f aca="false">IF(COUNT($F1461:$J1461)=0,"",MAX($F1461:$J1461))</f>
        <v/>
      </c>
      <c r="M1461" s="18" t="str">
        <f aca="false">IFERROR(IF(OR($C1461="",COUNT($F1461:$J1461)&lt;3),"",IF(N(INDEX(Lists!$C$2:$C$40,MATCH($C1461,Lists!$A$2:$A$40,0)))=0,"",IF(MIN($F1461:$J1461)&gt;=INDEX(Lists!$C$2:$C$40,MATCH($C1461,Lists!$A$2:$A$40,0)),"LEVEL UP",""))),"")</f>
        <v/>
      </c>
      <c r="N1461" s="20"/>
      <c r="O1461" s="19"/>
    </row>
    <row r="1462" customFormat="false" ht="15" hidden="false" customHeight="false" outlineLevel="0" collapsed="false">
      <c r="A1462" s="17"/>
      <c r="B1462" s="18" t="str">
        <f aca="false">IF($A1462="","",TEXT($A1462,"ddd"))</f>
        <v/>
      </c>
      <c r="C1462" s="19"/>
      <c r="D1462" s="19"/>
      <c r="E1462" s="18" t="str">
        <f aca="false">IF($C1462="","",IFERROR(INDEX(Lists!$B$2:$B$40,MATCH($C1462,Lists!$A$2:$A$40,0)),""))</f>
        <v/>
      </c>
      <c r="F1462" s="20"/>
      <c r="G1462" s="20"/>
      <c r="H1462" s="20"/>
      <c r="I1462" s="20"/>
      <c r="J1462" s="20"/>
      <c r="K1462" s="18" t="str">
        <f aca="false">IF(COUNT($F1462:$J1462)=0,"",SUM($F1462:$J1462))</f>
        <v/>
      </c>
      <c r="L1462" s="18" t="str">
        <f aca="false">IF(COUNT($F1462:$J1462)=0,"",MAX($F1462:$J1462))</f>
        <v/>
      </c>
      <c r="M1462" s="18" t="str">
        <f aca="false">IFERROR(IF(OR($C1462="",COUNT($F1462:$J1462)&lt;3),"",IF(N(INDEX(Lists!$C$2:$C$40,MATCH($C1462,Lists!$A$2:$A$40,0)))=0,"",IF(MIN($F1462:$J1462)&gt;=INDEX(Lists!$C$2:$C$40,MATCH($C1462,Lists!$A$2:$A$40,0)),"LEVEL UP",""))),"")</f>
        <v/>
      </c>
      <c r="N1462" s="20"/>
      <c r="O1462" s="19"/>
    </row>
    <row r="1463" customFormat="false" ht="15" hidden="false" customHeight="false" outlineLevel="0" collapsed="false">
      <c r="A1463" s="17"/>
      <c r="B1463" s="18" t="str">
        <f aca="false">IF($A1463="","",TEXT($A1463,"ddd"))</f>
        <v/>
      </c>
      <c r="C1463" s="19"/>
      <c r="D1463" s="19"/>
      <c r="E1463" s="18" t="str">
        <f aca="false">IF($C1463="","",IFERROR(INDEX(Lists!$B$2:$B$40,MATCH($C1463,Lists!$A$2:$A$40,0)),""))</f>
        <v/>
      </c>
      <c r="F1463" s="20"/>
      <c r="G1463" s="20"/>
      <c r="H1463" s="20"/>
      <c r="I1463" s="20"/>
      <c r="J1463" s="20"/>
      <c r="K1463" s="18" t="str">
        <f aca="false">IF(COUNT($F1463:$J1463)=0,"",SUM($F1463:$J1463))</f>
        <v/>
      </c>
      <c r="L1463" s="18" t="str">
        <f aca="false">IF(COUNT($F1463:$J1463)=0,"",MAX($F1463:$J1463))</f>
        <v/>
      </c>
      <c r="M1463" s="18" t="str">
        <f aca="false">IFERROR(IF(OR($C1463="",COUNT($F1463:$J1463)&lt;3),"",IF(N(INDEX(Lists!$C$2:$C$40,MATCH($C1463,Lists!$A$2:$A$40,0)))=0,"",IF(MIN($F1463:$J1463)&gt;=INDEX(Lists!$C$2:$C$40,MATCH($C1463,Lists!$A$2:$A$40,0)),"LEVEL UP",""))),"")</f>
        <v/>
      </c>
      <c r="N1463" s="20"/>
      <c r="O1463" s="19"/>
    </row>
    <row r="1464" customFormat="false" ht="15" hidden="false" customHeight="false" outlineLevel="0" collapsed="false">
      <c r="A1464" s="17"/>
      <c r="B1464" s="18" t="str">
        <f aca="false">IF($A1464="","",TEXT($A1464,"ddd"))</f>
        <v/>
      </c>
      <c r="C1464" s="19"/>
      <c r="D1464" s="19"/>
      <c r="E1464" s="18" t="str">
        <f aca="false">IF($C1464="","",IFERROR(INDEX(Lists!$B$2:$B$40,MATCH($C1464,Lists!$A$2:$A$40,0)),""))</f>
        <v/>
      </c>
      <c r="F1464" s="20"/>
      <c r="G1464" s="20"/>
      <c r="H1464" s="20"/>
      <c r="I1464" s="20"/>
      <c r="J1464" s="20"/>
      <c r="K1464" s="18" t="str">
        <f aca="false">IF(COUNT($F1464:$J1464)=0,"",SUM($F1464:$J1464))</f>
        <v/>
      </c>
      <c r="L1464" s="18" t="str">
        <f aca="false">IF(COUNT($F1464:$J1464)=0,"",MAX($F1464:$J1464))</f>
        <v/>
      </c>
      <c r="M1464" s="18" t="str">
        <f aca="false">IFERROR(IF(OR($C1464="",COUNT($F1464:$J1464)&lt;3),"",IF(N(INDEX(Lists!$C$2:$C$40,MATCH($C1464,Lists!$A$2:$A$40,0)))=0,"",IF(MIN($F1464:$J1464)&gt;=INDEX(Lists!$C$2:$C$40,MATCH($C1464,Lists!$A$2:$A$40,0)),"LEVEL UP",""))),"")</f>
        <v/>
      </c>
      <c r="N1464" s="20"/>
      <c r="O1464" s="19"/>
    </row>
    <row r="1465" customFormat="false" ht="15" hidden="false" customHeight="false" outlineLevel="0" collapsed="false">
      <c r="A1465" s="17"/>
      <c r="B1465" s="18" t="str">
        <f aca="false">IF($A1465="","",TEXT($A1465,"ddd"))</f>
        <v/>
      </c>
      <c r="C1465" s="19"/>
      <c r="D1465" s="19"/>
      <c r="E1465" s="18" t="str">
        <f aca="false">IF($C1465="","",IFERROR(INDEX(Lists!$B$2:$B$40,MATCH($C1465,Lists!$A$2:$A$40,0)),""))</f>
        <v/>
      </c>
      <c r="F1465" s="20"/>
      <c r="G1465" s="20"/>
      <c r="H1465" s="20"/>
      <c r="I1465" s="20"/>
      <c r="J1465" s="20"/>
      <c r="K1465" s="18" t="str">
        <f aca="false">IF(COUNT($F1465:$J1465)=0,"",SUM($F1465:$J1465))</f>
        <v/>
      </c>
      <c r="L1465" s="18" t="str">
        <f aca="false">IF(COUNT($F1465:$J1465)=0,"",MAX($F1465:$J1465))</f>
        <v/>
      </c>
      <c r="M1465" s="18" t="str">
        <f aca="false">IFERROR(IF(OR($C1465="",COUNT($F1465:$J1465)&lt;3),"",IF(N(INDEX(Lists!$C$2:$C$40,MATCH($C1465,Lists!$A$2:$A$40,0)))=0,"",IF(MIN($F1465:$J1465)&gt;=INDEX(Lists!$C$2:$C$40,MATCH($C1465,Lists!$A$2:$A$40,0)),"LEVEL UP",""))),"")</f>
        <v/>
      </c>
      <c r="N1465" s="20"/>
      <c r="O1465" s="19"/>
    </row>
    <row r="1466" customFormat="false" ht="15" hidden="false" customHeight="false" outlineLevel="0" collapsed="false">
      <c r="A1466" s="17"/>
      <c r="B1466" s="18" t="str">
        <f aca="false">IF($A1466="","",TEXT($A1466,"ddd"))</f>
        <v/>
      </c>
      <c r="C1466" s="19"/>
      <c r="D1466" s="19"/>
      <c r="E1466" s="18" t="str">
        <f aca="false">IF($C1466="","",IFERROR(INDEX(Lists!$B$2:$B$40,MATCH($C1466,Lists!$A$2:$A$40,0)),""))</f>
        <v/>
      </c>
      <c r="F1466" s="20"/>
      <c r="G1466" s="20"/>
      <c r="H1466" s="20"/>
      <c r="I1466" s="20"/>
      <c r="J1466" s="20"/>
      <c r="K1466" s="18" t="str">
        <f aca="false">IF(COUNT($F1466:$J1466)=0,"",SUM($F1466:$J1466))</f>
        <v/>
      </c>
      <c r="L1466" s="18" t="str">
        <f aca="false">IF(COUNT($F1466:$J1466)=0,"",MAX($F1466:$J1466))</f>
        <v/>
      </c>
      <c r="M1466" s="18" t="str">
        <f aca="false">IFERROR(IF(OR($C1466="",COUNT($F1466:$J1466)&lt;3),"",IF(N(INDEX(Lists!$C$2:$C$40,MATCH($C1466,Lists!$A$2:$A$40,0)))=0,"",IF(MIN($F1466:$J1466)&gt;=INDEX(Lists!$C$2:$C$40,MATCH($C1466,Lists!$A$2:$A$40,0)),"LEVEL UP",""))),"")</f>
        <v/>
      </c>
      <c r="N1466" s="20"/>
      <c r="O1466" s="19"/>
    </row>
    <row r="1467" customFormat="false" ht="15" hidden="false" customHeight="false" outlineLevel="0" collapsed="false">
      <c r="A1467" s="17"/>
      <c r="B1467" s="18" t="str">
        <f aca="false">IF($A1467="","",TEXT($A1467,"ddd"))</f>
        <v/>
      </c>
      <c r="C1467" s="19"/>
      <c r="D1467" s="19"/>
      <c r="E1467" s="18" t="str">
        <f aca="false">IF($C1467="","",IFERROR(INDEX(Lists!$B$2:$B$40,MATCH($C1467,Lists!$A$2:$A$40,0)),""))</f>
        <v/>
      </c>
      <c r="F1467" s="20"/>
      <c r="G1467" s="20"/>
      <c r="H1467" s="20"/>
      <c r="I1467" s="20"/>
      <c r="J1467" s="20"/>
      <c r="K1467" s="18" t="str">
        <f aca="false">IF(COUNT($F1467:$J1467)=0,"",SUM($F1467:$J1467))</f>
        <v/>
      </c>
      <c r="L1467" s="18" t="str">
        <f aca="false">IF(COUNT($F1467:$J1467)=0,"",MAX($F1467:$J1467))</f>
        <v/>
      </c>
      <c r="M1467" s="18" t="str">
        <f aca="false">IFERROR(IF(OR($C1467="",COUNT($F1467:$J1467)&lt;3),"",IF(N(INDEX(Lists!$C$2:$C$40,MATCH($C1467,Lists!$A$2:$A$40,0)))=0,"",IF(MIN($F1467:$J1467)&gt;=INDEX(Lists!$C$2:$C$40,MATCH($C1467,Lists!$A$2:$A$40,0)),"LEVEL UP",""))),"")</f>
        <v/>
      </c>
      <c r="N1467" s="20"/>
      <c r="O1467" s="19"/>
    </row>
    <row r="1468" customFormat="false" ht="15" hidden="false" customHeight="false" outlineLevel="0" collapsed="false">
      <c r="A1468" s="17"/>
      <c r="B1468" s="18" t="str">
        <f aca="false">IF($A1468="","",TEXT($A1468,"ddd"))</f>
        <v/>
      </c>
      <c r="C1468" s="19"/>
      <c r="D1468" s="19"/>
      <c r="E1468" s="18" t="str">
        <f aca="false">IF($C1468="","",IFERROR(INDEX(Lists!$B$2:$B$40,MATCH($C1468,Lists!$A$2:$A$40,0)),""))</f>
        <v/>
      </c>
      <c r="F1468" s="20"/>
      <c r="G1468" s="20"/>
      <c r="H1468" s="20"/>
      <c r="I1468" s="20"/>
      <c r="J1468" s="20"/>
      <c r="K1468" s="18" t="str">
        <f aca="false">IF(COUNT($F1468:$J1468)=0,"",SUM($F1468:$J1468))</f>
        <v/>
      </c>
      <c r="L1468" s="18" t="str">
        <f aca="false">IF(COUNT($F1468:$J1468)=0,"",MAX($F1468:$J1468))</f>
        <v/>
      </c>
      <c r="M1468" s="18" t="str">
        <f aca="false">IFERROR(IF(OR($C1468="",COUNT($F1468:$J1468)&lt;3),"",IF(N(INDEX(Lists!$C$2:$C$40,MATCH($C1468,Lists!$A$2:$A$40,0)))=0,"",IF(MIN($F1468:$J1468)&gt;=INDEX(Lists!$C$2:$C$40,MATCH($C1468,Lists!$A$2:$A$40,0)),"LEVEL UP",""))),"")</f>
        <v/>
      </c>
      <c r="N1468" s="20"/>
      <c r="O1468" s="19"/>
    </row>
    <row r="1469" customFormat="false" ht="15" hidden="false" customHeight="false" outlineLevel="0" collapsed="false">
      <c r="A1469" s="17"/>
      <c r="B1469" s="18" t="str">
        <f aca="false">IF($A1469="","",TEXT($A1469,"ddd"))</f>
        <v/>
      </c>
      <c r="C1469" s="19"/>
      <c r="D1469" s="19"/>
      <c r="E1469" s="18" t="str">
        <f aca="false">IF($C1469="","",IFERROR(INDEX(Lists!$B$2:$B$40,MATCH($C1469,Lists!$A$2:$A$40,0)),""))</f>
        <v/>
      </c>
      <c r="F1469" s="20"/>
      <c r="G1469" s="20"/>
      <c r="H1469" s="20"/>
      <c r="I1469" s="20"/>
      <c r="J1469" s="20"/>
      <c r="K1469" s="18" t="str">
        <f aca="false">IF(COUNT($F1469:$J1469)=0,"",SUM($F1469:$J1469))</f>
        <v/>
      </c>
      <c r="L1469" s="18" t="str">
        <f aca="false">IF(COUNT($F1469:$J1469)=0,"",MAX($F1469:$J1469))</f>
        <v/>
      </c>
      <c r="M1469" s="18" t="str">
        <f aca="false">IFERROR(IF(OR($C1469="",COUNT($F1469:$J1469)&lt;3),"",IF(N(INDEX(Lists!$C$2:$C$40,MATCH($C1469,Lists!$A$2:$A$40,0)))=0,"",IF(MIN($F1469:$J1469)&gt;=INDEX(Lists!$C$2:$C$40,MATCH($C1469,Lists!$A$2:$A$40,0)),"LEVEL UP",""))),"")</f>
        <v/>
      </c>
      <c r="N1469" s="20"/>
      <c r="O1469" s="19"/>
    </row>
    <row r="1470" customFormat="false" ht="15" hidden="false" customHeight="false" outlineLevel="0" collapsed="false">
      <c r="A1470" s="17"/>
      <c r="B1470" s="18" t="str">
        <f aca="false">IF($A1470="","",TEXT($A1470,"ddd"))</f>
        <v/>
      </c>
      <c r="C1470" s="19"/>
      <c r="D1470" s="19"/>
      <c r="E1470" s="18" t="str">
        <f aca="false">IF($C1470="","",IFERROR(INDEX(Lists!$B$2:$B$40,MATCH($C1470,Lists!$A$2:$A$40,0)),""))</f>
        <v/>
      </c>
      <c r="F1470" s="20"/>
      <c r="G1470" s="20"/>
      <c r="H1470" s="20"/>
      <c r="I1470" s="20"/>
      <c r="J1470" s="20"/>
      <c r="K1470" s="18" t="str">
        <f aca="false">IF(COUNT($F1470:$J1470)=0,"",SUM($F1470:$J1470))</f>
        <v/>
      </c>
      <c r="L1470" s="18" t="str">
        <f aca="false">IF(COUNT($F1470:$J1470)=0,"",MAX($F1470:$J1470))</f>
        <v/>
      </c>
      <c r="M1470" s="18" t="str">
        <f aca="false">IFERROR(IF(OR($C1470="",COUNT($F1470:$J1470)&lt;3),"",IF(N(INDEX(Lists!$C$2:$C$40,MATCH($C1470,Lists!$A$2:$A$40,0)))=0,"",IF(MIN($F1470:$J1470)&gt;=INDEX(Lists!$C$2:$C$40,MATCH($C1470,Lists!$A$2:$A$40,0)),"LEVEL UP",""))),"")</f>
        <v/>
      </c>
      <c r="N1470" s="20"/>
      <c r="O1470" s="19"/>
    </row>
    <row r="1471" customFormat="false" ht="15" hidden="false" customHeight="false" outlineLevel="0" collapsed="false">
      <c r="A1471" s="17"/>
      <c r="B1471" s="18" t="str">
        <f aca="false">IF($A1471="","",TEXT($A1471,"ddd"))</f>
        <v/>
      </c>
      <c r="C1471" s="19"/>
      <c r="D1471" s="19"/>
      <c r="E1471" s="18" t="str">
        <f aca="false">IF($C1471="","",IFERROR(INDEX(Lists!$B$2:$B$40,MATCH($C1471,Lists!$A$2:$A$40,0)),""))</f>
        <v/>
      </c>
      <c r="F1471" s="20"/>
      <c r="G1471" s="20"/>
      <c r="H1471" s="20"/>
      <c r="I1471" s="20"/>
      <c r="J1471" s="20"/>
      <c r="K1471" s="18" t="str">
        <f aca="false">IF(COUNT($F1471:$J1471)=0,"",SUM($F1471:$J1471))</f>
        <v/>
      </c>
      <c r="L1471" s="18" t="str">
        <f aca="false">IF(COUNT($F1471:$J1471)=0,"",MAX($F1471:$J1471))</f>
        <v/>
      </c>
      <c r="M1471" s="18" t="str">
        <f aca="false">IFERROR(IF(OR($C1471="",COUNT($F1471:$J1471)&lt;3),"",IF(N(INDEX(Lists!$C$2:$C$40,MATCH($C1471,Lists!$A$2:$A$40,0)))=0,"",IF(MIN($F1471:$J1471)&gt;=INDEX(Lists!$C$2:$C$40,MATCH($C1471,Lists!$A$2:$A$40,0)),"LEVEL UP",""))),"")</f>
        <v/>
      </c>
      <c r="N1471" s="20"/>
      <c r="O1471" s="19"/>
    </row>
    <row r="1472" customFormat="false" ht="15" hidden="false" customHeight="false" outlineLevel="0" collapsed="false">
      <c r="A1472" s="17"/>
      <c r="B1472" s="18" t="str">
        <f aca="false">IF($A1472="","",TEXT($A1472,"ddd"))</f>
        <v/>
      </c>
      <c r="C1472" s="19"/>
      <c r="D1472" s="19"/>
      <c r="E1472" s="18" t="str">
        <f aca="false">IF($C1472="","",IFERROR(INDEX(Lists!$B$2:$B$40,MATCH($C1472,Lists!$A$2:$A$40,0)),""))</f>
        <v/>
      </c>
      <c r="F1472" s="20"/>
      <c r="G1472" s="20"/>
      <c r="H1472" s="20"/>
      <c r="I1472" s="20"/>
      <c r="J1472" s="20"/>
      <c r="K1472" s="18" t="str">
        <f aca="false">IF(COUNT($F1472:$J1472)=0,"",SUM($F1472:$J1472))</f>
        <v/>
      </c>
      <c r="L1472" s="18" t="str">
        <f aca="false">IF(COUNT($F1472:$J1472)=0,"",MAX($F1472:$J1472))</f>
        <v/>
      </c>
      <c r="M1472" s="18" t="str">
        <f aca="false">IFERROR(IF(OR($C1472="",COUNT($F1472:$J1472)&lt;3),"",IF(N(INDEX(Lists!$C$2:$C$40,MATCH($C1472,Lists!$A$2:$A$40,0)))=0,"",IF(MIN($F1472:$J1472)&gt;=INDEX(Lists!$C$2:$C$40,MATCH($C1472,Lists!$A$2:$A$40,0)),"LEVEL UP",""))),"")</f>
        <v/>
      </c>
      <c r="N1472" s="20"/>
      <c r="O1472" s="19"/>
    </row>
    <row r="1473" customFormat="false" ht="15" hidden="false" customHeight="false" outlineLevel="0" collapsed="false">
      <c r="A1473" s="17"/>
      <c r="B1473" s="18" t="str">
        <f aca="false">IF($A1473="","",TEXT($A1473,"ddd"))</f>
        <v/>
      </c>
      <c r="C1473" s="19"/>
      <c r="D1473" s="19"/>
      <c r="E1473" s="18" t="str">
        <f aca="false">IF($C1473="","",IFERROR(INDEX(Lists!$B$2:$B$40,MATCH($C1473,Lists!$A$2:$A$40,0)),""))</f>
        <v/>
      </c>
      <c r="F1473" s="20"/>
      <c r="G1473" s="20"/>
      <c r="H1473" s="20"/>
      <c r="I1473" s="20"/>
      <c r="J1473" s="20"/>
      <c r="K1473" s="18" t="str">
        <f aca="false">IF(COUNT($F1473:$J1473)=0,"",SUM($F1473:$J1473))</f>
        <v/>
      </c>
      <c r="L1473" s="18" t="str">
        <f aca="false">IF(COUNT($F1473:$J1473)=0,"",MAX($F1473:$J1473))</f>
        <v/>
      </c>
      <c r="M1473" s="18" t="str">
        <f aca="false">IFERROR(IF(OR($C1473="",COUNT($F1473:$J1473)&lt;3),"",IF(N(INDEX(Lists!$C$2:$C$40,MATCH($C1473,Lists!$A$2:$A$40,0)))=0,"",IF(MIN($F1473:$J1473)&gt;=INDEX(Lists!$C$2:$C$40,MATCH($C1473,Lists!$A$2:$A$40,0)),"LEVEL UP",""))),"")</f>
        <v/>
      </c>
      <c r="N1473" s="20"/>
      <c r="O1473" s="19"/>
    </row>
    <row r="1474" customFormat="false" ht="15" hidden="false" customHeight="false" outlineLevel="0" collapsed="false">
      <c r="A1474" s="17"/>
      <c r="B1474" s="18" t="str">
        <f aca="false">IF($A1474="","",TEXT($A1474,"ddd"))</f>
        <v/>
      </c>
      <c r="C1474" s="19"/>
      <c r="D1474" s="19"/>
      <c r="E1474" s="18" t="str">
        <f aca="false">IF($C1474="","",IFERROR(INDEX(Lists!$B$2:$B$40,MATCH($C1474,Lists!$A$2:$A$40,0)),""))</f>
        <v/>
      </c>
      <c r="F1474" s="20"/>
      <c r="G1474" s="20"/>
      <c r="H1474" s="20"/>
      <c r="I1474" s="20"/>
      <c r="J1474" s="20"/>
      <c r="K1474" s="18" t="str">
        <f aca="false">IF(COUNT($F1474:$J1474)=0,"",SUM($F1474:$J1474))</f>
        <v/>
      </c>
      <c r="L1474" s="18" t="str">
        <f aca="false">IF(COUNT($F1474:$J1474)=0,"",MAX($F1474:$J1474))</f>
        <v/>
      </c>
      <c r="M1474" s="18" t="str">
        <f aca="false">IFERROR(IF(OR($C1474="",COUNT($F1474:$J1474)&lt;3),"",IF(N(INDEX(Lists!$C$2:$C$40,MATCH($C1474,Lists!$A$2:$A$40,0)))=0,"",IF(MIN($F1474:$J1474)&gt;=INDEX(Lists!$C$2:$C$40,MATCH($C1474,Lists!$A$2:$A$40,0)),"LEVEL UP",""))),"")</f>
        <v/>
      </c>
      <c r="N1474" s="20"/>
      <c r="O1474" s="19"/>
    </row>
    <row r="1475" customFormat="false" ht="15" hidden="false" customHeight="false" outlineLevel="0" collapsed="false">
      <c r="A1475" s="17"/>
      <c r="B1475" s="18" t="str">
        <f aca="false">IF($A1475="","",TEXT($A1475,"ddd"))</f>
        <v/>
      </c>
      <c r="C1475" s="19"/>
      <c r="D1475" s="19"/>
      <c r="E1475" s="18" t="str">
        <f aca="false">IF($C1475="","",IFERROR(INDEX(Lists!$B$2:$B$40,MATCH($C1475,Lists!$A$2:$A$40,0)),""))</f>
        <v/>
      </c>
      <c r="F1475" s="20"/>
      <c r="G1475" s="20"/>
      <c r="H1475" s="20"/>
      <c r="I1475" s="20"/>
      <c r="J1475" s="20"/>
      <c r="K1475" s="18" t="str">
        <f aca="false">IF(COUNT($F1475:$J1475)=0,"",SUM($F1475:$J1475))</f>
        <v/>
      </c>
      <c r="L1475" s="18" t="str">
        <f aca="false">IF(COUNT($F1475:$J1475)=0,"",MAX($F1475:$J1475))</f>
        <v/>
      </c>
      <c r="M1475" s="18" t="str">
        <f aca="false">IFERROR(IF(OR($C1475="",COUNT($F1475:$J1475)&lt;3),"",IF(N(INDEX(Lists!$C$2:$C$40,MATCH($C1475,Lists!$A$2:$A$40,0)))=0,"",IF(MIN($F1475:$J1475)&gt;=INDEX(Lists!$C$2:$C$40,MATCH($C1475,Lists!$A$2:$A$40,0)),"LEVEL UP",""))),"")</f>
        <v/>
      </c>
      <c r="N1475" s="20"/>
      <c r="O1475" s="19"/>
    </row>
    <row r="1476" customFormat="false" ht="15" hidden="false" customHeight="false" outlineLevel="0" collapsed="false">
      <c r="A1476" s="17"/>
      <c r="B1476" s="18" t="str">
        <f aca="false">IF($A1476="","",TEXT($A1476,"ddd"))</f>
        <v/>
      </c>
      <c r="C1476" s="19"/>
      <c r="D1476" s="19"/>
      <c r="E1476" s="18" t="str">
        <f aca="false">IF($C1476="","",IFERROR(INDEX(Lists!$B$2:$B$40,MATCH($C1476,Lists!$A$2:$A$40,0)),""))</f>
        <v/>
      </c>
      <c r="F1476" s="20"/>
      <c r="G1476" s="20"/>
      <c r="H1476" s="20"/>
      <c r="I1476" s="20"/>
      <c r="J1476" s="20"/>
      <c r="K1476" s="18" t="str">
        <f aca="false">IF(COUNT($F1476:$J1476)=0,"",SUM($F1476:$J1476))</f>
        <v/>
      </c>
      <c r="L1476" s="18" t="str">
        <f aca="false">IF(COUNT($F1476:$J1476)=0,"",MAX($F1476:$J1476))</f>
        <v/>
      </c>
      <c r="M1476" s="18" t="str">
        <f aca="false">IFERROR(IF(OR($C1476="",COUNT($F1476:$J1476)&lt;3),"",IF(N(INDEX(Lists!$C$2:$C$40,MATCH($C1476,Lists!$A$2:$A$40,0)))=0,"",IF(MIN($F1476:$J1476)&gt;=INDEX(Lists!$C$2:$C$40,MATCH($C1476,Lists!$A$2:$A$40,0)),"LEVEL UP",""))),"")</f>
        <v/>
      </c>
      <c r="N1476" s="20"/>
      <c r="O1476" s="19"/>
    </row>
    <row r="1477" customFormat="false" ht="15" hidden="false" customHeight="false" outlineLevel="0" collapsed="false">
      <c r="A1477" s="17"/>
      <c r="B1477" s="18" t="str">
        <f aca="false">IF($A1477="","",TEXT($A1477,"ddd"))</f>
        <v/>
      </c>
      <c r="C1477" s="19"/>
      <c r="D1477" s="19"/>
      <c r="E1477" s="18" t="str">
        <f aca="false">IF($C1477="","",IFERROR(INDEX(Lists!$B$2:$B$40,MATCH($C1477,Lists!$A$2:$A$40,0)),""))</f>
        <v/>
      </c>
      <c r="F1477" s="20"/>
      <c r="G1477" s="20"/>
      <c r="H1477" s="20"/>
      <c r="I1477" s="20"/>
      <c r="J1477" s="20"/>
      <c r="K1477" s="18" t="str">
        <f aca="false">IF(COUNT($F1477:$J1477)=0,"",SUM($F1477:$J1477))</f>
        <v/>
      </c>
      <c r="L1477" s="18" t="str">
        <f aca="false">IF(COUNT($F1477:$J1477)=0,"",MAX($F1477:$J1477))</f>
        <v/>
      </c>
      <c r="M1477" s="18" t="str">
        <f aca="false">IFERROR(IF(OR($C1477="",COUNT($F1477:$J1477)&lt;3),"",IF(N(INDEX(Lists!$C$2:$C$40,MATCH($C1477,Lists!$A$2:$A$40,0)))=0,"",IF(MIN($F1477:$J1477)&gt;=INDEX(Lists!$C$2:$C$40,MATCH($C1477,Lists!$A$2:$A$40,0)),"LEVEL UP",""))),"")</f>
        <v/>
      </c>
      <c r="N1477" s="20"/>
      <c r="O1477" s="19"/>
    </row>
    <row r="1478" customFormat="false" ht="15" hidden="false" customHeight="false" outlineLevel="0" collapsed="false">
      <c r="A1478" s="17"/>
      <c r="B1478" s="18" t="str">
        <f aca="false">IF($A1478="","",TEXT($A1478,"ddd"))</f>
        <v/>
      </c>
      <c r="C1478" s="19"/>
      <c r="D1478" s="19"/>
      <c r="E1478" s="18" t="str">
        <f aca="false">IF($C1478="","",IFERROR(INDEX(Lists!$B$2:$B$40,MATCH($C1478,Lists!$A$2:$A$40,0)),""))</f>
        <v/>
      </c>
      <c r="F1478" s="20"/>
      <c r="G1478" s="20"/>
      <c r="H1478" s="20"/>
      <c r="I1478" s="20"/>
      <c r="J1478" s="20"/>
      <c r="K1478" s="18" t="str">
        <f aca="false">IF(COUNT($F1478:$J1478)=0,"",SUM($F1478:$J1478))</f>
        <v/>
      </c>
      <c r="L1478" s="18" t="str">
        <f aca="false">IF(COUNT($F1478:$J1478)=0,"",MAX($F1478:$J1478))</f>
        <v/>
      </c>
      <c r="M1478" s="18" t="str">
        <f aca="false">IFERROR(IF(OR($C1478="",COUNT($F1478:$J1478)&lt;3),"",IF(N(INDEX(Lists!$C$2:$C$40,MATCH($C1478,Lists!$A$2:$A$40,0)))=0,"",IF(MIN($F1478:$J1478)&gt;=INDEX(Lists!$C$2:$C$40,MATCH($C1478,Lists!$A$2:$A$40,0)),"LEVEL UP",""))),"")</f>
        <v/>
      </c>
      <c r="N1478" s="20"/>
      <c r="O1478" s="19"/>
    </row>
    <row r="1479" customFormat="false" ht="15" hidden="false" customHeight="false" outlineLevel="0" collapsed="false">
      <c r="A1479" s="17"/>
      <c r="B1479" s="18" t="str">
        <f aca="false">IF($A1479="","",TEXT($A1479,"ddd"))</f>
        <v/>
      </c>
      <c r="C1479" s="19"/>
      <c r="D1479" s="19"/>
      <c r="E1479" s="18" t="str">
        <f aca="false">IF($C1479="","",IFERROR(INDEX(Lists!$B$2:$B$40,MATCH($C1479,Lists!$A$2:$A$40,0)),""))</f>
        <v/>
      </c>
      <c r="F1479" s="20"/>
      <c r="G1479" s="20"/>
      <c r="H1479" s="20"/>
      <c r="I1479" s="20"/>
      <c r="J1479" s="20"/>
      <c r="K1479" s="18" t="str">
        <f aca="false">IF(COUNT($F1479:$J1479)=0,"",SUM($F1479:$J1479))</f>
        <v/>
      </c>
      <c r="L1479" s="18" t="str">
        <f aca="false">IF(COUNT($F1479:$J1479)=0,"",MAX($F1479:$J1479))</f>
        <v/>
      </c>
      <c r="M1479" s="18" t="str">
        <f aca="false">IFERROR(IF(OR($C1479="",COUNT($F1479:$J1479)&lt;3),"",IF(N(INDEX(Lists!$C$2:$C$40,MATCH($C1479,Lists!$A$2:$A$40,0)))=0,"",IF(MIN($F1479:$J1479)&gt;=INDEX(Lists!$C$2:$C$40,MATCH($C1479,Lists!$A$2:$A$40,0)),"LEVEL UP",""))),"")</f>
        <v/>
      </c>
      <c r="N1479" s="20"/>
      <c r="O1479" s="19"/>
    </row>
    <row r="1480" customFormat="false" ht="15" hidden="false" customHeight="false" outlineLevel="0" collapsed="false">
      <c r="A1480" s="17"/>
      <c r="B1480" s="18" t="str">
        <f aca="false">IF($A1480="","",TEXT($A1480,"ddd"))</f>
        <v/>
      </c>
      <c r="C1480" s="19"/>
      <c r="D1480" s="19"/>
      <c r="E1480" s="18" t="str">
        <f aca="false">IF($C1480="","",IFERROR(INDEX(Lists!$B$2:$B$40,MATCH($C1480,Lists!$A$2:$A$40,0)),""))</f>
        <v/>
      </c>
      <c r="F1480" s="20"/>
      <c r="G1480" s="20"/>
      <c r="H1480" s="20"/>
      <c r="I1480" s="20"/>
      <c r="J1480" s="20"/>
      <c r="K1480" s="18" t="str">
        <f aca="false">IF(COUNT($F1480:$J1480)=0,"",SUM($F1480:$J1480))</f>
        <v/>
      </c>
      <c r="L1480" s="18" t="str">
        <f aca="false">IF(COUNT($F1480:$J1480)=0,"",MAX($F1480:$J1480))</f>
        <v/>
      </c>
      <c r="M1480" s="18" t="str">
        <f aca="false">IFERROR(IF(OR($C1480="",COUNT($F1480:$J1480)&lt;3),"",IF(N(INDEX(Lists!$C$2:$C$40,MATCH($C1480,Lists!$A$2:$A$40,0)))=0,"",IF(MIN($F1480:$J1480)&gt;=INDEX(Lists!$C$2:$C$40,MATCH($C1480,Lists!$A$2:$A$40,0)),"LEVEL UP",""))),"")</f>
        <v/>
      </c>
      <c r="N1480" s="20"/>
      <c r="O1480" s="19"/>
    </row>
    <row r="1481" customFormat="false" ht="15" hidden="false" customHeight="false" outlineLevel="0" collapsed="false">
      <c r="A1481" s="17"/>
      <c r="B1481" s="18" t="str">
        <f aca="false">IF($A1481="","",TEXT($A1481,"ddd"))</f>
        <v/>
      </c>
      <c r="C1481" s="19"/>
      <c r="D1481" s="19"/>
      <c r="E1481" s="18" t="str">
        <f aca="false">IF($C1481="","",IFERROR(INDEX(Lists!$B$2:$B$40,MATCH($C1481,Lists!$A$2:$A$40,0)),""))</f>
        <v/>
      </c>
      <c r="F1481" s="20"/>
      <c r="G1481" s="20"/>
      <c r="H1481" s="20"/>
      <c r="I1481" s="20"/>
      <c r="J1481" s="20"/>
      <c r="K1481" s="18" t="str">
        <f aca="false">IF(COUNT($F1481:$J1481)=0,"",SUM($F1481:$J1481))</f>
        <v/>
      </c>
      <c r="L1481" s="18" t="str">
        <f aca="false">IF(COUNT($F1481:$J1481)=0,"",MAX($F1481:$J1481))</f>
        <v/>
      </c>
      <c r="M1481" s="18" t="str">
        <f aca="false">IFERROR(IF(OR($C1481="",COUNT($F1481:$J1481)&lt;3),"",IF(N(INDEX(Lists!$C$2:$C$40,MATCH($C1481,Lists!$A$2:$A$40,0)))=0,"",IF(MIN($F1481:$J1481)&gt;=INDEX(Lists!$C$2:$C$40,MATCH($C1481,Lists!$A$2:$A$40,0)),"LEVEL UP",""))),"")</f>
        <v/>
      </c>
      <c r="N1481" s="20"/>
      <c r="O1481" s="19"/>
    </row>
    <row r="1482" customFormat="false" ht="15" hidden="false" customHeight="false" outlineLevel="0" collapsed="false">
      <c r="A1482" s="17"/>
      <c r="B1482" s="18" t="str">
        <f aca="false">IF($A1482="","",TEXT($A1482,"ddd"))</f>
        <v/>
      </c>
      <c r="C1482" s="19"/>
      <c r="D1482" s="19"/>
      <c r="E1482" s="18" t="str">
        <f aca="false">IF($C1482="","",IFERROR(INDEX(Lists!$B$2:$B$40,MATCH($C1482,Lists!$A$2:$A$40,0)),""))</f>
        <v/>
      </c>
      <c r="F1482" s="20"/>
      <c r="G1482" s="20"/>
      <c r="H1482" s="20"/>
      <c r="I1482" s="20"/>
      <c r="J1482" s="20"/>
      <c r="K1482" s="18" t="str">
        <f aca="false">IF(COUNT($F1482:$J1482)=0,"",SUM($F1482:$J1482))</f>
        <v/>
      </c>
      <c r="L1482" s="18" t="str">
        <f aca="false">IF(COUNT($F1482:$J1482)=0,"",MAX($F1482:$J1482))</f>
        <v/>
      </c>
      <c r="M1482" s="18" t="str">
        <f aca="false">IFERROR(IF(OR($C1482="",COUNT($F1482:$J1482)&lt;3),"",IF(N(INDEX(Lists!$C$2:$C$40,MATCH($C1482,Lists!$A$2:$A$40,0)))=0,"",IF(MIN($F1482:$J1482)&gt;=INDEX(Lists!$C$2:$C$40,MATCH($C1482,Lists!$A$2:$A$40,0)),"LEVEL UP",""))),"")</f>
        <v/>
      </c>
      <c r="N1482" s="20"/>
      <c r="O1482" s="19"/>
    </row>
    <row r="1483" customFormat="false" ht="15" hidden="false" customHeight="false" outlineLevel="0" collapsed="false">
      <c r="A1483" s="17"/>
      <c r="B1483" s="18" t="str">
        <f aca="false">IF($A1483="","",TEXT($A1483,"ddd"))</f>
        <v/>
      </c>
      <c r="C1483" s="19"/>
      <c r="D1483" s="19"/>
      <c r="E1483" s="18" t="str">
        <f aca="false">IF($C1483="","",IFERROR(INDEX(Lists!$B$2:$B$40,MATCH($C1483,Lists!$A$2:$A$40,0)),""))</f>
        <v/>
      </c>
      <c r="F1483" s="20"/>
      <c r="G1483" s="20"/>
      <c r="H1483" s="20"/>
      <c r="I1483" s="20"/>
      <c r="J1483" s="20"/>
      <c r="K1483" s="18" t="str">
        <f aca="false">IF(COUNT($F1483:$J1483)=0,"",SUM($F1483:$J1483))</f>
        <v/>
      </c>
      <c r="L1483" s="18" t="str">
        <f aca="false">IF(COUNT($F1483:$J1483)=0,"",MAX($F1483:$J1483))</f>
        <v/>
      </c>
      <c r="M1483" s="18" t="str">
        <f aca="false">IFERROR(IF(OR($C1483="",COUNT($F1483:$J1483)&lt;3),"",IF(N(INDEX(Lists!$C$2:$C$40,MATCH($C1483,Lists!$A$2:$A$40,0)))=0,"",IF(MIN($F1483:$J1483)&gt;=INDEX(Lists!$C$2:$C$40,MATCH($C1483,Lists!$A$2:$A$40,0)),"LEVEL UP",""))),"")</f>
        <v/>
      </c>
      <c r="N1483" s="20"/>
      <c r="O1483" s="19"/>
    </row>
    <row r="1484" customFormat="false" ht="15" hidden="false" customHeight="false" outlineLevel="0" collapsed="false">
      <c r="A1484" s="17"/>
      <c r="B1484" s="18" t="str">
        <f aca="false">IF($A1484="","",TEXT($A1484,"ddd"))</f>
        <v/>
      </c>
      <c r="C1484" s="19"/>
      <c r="D1484" s="19"/>
      <c r="E1484" s="18" t="str">
        <f aca="false">IF($C1484="","",IFERROR(INDEX(Lists!$B$2:$B$40,MATCH($C1484,Lists!$A$2:$A$40,0)),""))</f>
        <v/>
      </c>
      <c r="F1484" s="20"/>
      <c r="G1484" s="20"/>
      <c r="H1484" s="20"/>
      <c r="I1484" s="20"/>
      <c r="J1484" s="20"/>
      <c r="K1484" s="18" t="str">
        <f aca="false">IF(COUNT($F1484:$J1484)=0,"",SUM($F1484:$J1484))</f>
        <v/>
      </c>
      <c r="L1484" s="18" t="str">
        <f aca="false">IF(COUNT($F1484:$J1484)=0,"",MAX($F1484:$J1484))</f>
        <v/>
      </c>
      <c r="M1484" s="18" t="str">
        <f aca="false">IFERROR(IF(OR($C1484="",COUNT($F1484:$J1484)&lt;3),"",IF(N(INDEX(Lists!$C$2:$C$40,MATCH($C1484,Lists!$A$2:$A$40,0)))=0,"",IF(MIN($F1484:$J1484)&gt;=INDEX(Lists!$C$2:$C$40,MATCH($C1484,Lists!$A$2:$A$40,0)),"LEVEL UP",""))),"")</f>
        <v/>
      </c>
      <c r="N1484" s="20"/>
      <c r="O1484" s="19"/>
    </row>
    <row r="1485" customFormat="false" ht="15" hidden="false" customHeight="false" outlineLevel="0" collapsed="false">
      <c r="A1485" s="17"/>
      <c r="B1485" s="18" t="str">
        <f aca="false">IF($A1485="","",TEXT($A1485,"ddd"))</f>
        <v/>
      </c>
      <c r="C1485" s="19"/>
      <c r="D1485" s="19"/>
      <c r="E1485" s="18" t="str">
        <f aca="false">IF($C1485="","",IFERROR(INDEX(Lists!$B$2:$B$40,MATCH($C1485,Lists!$A$2:$A$40,0)),""))</f>
        <v/>
      </c>
      <c r="F1485" s="20"/>
      <c r="G1485" s="20"/>
      <c r="H1485" s="20"/>
      <c r="I1485" s="20"/>
      <c r="J1485" s="20"/>
      <c r="K1485" s="18" t="str">
        <f aca="false">IF(COUNT($F1485:$J1485)=0,"",SUM($F1485:$J1485))</f>
        <v/>
      </c>
      <c r="L1485" s="18" t="str">
        <f aca="false">IF(COUNT($F1485:$J1485)=0,"",MAX($F1485:$J1485))</f>
        <v/>
      </c>
      <c r="M1485" s="18" t="str">
        <f aca="false">IFERROR(IF(OR($C1485="",COUNT($F1485:$J1485)&lt;3),"",IF(N(INDEX(Lists!$C$2:$C$40,MATCH($C1485,Lists!$A$2:$A$40,0)))=0,"",IF(MIN($F1485:$J1485)&gt;=INDEX(Lists!$C$2:$C$40,MATCH($C1485,Lists!$A$2:$A$40,0)),"LEVEL UP",""))),"")</f>
        <v/>
      </c>
      <c r="N1485" s="20"/>
      <c r="O1485" s="19"/>
    </row>
    <row r="1486" customFormat="false" ht="15" hidden="false" customHeight="false" outlineLevel="0" collapsed="false">
      <c r="A1486" s="17"/>
      <c r="B1486" s="18" t="str">
        <f aca="false">IF($A1486="","",TEXT($A1486,"ddd"))</f>
        <v/>
      </c>
      <c r="C1486" s="19"/>
      <c r="D1486" s="19"/>
      <c r="E1486" s="18" t="str">
        <f aca="false">IF($C1486="","",IFERROR(INDEX(Lists!$B$2:$B$40,MATCH($C1486,Lists!$A$2:$A$40,0)),""))</f>
        <v/>
      </c>
      <c r="F1486" s="20"/>
      <c r="G1486" s="20"/>
      <c r="H1486" s="20"/>
      <c r="I1486" s="20"/>
      <c r="J1486" s="20"/>
      <c r="K1486" s="18" t="str">
        <f aca="false">IF(COUNT($F1486:$J1486)=0,"",SUM($F1486:$J1486))</f>
        <v/>
      </c>
      <c r="L1486" s="18" t="str">
        <f aca="false">IF(COUNT($F1486:$J1486)=0,"",MAX($F1486:$J1486))</f>
        <v/>
      </c>
      <c r="M1486" s="18" t="str">
        <f aca="false">IFERROR(IF(OR($C1486="",COUNT($F1486:$J1486)&lt;3),"",IF(N(INDEX(Lists!$C$2:$C$40,MATCH($C1486,Lists!$A$2:$A$40,0)))=0,"",IF(MIN($F1486:$J1486)&gt;=INDEX(Lists!$C$2:$C$40,MATCH($C1486,Lists!$A$2:$A$40,0)),"LEVEL UP",""))),"")</f>
        <v/>
      </c>
      <c r="N1486" s="20"/>
      <c r="O1486" s="19"/>
    </row>
    <row r="1487" customFormat="false" ht="15" hidden="false" customHeight="false" outlineLevel="0" collapsed="false">
      <c r="A1487" s="17"/>
      <c r="B1487" s="18" t="str">
        <f aca="false">IF($A1487="","",TEXT($A1487,"ddd"))</f>
        <v/>
      </c>
      <c r="C1487" s="19"/>
      <c r="D1487" s="19"/>
      <c r="E1487" s="18" t="str">
        <f aca="false">IF($C1487="","",IFERROR(INDEX(Lists!$B$2:$B$40,MATCH($C1487,Lists!$A$2:$A$40,0)),""))</f>
        <v/>
      </c>
      <c r="F1487" s="20"/>
      <c r="G1487" s="20"/>
      <c r="H1487" s="20"/>
      <c r="I1487" s="20"/>
      <c r="J1487" s="20"/>
      <c r="K1487" s="18" t="str">
        <f aca="false">IF(COUNT($F1487:$J1487)=0,"",SUM($F1487:$J1487))</f>
        <v/>
      </c>
      <c r="L1487" s="18" t="str">
        <f aca="false">IF(COUNT($F1487:$J1487)=0,"",MAX($F1487:$J1487))</f>
        <v/>
      </c>
      <c r="M1487" s="18" t="str">
        <f aca="false">IFERROR(IF(OR($C1487="",COUNT($F1487:$J1487)&lt;3),"",IF(N(INDEX(Lists!$C$2:$C$40,MATCH($C1487,Lists!$A$2:$A$40,0)))=0,"",IF(MIN($F1487:$J1487)&gt;=INDEX(Lists!$C$2:$C$40,MATCH($C1487,Lists!$A$2:$A$40,0)),"LEVEL UP",""))),"")</f>
        <v/>
      </c>
      <c r="N1487" s="20"/>
      <c r="O1487" s="19"/>
    </row>
    <row r="1488" customFormat="false" ht="15" hidden="false" customHeight="false" outlineLevel="0" collapsed="false">
      <c r="A1488" s="17"/>
      <c r="B1488" s="18" t="str">
        <f aca="false">IF($A1488="","",TEXT($A1488,"ddd"))</f>
        <v/>
      </c>
      <c r="C1488" s="19"/>
      <c r="D1488" s="19"/>
      <c r="E1488" s="18" t="str">
        <f aca="false">IF($C1488="","",IFERROR(INDEX(Lists!$B$2:$B$40,MATCH($C1488,Lists!$A$2:$A$40,0)),""))</f>
        <v/>
      </c>
      <c r="F1488" s="20"/>
      <c r="G1488" s="20"/>
      <c r="H1488" s="20"/>
      <c r="I1488" s="20"/>
      <c r="J1488" s="20"/>
      <c r="K1488" s="18" t="str">
        <f aca="false">IF(COUNT($F1488:$J1488)=0,"",SUM($F1488:$J1488))</f>
        <v/>
      </c>
      <c r="L1488" s="18" t="str">
        <f aca="false">IF(COUNT($F1488:$J1488)=0,"",MAX($F1488:$J1488))</f>
        <v/>
      </c>
      <c r="M1488" s="18" t="str">
        <f aca="false">IFERROR(IF(OR($C1488="",COUNT($F1488:$J1488)&lt;3),"",IF(N(INDEX(Lists!$C$2:$C$40,MATCH($C1488,Lists!$A$2:$A$40,0)))=0,"",IF(MIN($F1488:$J1488)&gt;=INDEX(Lists!$C$2:$C$40,MATCH($C1488,Lists!$A$2:$A$40,0)),"LEVEL UP",""))),"")</f>
        <v/>
      </c>
      <c r="N1488" s="20"/>
      <c r="O1488" s="19"/>
    </row>
    <row r="1489" customFormat="false" ht="15" hidden="false" customHeight="false" outlineLevel="0" collapsed="false">
      <c r="A1489" s="17"/>
      <c r="B1489" s="18" t="str">
        <f aca="false">IF($A1489="","",TEXT($A1489,"ddd"))</f>
        <v/>
      </c>
      <c r="C1489" s="19"/>
      <c r="D1489" s="19"/>
      <c r="E1489" s="18" t="str">
        <f aca="false">IF($C1489="","",IFERROR(INDEX(Lists!$B$2:$B$40,MATCH($C1489,Lists!$A$2:$A$40,0)),""))</f>
        <v/>
      </c>
      <c r="F1489" s="20"/>
      <c r="G1489" s="20"/>
      <c r="H1489" s="20"/>
      <c r="I1489" s="20"/>
      <c r="J1489" s="20"/>
      <c r="K1489" s="18" t="str">
        <f aca="false">IF(COUNT($F1489:$J1489)=0,"",SUM($F1489:$J1489))</f>
        <v/>
      </c>
      <c r="L1489" s="18" t="str">
        <f aca="false">IF(COUNT($F1489:$J1489)=0,"",MAX($F1489:$J1489))</f>
        <v/>
      </c>
      <c r="M1489" s="18" t="str">
        <f aca="false">IFERROR(IF(OR($C1489="",COUNT($F1489:$J1489)&lt;3),"",IF(N(INDEX(Lists!$C$2:$C$40,MATCH($C1489,Lists!$A$2:$A$40,0)))=0,"",IF(MIN($F1489:$J1489)&gt;=INDEX(Lists!$C$2:$C$40,MATCH($C1489,Lists!$A$2:$A$40,0)),"LEVEL UP",""))),"")</f>
        <v/>
      </c>
      <c r="N1489" s="20"/>
      <c r="O1489" s="19"/>
    </row>
    <row r="1490" customFormat="false" ht="15" hidden="false" customHeight="false" outlineLevel="0" collapsed="false">
      <c r="A1490" s="17"/>
      <c r="B1490" s="18" t="str">
        <f aca="false">IF($A1490="","",TEXT($A1490,"ddd"))</f>
        <v/>
      </c>
      <c r="C1490" s="19"/>
      <c r="D1490" s="19"/>
      <c r="E1490" s="18" t="str">
        <f aca="false">IF($C1490="","",IFERROR(INDEX(Lists!$B$2:$B$40,MATCH($C1490,Lists!$A$2:$A$40,0)),""))</f>
        <v/>
      </c>
      <c r="F1490" s="20"/>
      <c r="G1490" s="20"/>
      <c r="H1490" s="20"/>
      <c r="I1490" s="20"/>
      <c r="J1490" s="20"/>
      <c r="K1490" s="18" t="str">
        <f aca="false">IF(COUNT($F1490:$J1490)=0,"",SUM($F1490:$J1490))</f>
        <v/>
      </c>
      <c r="L1490" s="18" t="str">
        <f aca="false">IF(COUNT($F1490:$J1490)=0,"",MAX($F1490:$J1490))</f>
        <v/>
      </c>
      <c r="M1490" s="18" t="str">
        <f aca="false">IFERROR(IF(OR($C1490="",COUNT($F1490:$J1490)&lt;3),"",IF(N(INDEX(Lists!$C$2:$C$40,MATCH($C1490,Lists!$A$2:$A$40,0)))=0,"",IF(MIN($F1490:$J1490)&gt;=INDEX(Lists!$C$2:$C$40,MATCH($C1490,Lists!$A$2:$A$40,0)),"LEVEL UP",""))),"")</f>
        <v/>
      </c>
      <c r="N1490" s="20"/>
      <c r="O1490" s="19"/>
    </row>
    <row r="1491" customFormat="false" ht="15" hidden="false" customHeight="false" outlineLevel="0" collapsed="false">
      <c r="A1491" s="17"/>
      <c r="B1491" s="18" t="str">
        <f aca="false">IF($A1491="","",TEXT($A1491,"ddd"))</f>
        <v/>
      </c>
      <c r="C1491" s="19"/>
      <c r="D1491" s="19"/>
      <c r="E1491" s="18" t="str">
        <f aca="false">IF($C1491="","",IFERROR(INDEX(Lists!$B$2:$B$40,MATCH($C1491,Lists!$A$2:$A$40,0)),""))</f>
        <v/>
      </c>
      <c r="F1491" s="20"/>
      <c r="G1491" s="20"/>
      <c r="H1491" s="20"/>
      <c r="I1491" s="20"/>
      <c r="J1491" s="20"/>
      <c r="K1491" s="18" t="str">
        <f aca="false">IF(COUNT($F1491:$J1491)=0,"",SUM($F1491:$J1491))</f>
        <v/>
      </c>
      <c r="L1491" s="18" t="str">
        <f aca="false">IF(COUNT($F1491:$J1491)=0,"",MAX($F1491:$J1491))</f>
        <v/>
      </c>
      <c r="M1491" s="18" t="str">
        <f aca="false">IFERROR(IF(OR($C1491="",COUNT($F1491:$J1491)&lt;3),"",IF(N(INDEX(Lists!$C$2:$C$40,MATCH($C1491,Lists!$A$2:$A$40,0)))=0,"",IF(MIN($F1491:$J1491)&gt;=INDEX(Lists!$C$2:$C$40,MATCH($C1491,Lists!$A$2:$A$40,0)),"LEVEL UP",""))),"")</f>
        <v/>
      </c>
      <c r="N1491" s="20"/>
      <c r="O1491" s="19"/>
    </row>
    <row r="1492" customFormat="false" ht="15" hidden="false" customHeight="false" outlineLevel="0" collapsed="false">
      <c r="A1492" s="17"/>
      <c r="B1492" s="18" t="str">
        <f aca="false">IF($A1492="","",TEXT($A1492,"ddd"))</f>
        <v/>
      </c>
      <c r="C1492" s="19"/>
      <c r="D1492" s="19"/>
      <c r="E1492" s="18" t="str">
        <f aca="false">IF($C1492="","",IFERROR(INDEX(Lists!$B$2:$B$40,MATCH($C1492,Lists!$A$2:$A$40,0)),""))</f>
        <v/>
      </c>
      <c r="F1492" s="20"/>
      <c r="G1492" s="20"/>
      <c r="H1492" s="20"/>
      <c r="I1492" s="20"/>
      <c r="J1492" s="20"/>
      <c r="K1492" s="18" t="str">
        <f aca="false">IF(COUNT($F1492:$J1492)=0,"",SUM($F1492:$J1492))</f>
        <v/>
      </c>
      <c r="L1492" s="18" t="str">
        <f aca="false">IF(COUNT($F1492:$J1492)=0,"",MAX($F1492:$J1492))</f>
        <v/>
      </c>
      <c r="M1492" s="18" t="str">
        <f aca="false">IFERROR(IF(OR($C1492="",COUNT($F1492:$J1492)&lt;3),"",IF(N(INDEX(Lists!$C$2:$C$40,MATCH($C1492,Lists!$A$2:$A$40,0)))=0,"",IF(MIN($F1492:$J1492)&gt;=INDEX(Lists!$C$2:$C$40,MATCH($C1492,Lists!$A$2:$A$40,0)),"LEVEL UP",""))),"")</f>
        <v/>
      </c>
      <c r="N1492" s="20"/>
      <c r="O1492" s="19"/>
    </row>
    <row r="1493" customFormat="false" ht="15" hidden="false" customHeight="false" outlineLevel="0" collapsed="false">
      <c r="A1493" s="17"/>
      <c r="B1493" s="18" t="str">
        <f aca="false">IF($A1493="","",TEXT($A1493,"ddd"))</f>
        <v/>
      </c>
      <c r="C1493" s="19"/>
      <c r="D1493" s="19"/>
      <c r="E1493" s="18" t="str">
        <f aca="false">IF($C1493="","",IFERROR(INDEX(Lists!$B$2:$B$40,MATCH($C1493,Lists!$A$2:$A$40,0)),""))</f>
        <v/>
      </c>
      <c r="F1493" s="20"/>
      <c r="G1493" s="20"/>
      <c r="H1493" s="20"/>
      <c r="I1493" s="20"/>
      <c r="J1493" s="20"/>
      <c r="K1493" s="18" t="str">
        <f aca="false">IF(COUNT($F1493:$J1493)=0,"",SUM($F1493:$J1493))</f>
        <v/>
      </c>
      <c r="L1493" s="18" t="str">
        <f aca="false">IF(COUNT($F1493:$J1493)=0,"",MAX($F1493:$J1493))</f>
        <v/>
      </c>
      <c r="M1493" s="18" t="str">
        <f aca="false">IFERROR(IF(OR($C1493="",COUNT($F1493:$J1493)&lt;3),"",IF(N(INDEX(Lists!$C$2:$C$40,MATCH($C1493,Lists!$A$2:$A$40,0)))=0,"",IF(MIN($F1493:$J1493)&gt;=INDEX(Lists!$C$2:$C$40,MATCH($C1493,Lists!$A$2:$A$40,0)),"LEVEL UP",""))),"")</f>
        <v/>
      </c>
      <c r="N1493" s="20"/>
      <c r="O1493" s="19"/>
    </row>
    <row r="1494" customFormat="false" ht="15" hidden="false" customHeight="false" outlineLevel="0" collapsed="false">
      <c r="A1494" s="17"/>
      <c r="B1494" s="18" t="str">
        <f aca="false">IF($A1494="","",TEXT($A1494,"ddd"))</f>
        <v/>
      </c>
      <c r="C1494" s="19"/>
      <c r="D1494" s="19"/>
      <c r="E1494" s="18" t="str">
        <f aca="false">IF($C1494="","",IFERROR(INDEX(Lists!$B$2:$B$40,MATCH($C1494,Lists!$A$2:$A$40,0)),""))</f>
        <v/>
      </c>
      <c r="F1494" s="20"/>
      <c r="G1494" s="20"/>
      <c r="H1494" s="20"/>
      <c r="I1494" s="20"/>
      <c r="J1494" s="20"/>
      <c r="K1494" s="18" t="str">
        <f aca="false">IF(COUNT($F1494:$J1494)=0,"",SUM($F1494:$J1494))</f>
        <v/>
      </c>
      <c r="L1494" s="18" t="str">
        <f aca="false">IF(COUNT($F1494:$J1494)=0,"",MAX($F1494:$J1494))</f>
        <v/>
      </c>
      <c r="M1494" s="18" t="str">
        <f aca="false">IFERROR(IF(OR($C1494="",COUNT($F1494:$J1494)&lt;3),"",IF(N(INDEX(Lists!$C$2:$C$40,MATCH($C1494,Lists!$A$2:$A$40,0)))=0,"",IF(MIN($F1494:$J1494)&gt;=INDEX(Lists!$C$2:$C$40,MATCH($C1494,Lists!$A$2:$A$40,0)),"LEVEL UP",""))),"")</f>
        <v/>
      </c>
      <c r="N1494" s="20"/>
      <c r="O1494" s="19"/>
    </row>
    <row r="1495" customFormat="false" ht="15" hidden="false" customHeight="false" outlineLevel="0" collapsed="false">
      <c r="A1495" s="17"/>
      <c r="B1495" s="18" t="str">
        <f aca="false">IF($A1495="","",TEXT($A1495,"ddd"))</f>
        <v/>
      </c>
      <c r="C1495" s="19"/>
      <c r="D1495" s="19"/>
      <c r="E1495" s="18" t="str">
        <f aca="false">IF($C1495="","",IFERROR(INDEX(Lists!$B$2:$B$40,MATCH($C1495,Lists!$A$2:$A$40,0)),""))</f>
        <v/>
      </c>
      <c r="F1495" s="20"/>
      <c r="G1495" s="20"/>
      <c r="H1495" s="20"/>
      <c r="I1495" s="20"/>
      <c r="J1495" s="20"/>
      <c r="K1495" s="18" t="str">
        <f aca="false">IF(COUNT($F1495:$J1495)=0,"",SUM($F1495:$J1495))</f>
        <v/>
      </c>
      <c r="L1495" s="18" t="str">
        <f aca="false">IF(COUNT($F1495:$J1495)=0,"",MAX($F1495:$J1495))</f>
        <v/>
      </c>
      <c r="M1495" s="18" t="str">
        <f aca="false">IFERROR(IF(OR($C1495="",COUNT($F1495:$J1495)&lt;3),"",IF(N(INDEX(Lists!$C$2:$C$40,MATCH($C1495,Lists!$A$2:$A$40,0)))=0,"",IF(MIN($F1495:$J1495)&gt;=INDEX(Lists!$C$2:$C$40,MATCH($C1495,Lists!$A$2:$A$40,0)),"LEVEL UP",""))),"")</f>
        <v/>
      </c>
      <c r="N1495" s="20"/>
      <c r="O1495" s="19"/>
    </row>
    <row r="1496" customFormat="false" ht="15" hidden="false" customHeight="false" outlineLevel="0" collapsed="false">
      <c r="A1496" s="17"/>
      <c r="B1496" s="18" t="str">
        <f aca="false">IF($A1496="","",TEXT($A1496,"ddd"))</f>
        <v/>
      </c>
      <c r="C1496" s="19"/>
      <c r="D1496" s="19"/>
      <c r="E1496" s="18" t="str">
        <f aca="false">IF($C1496="","",IFERROR(INDEX(Lists!$B$2:$B$40,MATCH($C1496,Lists!$A$2:$A$40,0)),""))</f>
        <v/>
      </c>
      <c r="F1496" s="20"/>
      <c r="G1496" s="20"/>
      <c r="H1496" s="20"/>
      <c r="I1496" s="20"/>
      <c r="J1496" s="20"/>
      <c r="K1496" s="18" t="str">
        <f aca="false">IF(COUNT($F1496:$J1496)=0,"",SUM($F1496:$J1496))</f>
        <v/>
      </c>
      <c r="L1496" s="18" t="str">
        <f aca="false">IF(COUNT($F1496:$J1496)=0,"",MAX($F1496:$J1496))</f>
        <v/>
      </c>
      <c r="M1496" s="18" t="str">
        <f aca="false">IFERROR(IF(OR($C1496="",COUNT($F1496:$J1496)&lt;3),"",IF(N(INDEX(Lists!$C$2:$C$40,MATCH($C1496,Lists!$A$2:$A$40,0)))=0,"",IF(MIN($F1496:$J1496)&gt;=INDEX(Lists!$C$2:$C$40,MATCH($C1496,Lists!$A$2:$A$40,0)),"LEVEL UP",""))),"")</f>
        <v/>
      </c>
      <c r="N1496" s="20"/>
      <c r="O1496" s="19"/>
    </row>
    <row r="1497" customFormat="false" ht="15" hidden="false" customHeight="false" outlineLevel="0" collapsed="false">
      <c r="A1497" s="17"/>
      <c r="B1497" s="18" t="str">
        <f aca="false">IF($A1497="","",TEXT($A1497,"ddd"))</f>
        <v/>
      </c>
      <c r="C1497" s="19"/>
      <c r="D1497" s="19"/>
      <c r="E1497" s="18" t="str">
        <f aca="false">IF($C1497="","",IFERROR(INDEX(Lists!$B$2:$B$40,MATCH($C1497,Lists!$A$2:$A$40,0)),""))</f>
        <v/>
      </c>
      <c r="F1497" s="20"/>
      <c r="G1497" s="20"/>
      <c r="H1497" s="20"/>
      <c r="I1497" s="20"/>
      <c r="J1497" s="20"/>
      <c r="K1497" s="18" t="str">
        <f aca="false">IF(COUNT($F1497:$J1497)=0,"",SUM($F1497:$J1497))</f>
        <v/>
      </c>
      <c r="L1497" s="18" t="str">
        <f aca="false">IF(COUNT($F1497:$J1497)=0,"",MAX($F1497:$J1497))</f>
        <v/>
      </c>
      <c r="M1497" s="18" t="str">
        <f aca="false">IFERROR(IF(OR($C1497="",COUNT($F1497:$J1497)&lt;3),"",IF(N(INDEX(Lists!$C$2:$C$40,MATCH($C1497,Lists!$A$2:$A$40,0)))=0,"",IF(MIN($F1497:$J1497)&gt;=INDEX(Lists!$C$2:$C$40,MATCH($C1497,Lists!$A$2:$A$40,0)),"LEVEL UP",""))),"")</f>
        <v/>
      </c>
      <c r="N1497" s="20"/>
      <c r="O1497" s="19"/>
    </row>
    <row r="1498" customFormat="false" ht="15" hidden="false" customHeight="false" outlineLevel="0" collapsed="false">
      <c r="A1498" s="17"/>
      <c r="B1498" s="18" t="str">
        <f aca="false">IF($A1498="","",TEXT($A1498,"ddd"))</f>
        <v/>
      </c>
      <c r="C1498" s="19"/>
      <c r="D1498" s="19"/>
      <c r="E1498" s="18" t="str">
        <f aca="false">IF($C1498="","",IFERROR(INDEX(Lists!$B$2:$B$40,MATCH($C1498,Lists!$A$2:$A$40,0)),""))</f>
        <v/>
      </c>
      <c r="F1498" s="20"/>
      <c r="G1498" s="20"/>
      <c r="H1498" s="20"/>
      <c r="I1498" s="20"/>
      <c r="J1498" s="20"/>
      <c r="K1498" s="18" t="str">
        <f aca="false">IF(COUNT($F1498:$J1498)=0,"",SUM($F1498:$J1498))</f>
        <v/>
      </c>
      <c r="L1498" s="18" t="str">
        <f aca="false">IF(COUNT($F1498:$J1498)=0,"",MAX($F1498:$J1498))</f>
        <v/>
      </c>
      <c r="M1498" s="18" t="str">
        <f aca="false">IFERROR(IF(OR($C1498="",COUNT($F1498:$J1498)&lt;3),"",IF(N(INDEX(Lists!$C$2:$C$40,MATCH($C1498,Lists!$A$2:$A$40,0)))=0,"",IF(MIN($F1498:$J1498)&gt;=INDEX(Lists!$C$2:$C$40,MATCH($C1498,Lists!$A$2:$A$40,0)),"LEVEL UP",""))),"")</f>
        <v/>
      </c>
      <c r="N1498" s="20"/>
      <c r="O1498" s="19"/>
    </row>
    <row r="1499" customFormat="false" ht="15" hidden="false" customHeight="false" outlineLevel="0" collapsed="false">
      <c r="A1499" s="17"/>
      <c r="B1499" s="18" t="str">
        <f aca="false">IF($A1499="","",TEXT($A1499,"ddd"))</f>
        <v/>
      </c>
      <c r="C1499" s="19"/>
      <c r="D1499" s="19"/>
      <c r="E1499" s="18" t="str">
        <f aca="false">IF($C1499="","",IFERROR(INDEX(Lists!$B$2:$B$40,MATCH($C1499,Lists!$A$2:$A$40,0)),""))</f>
        <v/>
      </c>
      <c r="F1499" s="20"/>
      <c r="G1499" s="20"/>
      <c r="H1499" s="20"/>
      <c r="I1499" s="20"/>
      <c r="J1499" s="20"/>
      <c r="K1499" s="18" t="str">
        <f aca="false">IF(COUNT($F1499:$J1499)=0,"",SUM($F1499:$J1499))</f>
        <v/>
      </c>
      <c r="L1499" s="18" t="str">
        <f aca="false">IF(COUNT($F1499:$J1499)=0,"",MAX($F1499:$J1499))</f>
        <v/>
      </c>
      <c r="M1499" s="18" t="str">
        <f aca="false">IFERROR(IF(OR($C1499="",COUNT($F1499:$J1499)&lt;3),"",IF(N(INDEX(Lists!$C$2:$C$40,MATCH($C1499,Lists!$A$2:$A$40,0)))=0,"",IF(MIN($F1499:$J1499)&gt;=INDEX(Lists!$C$2:$C$40,MATCH($C1499,Lists!$A$2:$A$40,0)),"LEVEL UP",""))),"")</f>
        <v/>
      </c>
      <c r="N1499" s="20"/>
      <c r="O1499" s="19"/>
    </row>
    <row r="1500" customFormat="false" ht="15" hidden="false" customHeight="false" outlineLevel="0" collapsed="false">
      <c r="A1500" s="17"/>
      <c r="B1500" s="18" t="str">
        <f aca="false">IF($A1500="","",TEXT($A1500,"ddd"))</f>
        <v/>
      </c>
      <c r="C1500" s="19"/>
      <c r="D1500" s="19"/>
      <c r="E1500" s="18" t="str">
        <f aca="false">IF($C1500="","",IFERROR(INDEX(Lists!$B$2:$B$40,MATCH($C1500,Lists!$A$2:$A$40,0)),""))</f>
        <v/>
      </c>
      <c r="F1500" s="20"/>
      <c r="G1500" s="20"/>
      <c r="H1500" s="20"/>
      <c r="I1500" s="20"/>
      <c r="J1500" s="20"/>
      <c r="K1500" s="18" t="str">
        <f aca="false">IF(COUNT($F1500:$J1500)=0,"",SUM($F1500:$J1500))</f>
        <v/>
      </c>
      <c r="L1500" s="18" t="str">
        <f aca="false">IF(COUNT($F1500:$J1500)=0,"",MAX($F1500:$J1500))</f>
        <v/>
      </c>
      <c r="M1500" s="18" t="str">
        <f aca="false">IFERROR(IF(OR($C1500="",COUNT($F1500:$J1500)&lt;3),"",IF(N(INDEX(Lists!$C$2:$C$40,MATCH($C1500,Lists!$A$2:$A$40,0)))=0,"",IF(MIN($F1500:$J1500)&gt;=INDEX(Lists!$C$2:$C$40,MATCH($C1500,Lists!$A$2:$A$40,0)),"LEVEL UP",""))),"")</f>
        <v/>
      </c>
      <c r="N1500" s="20"/>
      <c r="O1500" s="19"/>
    </row>
    <row r="1501" customFormat="false" ht="15" hidden="false" customHeight="false" outlineLevel="0" collapsed="false">
      <c r="A1501" s="17"/>
      <c r="B1501" s="18" t="str">
        <f aca="false">IF($A1501="","",TEXT($A1501,"ddd"))</f>
        <v/>
      </c>
      <c r="C1501" s="19"/>
      <c r="D1501" s="19"/>
      <c r="E1501" s="18" t="str">
        <f aca="false">IF($C1501="","",IFERROR(INDEX(Lists!$B$2:$B$40,MATCH($C1501,Lists!$A$2:$A$40,0)),""))</f>
        <v/>
      </c>
      <c r="F1501" s="20"/>
      <c r="G1501" s="20"/>
      <c r="H1501" s="20"/>
      <c r="I1501" s="20"/>
      <c r="J1501" s="20"/>
      <c r="K1501" s="18" t="str">
        <f aca="false">IF(COUNT($F1501:$J1501)=0,"",SUM($F1501:$J1501))</f>
        <v/>
      </c>
      <c r="L1501" s="18" t="str">
        <f aca="false">IF(COUNT($F1501:$J1501)=0,"",MAX($F1501:$J1501))</f>
        <v/>
      </c>
      <c r="M1501" s="18" t="str">
        <f aca="false">IFERROR(IF(OR($C1501="",COUNT($F1501:$J1501)&lt;3),"",IF(N(INDEX(Lists!$C$2:$C$40,MATCH($C1501,Lists!$A$2:$A$40,0)))=0,"",IF(MIN($F1501:$J1501)&gt;=INDEX(Lists!$C$2:$C$40,MATCH($C1501,Lists!$A$2:$A$40,0)),"LEVEL UP",""))),"")</f>
        <v/>
      </c>
      <c r="N1501" s="20"/>
      <c r="O1501" s="19"/>
    </row>
    <row r="1502" customFormat="false" ht="15" hidden="false" customHeight="false" outlineLevel="0" collapsed="false">
      <c r="A1502" s="17"/>
      <c r="B1502" s="18" t="str">
        <f aca="false">IF($A1502="","",TEXT($A1502,"ddd"))</f>
        <v/>
      </c>
      <c r="C1502" s="19"/>
      <c r="D1502" s="19"/>
      <c r="E1502" s="18" t="str">
        <f aca="false">IF($C1502="","",IFERROR(INDEX(Lists!$B$2:$B$40,MATCH($C1502,Lists!$A$2:$A$40,0)),""))</f>
        <v/>
      </c>
      <c r="F1502" s="20"/>
      <c r="G1502" s="20"/>
      <c r="H1502" s="20"/>
      <c r="I1502" s="20"/>
      <c r="J1502" s="20"/>
      <c r="K1502" s="18" t="str">
        <f aca="false">IF(COUNT($F1502:$J1502)=0,"",SUM($F1502:$J1502))</f>
        <v/>
      </c>
      <c r="L1502" s="18" t="str">
        <f aca="false">IF(COUNT($F1502:$J1502)=0,"",MAX($F1502:$J1502))</f>
        <v/>
      </c>
      <c r="M1502" s="18" t="str">
        <f aca="false">IFERROR(IF(OR($C1502="",COUNT($F1502:$J1502)&lt;3),"",IF(N(INDEX(Lists!$C$2:$C$40,MATCH($C1502,Lists!$A$2:$A$40,0)))=0,"",IF(MIN($F1502:$J1502)&gt;=INDEX(Lists!$C$2:$C$40,MATCH($C1502,Lists!$A$2:$A$40,0)),"LEVEL UP",""))),"")</f>
        <v/>
      </c>
      <c r="N1502" s="20"/>
      <c r="O1502" s="19"/>
    </row>
    <row r="1503" customFormat="false" ht="15" hidden="false" customHeight="false" outlineLevel="0" collapsed="false">
      <c r="A1503" s="17"/>
      <c r="B1503" s="18" t="str">
        <f aca="false">IF($A1503="","",TEXT($A1503,"ddd"))</f>
        <v/>
      </c>
      <c r="C1503" s="19"/>
      <c r="D1503" s="19"/>
      <c r="E1503" s="18" t="str">
        <f aca="false">IF($C1503="","",IFERROR(INDEX(Lists!$B$2:$B$40,MATCH($C1503,Lists!$A$2:$A$40,0)),""))</f>
        <v/>
      </c>
      <c r="F1503" s="20"/>
      <c r="G1503" s="20"/>
      <c r="H1503" s="20"/>
      <c r="I1503" s="20"/>
      <c r="J1503" s="20"/>
      <c r="K1503" s="18" t="str">
        <f aca="false">IF(COUNT($F1503:$J1503)=0,"",SUM($F1503:$J1503))</f>
        <v/>
      </c>
      <c r="L1503" s="18" t="str">
        <f aca="false">IF(COUNT($F1503:$J1503)=0,"",MAX($F1503:$J1503))</f>
        <v/>
      </c>
      <c r="M1503" s="18" t="str">
        <f aca="false">IFERROR(IF(OR($C1503="",COUNT($F1503:$J1503)&lt;3),"",IF(N(INDEX(Lists!$C$2:$C$40,MATCH($C1503,Lists!$A$2:$A$40,0)))=0,"",IF(MIN($F1503:$J1503)&gt;=INDEX(Lists!$C$2:$C$40,MATCH($C1503,Lists!$A$2:$A$40,0)),"LEVEL UP",""))),"")</f>
        <v/>
      </c>
      <c r="N1503" s="20"/>
      <c r="O1503" s="19"/>
    </row>
    <row r="1504" customFormat="false" ht="15" hidden="false" customHeight="false" outlineLevel="0" collapsed="false">
      <c r="A1504" s="17"/>
      <c r="B1504" s="18" t="str">
        <f aca="false">IF($A1504="","",TEXT($A1504,"ddd"))</f>
        <v/>
      </c>
      <c r="C1504" s="19"/>
      <c r="D1504" s="19"/>
      <c r="E1504" s="18" t="str">
        <f aca="false">IF($C1504="","",IFERROR(INDEX(Lists!$B$2:$B$40,MATCH($C1504,Lists!$A$2:$A$40,0)),""))</f>
        <v/>
      </c>
      <c r="F1504" s="20"/>
      <c r="G1504" s="20"/>
      <c r="H1504" s="20"/>
      <c r="I1504" s="20"/>
      <c r="J1504" s="20"/>
      <c r="K1504" s="18" t="str">
        <f aca="false">IF(COUNT($F1504:$J1504)=0,"",SUM($F1504:$J1504))</f>
        <v/>
      </c>
      <c r="L1504" s="18" t="str">
        <f aca="false">IF(COUNT($F1504:$J1504)=0,"",MAX($F1504:$J1504))</f>
        <v/>
      </c>
      <c r="M1504" s="18" t="str">
        <f aca="false">IFERROR(IF(OR($C1504="",COUNT($F1504:$J1504)&lt;3),"",IF(N(INDEX(Lists!$C$2:$C$40,MATCH($C1504,Lists!$A$2:$A$40,0)))=0,"",IF(MIN($F1504:$J1504)&gt;=INDEX(Lists!$C$2:$C$40,MATCH($C1504,Lists!$A$2:$A$40,0)),"LEVEL UP",""))),"")</f>
        <v/>
      </c>
      <c r="N1504" s="20"/>
      <c r="O1504" s="19"/>
    </row>
  </sheetData>
  <conditionalFormatting sqref="M5:M1504">
    <cfRule type="cellIs" priority="2" operator="equal" aboveAverage="0" equalAverage="0" bottom="0" percent="0" rank="0" text="" dxfId="0">
      <formula>"LEVEL UP"</formula>
    </cfRule>
  </conditionalFormatting>
  <dataValidations count="4">
    <dataValidation allowBlank="true" error="Choose an exercise from the dropdown (edit names on the Lists sheet)." errorStyle="stop" errorTitle="Pick from list" operator="between" showDropDown="false" showErrorMessage="true" showInputMessage="false" sqref="C5:C1504" type="list">
      <formula1>Lists!$A$2:$A$40</formula1>
      <formula2>0</formula2>
    </dataValidation>
    <dataValidation allowBlank="true" error="Enter a whole number (reps or seconds)." errorStyle="stop" operator="greaterThanOrEqual" showDropDown="false" showErrorMessage="true" showInputMessage="false" sqref="F5:J1504" type="whole">
      <formula1>0</formula1>
      <formula2>0</formula2>
    </dataValidation>
    <dataValidation allowBlank="true" error="RPE is 1 to 10." errorStyle="stop" operator="between" showDropDown="false" showErrorMessage="true" showInputMessage="false" sqref="N5:N1504" type="whole">
      <formula1>1</formula1>
      <formula2>10</formula2>
    </dataValidation>
    <dataValidation allowBlank="true" error="Enter a valid date, e.g. 05-Oct-26." errorStyle="stop" operator="greaterThan" showDropDown="false" showErrorMessage="true" showInputMessage="false" sqref="A5:A15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8" min="3" style="0" width="7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3" customFormat="false" ht="15" hidden="false" customHeight="false" outlineLevel="0" collapsed="false">
      <c r="A3" s="21" t="s">
        <v>155</v>
      </c>
      <c r="C3" s="21" t="s">
        <v>156</v>
      </c>
      <c r="E3" s="21" t="s">
        <v>157</v>
      </c>
    </row>
    <row r="4" customFormat="false" ht="17.35" hidden="false" customHeight="false" outlineLevel="0" collapsed="false">
      <c r="A4" s="22" t="n">
        <f aca="false">SUM(J7:J32)</f>
        <v>0</v>
      </c>
      <c r="C4" s="23" t="n">
        <f aca="false">IFERROR(A4/('Start Here'!$C$5*'Start Here'!$C$6),0)</f>
        <v>0</v>
      </c>
      <c r="E4" s="22" t="n">
        <f aca="false">COUNTIF(J7:J32,"&gt;=5")</f>
        <v>0</v>
      </c>
      <c r="G4" s="2" t="s">
        <v>158</v>
      </c>
    </row>
    <row r="6" customFormat="false" ht="15" hidden="false" customHeight="false" outlineLevel="0" collapsed="false">
      <c r="A6" s="11" t="s">
        <v>159</v>
      </c>
      <c r="B6" s="11" t="s">
        <v>160</v>
      </c>
      <c r="C6" s="11" t="s">
        <v>161</v>
      </c>
      <c r="D6" s="11" t="s">
        <v>162</v>
      </c>
      <c r="E6" s="11" t="s">
        <v>163</v>
      </c>
      <c r="F6" s="11" t="s">
        <v>164</v>
      </c>
      <c r="G6" s="11" t="s">
        <v>165</v>
      </c>
      <c r="H6" s="11" t="s">
        <v>166</v>
      </c>
      <c r="I6" s="11" t="s">
        <v>167</v>
      </c>
      <c r="J6" s="11" t="s">
        <v>168</v>
      </c>
      <c r="K6" s="11" t="s">
        <v>169</v>
      </c>
      <c r="L6" s="11" t="s">
        <v>170</v>
      </c>
      <c r="M6" s="11" t="s">
        <v>152</v>
      </c>
    </row>
    <row r="7" customFormat="false" ht="15" hidden="false" customHeight="false" outlineLevel="0" collapsed="false">
      <c r="A7" s="18" t="n">
        <v>1</v>
      </c>
      <c r="B7" s="24" t="n">
        <f aca="false">'Start Here'!$C$4+7*(A7-1)</f>
        <v>46300</v>
      </c>
      <c r="C7" s="18" t="str">
        <f aca="false">IF(COUNTIF(Log!$A$5:$A$1504,$B7+0)&gt;0,"✓","")</f>
        <v/>
      </c>
      <c r="D7" s="18" t="str">
        <f aca="false">IF(COUNTIF(Log!$A$5:$A$1504,$B7+1)&gt;0,"✓","")</f>
        <v/>
      </c>
      <c r="E7" s="18" t="str">
        <f aca="false">IF(COUNTIF(Log!$A$5:$A$1504,$B7+2)&gt;0,"✓","")</f>
        <v/>
      </c>
      <c r="F7" s="18" t="str">
        <f aca="false">IF(COUNTIF(Log!$A$5:$A$1504,$B7+3)&gt;0,"✓","")</f>
        <v/>
      </c>
      <c r="G7" s="18" t="str">
        <f aca="false">IF(COUNTIF(Log!$A$5:$A$1504,$B7+4)&gt;0,"✓","")</f>
        <v/>
      </c>
      <c r="H7" s="18" t="str">
        <f aca="false">IF(COUNTIF(Log!$A$5:$A$1504,$B7+5)&gt;0,"✓","")</f>
        <v/>
      </c>
      <c r="I7" s="20"/>
      <c r="J7" s="18" t="n">
        <f aca="false">COUNTIF(C7:H7,"✓")</f>
        <v>0</v>
      </c>
      <c r="K7" s="18" t="n">
        <f aca="false">'Start Here'!$C$5</f>
        <v>6</v>
      </c>
      <c r="L7" s="25" t="n">
        <f aca="true">IF($B7&gt;TODAY(),"",J7/K7)</f>
        <v>0</v>
      </c>
      <c r="M7" s="26"/>
    </row>
    <row r="8" customFormat="false" ht="15" hidden="false" customHeight="false" outlineLevel="0" collapsed="false">
      <c r="A8" s="18" t="n">
        <v>2</v>
      </c>
      <c r="B8" s="24" t="n">
        <f aca="false">'Start Here'!$C$4+7*(A8-1)</f>
        <v>46307</v>
      </c>
      <c r="C8" s="18" t="str">
        <f aca="false">IF(COUNTIF(Log!$A$5:$A$1504,$B8+0)&gt;0,"✓","")</f>
        <v/>
      </c>
      <c r="D8" s="18" t="str">
        <f aca="false">IF(COUNTIF(Log!$A$5:$A$1504,$B8+1)&gt;0,"✓","")</f>
        <v/>
      </c>
      <c r="E8" s="18" t="str">
        <f aca="false">IF(COUNTIF(Log!$A$5:$A$1504,$B8+2)&gt;0,"✓","")</f>
        <v/>
      </c>
      <c r="F8" s="18" t="str">
        <f aca="false">IF(COUNTIF(Log!$A$5:$A$1504,$B8+3)&gt;0,"✓","")</f>
        <v/>
      </c>
      <c r="G8" s="18" t="str">
        <f aca="false">IF(COUNTIF(Log!$A$5:$A$1504,$B8+4)&gt;0,"✓","")</f>
        <v/>
      </c>
      <c r="H8" s="18" t="str">
        <f aca="false">IF(COUNTIF(Log!$A$5:$A$1504,$B8+5)&gt;0,"✓","")</f>
        <v/>
      </c>
      <c r="I8" s="20"/>
      <c r="J8" s="18" t="n">
        <f aca="false">COUNTIF(C8:H8,"✓")</f>
        <v>0</v>
      </c>
      <c r="K8" s="18" t="n">
        <f aca="false">'Start Here'!$C$5</f>
        <v>6</v>
      </c>
      <c r="L8" s="25" t="str">
        <f aca="true">IF($B8&gt;TODAY(),"",J8/K8)</f>
        <v/>
      </c>
      <c r="M8" s="26"/>
    </row>
    <row r="9" customFormat="false" ht="15" hidden="false" customHeight="false" outlineLevel="0" collapsed="false">
      <c r="A9" s="18" t="n">
        <v>3</v>
      </c>
      <c r="B9" s="24" t="n">
        <f aca="false">'Start Here'!$C$4+7*(A9-1)</f>
        <v>46314</v>
      </c>
      <c r="C9" s="18" t="str">
        <f aca="false">IF(COUNTIF(Log!$A$5:$A$1504,$B9+0)&gt;0,"✓","")</f>
        <v/>
      </c>
      <c r="D9" s="18" t="str">
        <f aca="false">IF(COUNTIF(Log!$A$5:$A$1504,$B9+1)&gt;0,"✓","")</f>
        <v/>
      </c>
      <c r="E9" s="18" t="str">
        <f aca="false">IF(COUNTIF(Log!$A$5:$A$1504,$B9+2)&gt;0,"✓","")</f>
        <v/>
      </c>
      <c r="F9" s="18" t="str">
        <f aca="false">IF(COUNTIF(Log!$A$5:$A$1504,$B9+3)&gt;0,"✓","")</f>
        <v/>
      </c>
      <c r="G9" s="18" t="str">
        <f aca="false">IF(COUNTIF(Log!$A$5:$A$1504,$B9+4)&gt;0,"✓","")</f>
        <v/>
      </c>
      <c r="H9" s="18" t="str">
        <f aca="false">IF(COUNTIF(Log!$A$5:$A$1504,$B9+5)&gt;0,"✓","")</f>
        <v/>
      </c>
      <c r="I9" s="20"/>
      <c r="J9" s="18" t="n">
        <f aca="false">COUNTIF(C9:H9,"✓")</f>
        <v>0</v>
      </c>
      <c r="K9" s="18" t="n">
        <f aca="false">'Start Here'!$C$5</f>
        <v>6</v>
      </c>
      <c r="L9" s="25" t="str">
        <f aca="true">IF($B9&gt;TODAY(),"",J9/K9)</f>
        <v/>
      </c>
      <c r="M9" s="26"/>
    </row>
    <row r="10" customFormat="false" ht="15" hidden="false" customHeight="false" outlineLevel="0" collapsed="false">
      <c r="A10" s="18" t="n">
        <v>4</v>
      </c>
      <c r="B10" s="24" t="n">
        <f aca="false">'Start Here'!$C$4+7*(A10-1)</f>
        <v>46321</v>
      </c>
      <c r="C10" s="18" t="str">
        <f aca="false">IF(COUNTIF(Log!$A$5:$A$1504,$B10+0)&gt;0,"✓","")</f>
        <v/>
      </c>
      <c r="D10" s="18" t="str">
        <f aca="false">IF(COUNTIF(Log!$A$5:$A$1504,$B10+1)&gt;0,"✓","")</f>
        <v/>
      </c>
      <c r="E10" s="18" t="str">
        <f aca="false">IF(COUNTIF(Log!$A$5:$A$1504,$B10+2)&gt;0,"✓","")</f>
        <v/>
      </c>
      <c r="F10" s="18" t="str">
        <f aca="false">IF(COUNTIF(Log!$A$5:$A$1504,$B10+3)&gt;0,"✓","")</f>
        <v/>
      </c>
      <c r="G10" s="18" t="str">
        <f aca="false">IF(COUNTIF(Log!$A$5:$A$1504,$B10+4)&gt;0,"✓","")</f>
        <v/>
      </c>
      <c r="H10" s="18" t="str">
        <f aca="false">IF(COUNTIF(Log!$A$5:$A$1504,$B10+5)&gt;0,"✓","")</f>
        <v/>
      </c>
      <c r="I10" s="20"/>
      <c r="J10" s="18" t="n">
        <f aca="false">COUNTIF(C10:H10,"✓")</f>
        <v>0</v>
      </c>
      <c r="K10" s="18" t="n">
        <f aca="false">'Start Here'!$C$5</f>
        <v>6</v>
      </c>
      <c r="L10" s="25" t="str">
        <f aca="true">IF($B10&gt;TODAY(),"",J10/K10)</f>
        <v/>
      </c>
      <c r="M10" s="26"/>
    </row>
    <row r="11" customFormat="false" ht="15" hidden="false" customHeight="false" outlineLevel="0" collapsed="false">
      <c r="A11" s="18" t="n">
        <v>5</v>
      </c>
      <c r="B11" s="24" t="n">
        <f aca="false">'Start Here'!$C$4+7*(A11-1)</f>
        <v>46328</v>
      </c>
      <c r="C11" s="18" t="str">
        <f aca="false">IF(COUNTIF(Log!$A$5:$A$1504,$B11+0)&gt;0,"✓","")</f>
        <v/>
      </c>
      <c r="D11" s="18" t="str">
        <f aca="false">IF(COUNTIF(Log!$A$5:$A$1504,$B11+1)&gt;0,"✓","")</f>
        <v/>
      </c>
      <c r="E11" s="18" t="str">
        <f aca="false">IF(COUNTIF(Log!$A$5:$A$1504,$B11+2)&gt;0,"✓","")</f>
        <v/>
      </c>
      <c r="F11" s="18" t="str">
        <f aca="false">IF(COUNTIF(Log!$A$5:$A$1504,$B11+3)&gt;0,"✓","")</f>
        <v/>
      </c>
      <c r="G11" s="18" t="str">
        <f aca="false">IF(COUNTIF(Log!$A$5:$A$1504,$B11+4)&gt;0,"✓","")</f>
        <v/>
      </c>
      <c r="H11" s="18" t="str">
        <f aca="false">IF(COUNTIF(Log!$A$5:$A$1504,$B11+5)&gt;0,"✓","")</f>
        <v/>
      </c>
      <c r="I11" s="20"/>
      <c r="J11" s="18" t="n">
        <f aca="false">COUNTIF(C11:H11,"✓")</f>
        <v>0</v>
      </c>
      <c r="K11" s="18" t="n">
        <f aca="false">'Start Here'!$C$5</f>
        <v>6</v>
      </c>
      <c r="L11" s="25" t="str">
        <f aca="true">IF($B11&gt;TODAY(),"",J11/K11)</f>
        <v/>
      </c>
      <c r="M11" s="26"/>
    </row>
    <row r="12" customFormat="false" ht="15" hidden="false" customHeight="false" outlineLevel="0" collapsed="false">
      <c r="A12" s="18" t="n">
        <v>6</v>
      </c>
      <c r="B12" s="24" t="n">
        <f aca="false">'Start Here'!$C$4+7*(A12-1)</f>
        <v>46335</v>
      </c>
      <c r="C12" s="18" t="str">
        <f aca="false">IF(COUNTIF(Log!$A$5:$A$1504,$B12+0)&gt;0,"✓","")</f>
        <v/>
      </c>
      <c r="D12" s="18" t="str">
        <f aca="false">IF(COUNTIF(Log!$A$5:$A$1504,$B12+1)&gt;0,"✓","")</f>
        <v/>
      </c>
      <c r="E12" s="18" t="str">
        <f aca="false">IF(COUNTIF(Log!$A$5:$A$1504,$B12+2)&gt;0,"✓","")</f>
        <v/>
      </c>
      <c r="F12" s="18" t="str">
        <f aca="false">IF(COUNTIF(Log!$A$5:$A$1504,$B12+3)&gt;0,"✓","")</f>
        <v/>
      </c>
      <c r="G12" s="18" t="str">
        <f aca="false">IF(COUNTIF(Log!$A$5:$A$1504,$B12+4)&gt;0,"✓","")</f>
        <v/>
      </c>
      <c r="H12" s="18" t="str">
        <f aca="false">IF(COUNTIF(Log!$A$5:$A$1504,$B12+5)&gt;0,"✓","")</f>
        <v/>
      </c>
      <c r="I12" s="20"/>
      <c r="J12" s="18" t="n">
        <f aca="false">COUNTIF(C12:H12,"✓")</f>
        <v>0</v>
      </c>
      <c r="K12" s="18" t="n">
        <f aca="false">'Start Here'!$C$5</f>
        <v>6</v>
      </c>
      <c r="L12" s="25" t="str">
        <f aca="true">IF($B12&gt;TODAY(),"",J12/K12)</f>
        <v/>
      </c>
      <c r="M12" s="26"/>
    </row>
    <row r="13" customFormat="false" ht="15" hidden="false" customHeight="false" outlineLevel="0" collapsed="false">
      <c r="A13" s="18" t="n">
        <v>7</v>
      </c>
      <c r="B13" s="24" t="n">
        <f aca="false">'Start Here'!$C$4+7*(A13-1)</f>
        <v>46342</v>
      </c>
      <c r="C13" s="18" t="str">
        <f aca="false">IF(COUNTIF(Log!$A$5:$A$1504,$B13+0)&gt;0,"✓","")</f>
        <v/>
      </c>
      <c r="D13" s="18" t="str">
        <f aca="false">IF(COUNTIF(Log!$A$5:$A$1504,$B13+1)&gt;0,"✓","")</f>
        <v/>
      </c>
      <c r="E13" s="18" t="str">
        <f aca="false">IF(COUNTIF(Log!$A$5:$A$1504,$B13+2)&gt;0,"✓","")</f>
        <v/>
      </c>
      <c r="F13" s="18" t="str">
        <f aca="false">IF(COUNTIF(Log!$A$5:$A$1504,$B13+3)&gt;0,"✓","")</f>
        <v/>
      </c>
      <c r="G13" s="18" t="str">
        <f aca="false">IF(COUNTIF(Log!$A$5:$A$1504,$B13+4)&gt;0,"✓","")</f>
        <v/>
      </c>
      <c r="H13" s="18" t="str">
        <f aca="false">IF(COUNTIF(Log!$A$5:$A$1504,$B13+5)&gt;0,"✓","")</f>
        <v/>
      </c>
      <c r="I13" s="20"/>
      <c r="J13" s="18" t="n">
        <f aca="false">COUNTIF(C13:H13,"✓")</f>
        <v>0</v>
      </c>
      <c r="K13" s="18" t="n">
        <f aca="false">'Start Here'!$C$5</f>
        <v>6</v>
      </c>
      <c r="L13" s="25" t="str">
        <f aca="true">IF($B13&gt;TODAY(),"",J13/K13)</f>
        <v/>
      </c>
      <c r="M13" s="26"/>
    </row>
    <row r="14" customFormat="false" ht="15" hidden="false" customHeight="false" outlineLevel="0" collapsed="false">
      <c r="A14" s="18" t="n">
        <v>8</v>
      </c>
      <c r="B14" s="24" t="n">
        <f aca="false">'Start Here'!$C$4+7*(A14-1)</f>
        <v>46349</v>
      </c>
      <c r="C14" s="18" t="str">
        <f aca="false">IF(COUNTIF(Log!$A$5:$A$1504,$B14+0)&gt;0,"✓","")</f>
        <v/>
      </c>
      <c r="D14" s="18" t="str">
        <f aca="false">IF(COUNTIF(Log!$A$5:$A$1504,$B14+1)&gt;0,"✓","")</f>
        <v/>
      </c>
      <c r="E14" s="18" t="str">
        <f aca="false">IF(COUNTIF(Log!$A$5:$A$1504,$B14+2)&gt;0,"✓","")</f>
        <v/>
      </c>
      <c r="F14" s="18" t="str">
        <f aca="false">IF(COUNTIF(Log!$A$5:$A$1504,$B14+3)&gt;0,"✓","")</f>
        <v/>
      </c>
      <c r="G14" s="18" t="str">
        <f aca="false">IF(COUNTIF(Log!$A$5:$A$1504,$B14+4)&gt;0,"✓","")</f>
        <v/>
      </c>
      <c r="H14" s="18" t="str">
        <f aca="false">IF(COUNTIF(Log!$A$5:$A$1504,$B14+5)&gt;0,"✓","")</f>
        <v/>
      </c>
      <c r="I14" s="20"/>
      <c r="J14" s="18" t="n">
        <f aca="false">COUNTIF(C14:H14,"✓")</f>
        <v>0</v>
      </c>
      <c r="K14" s="18" t="n">
        <f aca="false">'Start Here'!$C$5</f>
        <v>6</v>
      </c>
      <c r="L14" s="25" t="str">
        <f aca="true">IF($B14&gt;TODAY(),"",J14/K14)</f>
        <v/>
      </c>
      <c r="M14" s="26"/>
    </row>
    <row r="15" customFormat="false" ht="15" hidden="false" customHeight="false" outlineLevel="0" collapsed="false">
      <c r="A15" s="18" t="n">
        <v>9</v>
      </c>
      <c r="B15" s="24" t="n">
        <f aca="false">'Start Here'!$C$4+7*(A15-1)</f>
        <v>46356</v>
      </c>
      <c r="C15" s="18" t="str">
        <f aca="false">IF(COUNTIF(Log!$A$5:$A$1504,$B15+0)&gt;0,"✓","")</f>
        <v/>
      </c>
      <c r="D15" s="18" t="str">
        <f aca="false">IF(COUNTIF(Log!$A$5:$A$1504,$B15+1)&gt;0,"✓","")</f>
        <v/>
      </c>
      <c r="E15" s="18" t="str">
        <f aca="false">IF(COUNTIF(Log!$A$5:$A$1504,$B15+2)&gt;0,"✓","")</f>
        <v/>
      </c>
      <c r="F15" s="18" t="str">
        <f aca="false">IF(COUNTIF(Log!$A$5:$A$1504,$B15+3)&gt;0,"✓","")</f>
        <v/>
      </c>
      <c r="G15" s="18" t="str">
        <f aca="false">IF(COUNTIF(Log!$A$5:$A$1504,$B15+4)&gt;0,"✓","")</f>
        <v/>
      </c>
      <c r="H15" s="18" t="str">
        <f aca="false">IF(COUNTIF(Log!$A$5:$A$1504,$B15+5)&gt;0,"✓","")</f>
        <v/>
      </c>
      <c r="I15" s="20"/>
      <c r="J15" s="18" t="n">
        <f aca="false">COUNTIF(C15:H15,"✓")</f>
        <v>0</v>
      </c>
      <c r="K15" s="18" t="n">
        <f aca="false">'Start Here'!$C$5</f>
        <v>6</v>
      </c>
      <c r="L15" s="25" t="str">
        <f aca="true">IF($B15&gt;TODAY(),"",J15/K15)</f>
        <v/>
      </c>
      <c r="M15" s="26"/>
    </row>
    <row r="16" customFormat="false" ht="15" hidden="false" customHeight="false" outlineLevel="0" collapsed="false">
      <c r="A16" s="18" t="n">
        <v>10</v>
      </c>
      <c r="B16" s="24" t="n">
        <f aca="false">'Start Here'!$C$4+7*(A16-1)</f>
        <v>46363</v>
      </c>
      <c r="C16" s="18" t="str">
        <f aca="false">IF(COUNTIF(Log!$A$5:$A$1504,$B16+0)&gt;0,"✓","")</f>
        <v/>
      </c>
      <c r="D16" s="18" t="str">
        <f aca="false">IF(COUNTIF(Log!$A$5:$A$1504,$B16+1)&gt;0,"✓","")</f>
        <v/>
      </c>
      <c r="E16" s="18" t="str">
        <f aca="false">IF(COUNTIF(Log!$A$5:$A$1504,$B16+2)&gt;0,"✓","")</f>
        <v/>
      </c>
      <c r="F16" s="18" t="str">
        <f aca="false">IF(COUNTIF(Log!$A$5:$A$1504,$B16+3)&gt;0,"✓","")</f>
        <v/>
      </c>
      <c r="G16" s="18" t="str">
        <f aca="false">IF(COUNTIF(Log!$A$5:$A$1504,$B16+4)&gt;0,"✓","")</f>
        <v/>
      </c>
      <c r="H16" s="18" t="str">
        <f aca="false">IF(COUNTIF(Log!$A$5:$A$1504,$B16+5)&gt;0,"✓","")</f>
        <v/>
      </c>
      <c r="I16" s="20"/>
      <c r="J16" s="18" t="n">
        <f aca="false">COUNTIF(C16:H16,"✓")</f>
        <v>0</v>
      </c>
      <c r="K16" s="18" t="n">
        <f aca="false">'Start Here'!$C$5</f>
        <v>6</v>
      </c>
      <c r="L16" s="25" t="str">
        <f aca="true">IF($B16&gt;TODAY(),"",J16/K16)</f>
        <v/>
      </c>
      <c r="M16" s="26"/>
    </row>
    <row r="17" customFormat="false" ht="15" hidden="false" customHeight="false" outlineLevel="0" collapsed="false">
      <c r="A17" s="18" t="n">
        <v>11</v>
      </c>
      <c r="B17" s="24" t="n">
        <f aca="false">'Start Here'!$C$4+7*(A17-1)</f>
        <v>46370</v>
      </c>
      <c r="C17" s="18" t="str">
        <f aca="false">IF(COUNTIF(Log!$A$5:$A$1504,$B17+0)&gt;0,"✓","")</f>
        <v/>
      </c>
      <c r="D17" s="18" t="str">
        <f aca="false">IF(COUNTIF(Log!$A$5:$A$1504,$B17+1)&gt;0,"✓","")</f>
        <v/>
      </c>
      <c r="E17" s="18" t="str">
        <f aca="false">IF(COUNTIF(Log!$A$5:$A$1504,$B17+2)&gt;0,"✓","")</f>
        <v/>
      </c>
      <c r="F17" s="18" t="str">
        <f aca="false">IF(COUNTIF(Log!$A$5:$A$1504,$B17+3)&gt;0,"✓","")</f>
        <v/>
      </c>
      <c r="G17" s="18" t="str">
        <f aca="false">IF(COUNTIF(Log!$A$5:$A$1504,$B17+4)&gt;0,"✓","")</f>
        <v/>
      </c>
      <c r="H17" s="18" t="str">
        <f aca="false">IF(COUNTIF(Log!$A$5:$A$1504,$B17+5)&gt;0,"✓","")</f>
        <v/>
      </c>
      <c r="I17" s="20"/>
      <c r="J17" s="18" t="n">
        <f aca="false">COUNTIF(C17:H17,"✓")</f>
        <v>0</v>
      </c>
      <c r="K17" s="18" t="n">
        <f aca="false">'Start Here'!$C$5</f>
        <v>6</v>
      </c>
      <c r="L17" s="25" t="str">
        <f aca="true">IF($B17&gt;TODAY(),"",J17/K17)</f>
        <v/>
      </c>
      <c r="M17" s="26"/>
    </row>
    <row r="18" customFormat="false" ht="15" hidden="false" customHeight="false" outlineLevel="0" collapsed="false">
      <c r="A18" s="18" t="n">
        <v>12</v>
      </c>
      <c r="B18" s="24" t="n">
        <f aca="false">'Start Here'!$C$4+7*(A18-1)</f>
        <v>46377</v>
      </c>
      <c r="C18" s="18" t="str">
        <f aca="false">IF(COUNTIF(Log!$A$5:$A$1504,$B18+0)&gt;0,"✓","")</f>
        <v/>
      </c>
      <c r="D18" s="18" t="str">
        <f aca="false">IF(COUNTIF(Log!$A$5:$A$1504,$B18+1)&gt;0,"✓","")</f>
        <v/>
      </c>
      <c r="E18" s="18" t="str">
        <f aca="false">IF(COUNTIF(Log!$A$5:$A$1504,$B18+2)&gt;0,"✓","")</f>
        <v/>
      </c>
      <c r="F18" s="18" t="str">
        <f aca="false">IF(COUNTIF(Log!$A$5:$A$1504,$B18+3)&gt;0,"✓","")</f>
        <v/>
      </c>
      <c r="G18" s="18" t="str">
        <f aca="false">IF(COUNTIF(Log!$A$5:$A$1504,$B18+4)&gt;0,"✓","")</f>
        <v/>
      </c>
      <c r="H18" s="18" t="str">
        <f aca="false">IF(COUNTIF(Log!$A$5:$A$1504,$B18+5)&gt;0,"✓","")</f>
        <v/>
      </c>
      <c r="I18" s="20"/>
      <c r="J18" s="18" t="n">
        <f aca="false">COUNTIF(C18:H18,"✓")</f>
        <v>0</v>
      </c>
      <c r="K18" s="18" t="n">
        <f aca="false">'Start Here'!$C$5</f>
        <v>6</v>
      </c>
      <c r="L18" s="25" t="str">
        <f aca="true">IF($B18&gt;TODAY(),"",J18/K18)</f>
        <v/>
      </c>
      <c r="M18" s="26"/>
    </row>
    <row r="19" customFormat="false" ht="15" hidden="false" customHeight="false" outlineLevel="0" collapsed="false">
      <c r="A19" s="18" t="n">
        <v>13</v>
      </c>
      <c r="B19" s="24" t="n">
        <f aca="false">'Start Here'!$C$4+7*(A19-1)</f>
        <v>46384</v>
      </c>
      <c r="C19" s="18" t="str">
        <f aca="false">IF(COUNTIF(Log!$A$5:$A$1504,$B19+0)&gt;0,"✓","")</f>
        <v/>
      </c>
      <c r="D19" s="18" t="str">
        <f aca="false">IF(COUNTIF(Log!$A$5:$A$1504,$B19+1)&gt;0,"✓","")</f>
        <v/>
      </c>
      <c r="E19" s="18" t="str">
        <f aca="false">IF(COUNTIF(Log!$A$5:$A$1504,$B19+2)&gt;0,"✓","")</f>
        <v/>
      </c>
      <c r="F19" s="18" t="str">
        <f aca="false">IF(COUNTIF(Log!$A$5:$A$1504,$B19+3)&gt;0,"✓","")</f>
        <v/>
      </c>
      <c r="G19" s="18" t="str">
        <f aca="false">IF(COUNTIF(Log!$A$5:$A$1504,$B19+4)&gt;0,"✓","")</f>
        <v/>
      </c>
      <c r="H19" s="18" t="str">
        <f aca="false">IF(COUNTIF(Log!$A$5:$A$1504,$B19+5)&gt;0,"✓","")</f>
        <v/>
      </c>
      <c r="I19" s="20"/>
      <c r="J19" s="18" t="n">
        <f aca="false">COUNTIF(C19:H19,"✓")</f>
        <v>0</v>
      </c>
      <c r="K19" s="18" t="n">
        <f aca="false">'Start Here'!$C$5</f>
        <v>6</v>
      </c>
      <c r="L19" s="25" t="str">
        <f aca="true">IF($B19&gt;TODAY(),"",J19/K19)</f>
        <v/>
      </c>
      <c r="M19" s="26"/>
    </row>
    <row r="20" customFormat="false" ht="15" hidden="false" customHeight="false" outlineLevel="0" collapsed="false">
      <c r="A20" s="18" t="n">
        <v>14</v>
      </c>
      <c r="B20" s="24" t="n">
        <f aca="false">'Start Here'!$C$4+7*(A20-1)</f>
        <v>46391</v>
      </c>
      <c r="C20" s="18" t="str">
        <f aca="false">IF(COUNTIF(Log!$A$5:$A$1504,$B20+0)&gt;0,"✓","")</f>
        <v/>
      </c>
      <c r="D20" s="18" t="str">
        <f aca="false">IF(COUNTIF(Log!$A$5:$A$1504,$B20+1)&gt;0,"✓","")</f>
        <v/>
      </c>
      <c r="E20" s="18" t="str">
        <f aca="false">IF(COUNTIF(Log!$A$5:$A$1504,$B20+2)&gt;0,"✓","")</f>
        <v/>
      </c>
      <c r="F20" s="18" t="str">
        <f aca="false">IF(COUNTIF(Log!$A$5:$A$1504,$B20+3)&gt;0,"✓","")</f>
        <v/>
      </c>
      <c r="G20" s="18" t="str">
        <f aca="false">IF(COUNTIF(Log!$A$5:$A$1504,$B20+4)&gt;0,"✓","")</f>
        <v/>
      </c>
      <c r="H20" s="18" t="str">
        <f aca="false">IF(COUNTIF(Log!$A$5:$A$1504,$B20+5)&gt;0,"✓","")</f>
        <v/>
      </c>
      <c r="I20" s="20"/>
      <c r="J20" s="18" t="n">
        <f aca="false">COUNTIF(C20:H20,"✓")</f>
        <v>0</v>
      </c>
      <c r="K20" s="18" t="n">
        <f aca="false">'Start Here'!$C$5</f>
        <v>6</v>
      </c>
      <c r="L20" s="25" t="str">
        <f aca="true">IF($B20&gt;TODAY(),"",J20/K20)</f>
        <v/>
      </c>
      <c r="M20" s="26"/>
    </row>
    <row r="21" customFormat="false" ht="15" hidden="false" customHeight="false" outlineLevel="0" collapsed="false">
      <c r="A21" s="18" t="n">
        <v>15</v>
      </c>
      <c r="B21" s="24" t="n">
        <f aca="false">'Start Here'!$C$4+7*(A21-1)</f>
        <v>46398</v>
      </c>
      <c r="C21" s="18" t="str">
        <f aca="false">IF(COUNTIF(Log!$A$5:$A$1504,$B21+0)&gt;0,"✓","")</f>
        <v/>
      </c>
      <c r="D21" s="18" t="str">
        <f aca="false">IF(COUNTIF(Log!$A$5:$A$1504,$B21+1)&gt;0,"✓","")</f>
        <v/>
      </c>
      <c r="E21" s="18" t="str">
        <f aca="false">IF(COUNTIF(Log!$A$5:$A$1504,$B21+2)&gt;0,"✓","")</f>
        <v/>
      </c>
      <c r="F21" s="18" t="str">
        <f aca="false">IF(COUNTIF(Log!$A$5:$A$1504,$B21+3)&gt;0,"✓","")</f>
        <v/>
      </c>
      <c r="G21" s="18" t="str">
        <f aca="false">IF(COUNTIF(Log!$A$5:$A$1504,$B21+4)&gt;0,"✓","")</f>
        <v/>
      </c>
      <c r="H21" s="18" t="str">
        <f aca="false">IF(COUNTIF(Log!$A$5:$A$1504,$B21+5)&gt;0,"✓","")</f>
        <v/>
      </c>
      <c r="I21" s="20"/>
      <c r="J21" s="18" t="n">
        <f aca="false">COUNTIF(C21:H21,"✓")</f>
        <v>0</v>
      </c>
      <c r="K21" s="18" t="n">
        <f aca="false">'Start Here'!$C$5</f>
        <v>6</v>
      </c>
      <c r="L21" s="25" t="str">
        <f aca="true">IF($B21&gt;TODAY(),"",J21/K21)</f>
        <v/>
      </c>
      <c r="M21" s="26"/>
    </row>
    <row r="22" customFormat="false" ht="15" hidden="false" customHeight="false" outlineLevel="0" collapsed="false">
      <c r="A22" s="18" t="n">
        <v>16</v>
      </c>
      <c r="B22" s="24" t="n">
        <f aca="false">'Start Here'!$C$4+7*(A22-1)</f>
        <v>46405</v>
      </c>
      <c r="C22" s="18" t="str">
        <f aca="false">IF(COUNTIF(Log!$A$5:$A$1504,$B22+0)&gt;0,"✓","")</f>
        <v/>
      </c>
      <c r="D22" s="18" t="str">
        <f aca="false">IF(COUNTIF(Log!$A$5:$A$1504,$B22+1)&gt;0,"✓","")</f>
        <v/>
      </c>
      <c r="E22" s="18" t="str">
        <f aca="false">IF(COUNTIF(Log!$A$5:$A$1504,$B22+2)&gt;0,"✓","")</f>
        <v/>
      </c>
      <c r="F22" s="18" t="str">
        <f aca="false">IF(COUNTIF(Log!$A$5:$A$1504,$B22+3)&gt;0,"✓","")</f>
        <v/>
      </c>
      <c r="G22" s="18" t="str">
        <f aca="false">IF(COUNTIF(Log!$A$5:$A$1504,$B22+4)&gt;0,"✓","")</f>
        <v/>
      </c>
      <c r="H22" s="18" t="str">
        <f aca="false">IF(COUNTIF(Log!$A$5:$A$1504,$B22+5)&gt;0,"✓","")</f>
        <v/>
      </c>
      <c r="I22" s="20"/>
      <c r="J22" s="18" t="n">
        <f aca="false">COUNTIF(C22:H22,"✓")</f>
        <v>0</v>
      </c>
      <c r="K22" s="18" t="n">
        <f aca="false">'Start Here'!$C$5</f>
        <v>6</v>
      </c>
      <c r="L22" s="25" t="str">
        <f aca="true">IF($B22&gt;TODAY(),"",J22/K22)</f>
        <v/>
      </c>
      <c r="M22" s="26"/>
    </row>
    <row r="23" customFormat="false" ht="15" hidden="false" customHeight="false" outlineLevel="0" collapsed="false">
      <c r="A23" s="18" t="n">
        <v>17</v>
      </c>
      <c r="B23" s="24" t="n">
        <f aca="false">'Start Here'!$C$4+7*(A23-1)</f>
        <v>46412</v>
      </c>
      <c r="C23" s="18" t="str">
        <f aca="false">IF(COUNTIF(Log!$A$5:$A$1504,$B23+0)&gt;0,"✓","")</f>
        <v/>
      </c>
      <c r="D23" s="18" t="str">
        <f aca="false">IF(COUNTIF(Log!$A$5:$A$1504,$B23+1)&gt;0,"✓","")</f>
        <v/>
      </c>
      <c r="E23" s="18" t="str">
        <f aca="false">IF(COUNTIF(Log!$A$5:$A$1504,$B23+2)&gt;0,"✓","")</f>
        <v/>
      </c>
      <c r="F23" s="18" t="str">
        <f aca="false">IF(COUNTIF(Log!$A$5:$A$1504,$B23+3)&gt;0,"✓","")</f>
        <v/>
      </c>
      <c r="G23" s="18" t="str">
        <f aca="false">IF(COUNTIF(Log!$A$5:$A$1504,$B23+4)&gt;0,"✓","")</f>
        <v/>
      </c>
      <c r="H23" s="18" t="str">
        <f aca="false">IF(COUNTIF(Log!$A$5:$A$1504,$B23+5)&gt;0,"✓","")</f>
        <v/>
      </c>
      <c r="I23" s="20"/>
      <c r="J23" s="18" t="n">
        <f aca="false">COUNTIF(C23:H23,"✓")</f>
        <v>0</v>
      </c>
      <c r="K23" s="18" t="n">
        <f aca="false">'Start Here'!$C$5</f>
        <v>6</v>
      </c>
      <c r="L23" s="25" t="str">
        <f aca="true">IF($B23&gt;TODAY(),"",J23/K23)</f>
        <v/>
      </c>
      <c r="M23" s="26"/>
    </row>
    <row r="24" customFormat="false" ht="15" hidden="false" customHeight="false" outlineLevel="0" collapsed="false">
      <c r="A24" s="18" t="n">
        <v>18</v>
      </c>
      <c r="B24" s="24" t="n">
        <f aca="false">'Start Here'!$C$4+7*(A24-1)</f>
        <v>46419</v>
      </c>
      <c r="C24" s="18" t="str">
        <f aca="false">IF(COUNTIF(Log!$A$5:$A$1504,$B24+0)&gt;0,"✓","")</f>
        <v/>
      </c>
      <c r="D24" s="18" t="str">
        <f aca="false">IF(COUNTIF(Log!$A$5:$A$1504,$B24+1)&gt;0,"✓","")</f>
        <v/>
      </c>
      <c r="E24" s="18" t="str">
        <f aca="false">IF(COUNTIF(Log!$A$5:$A$1504,$B24+2)&gt;0,"✓","")</f>
        <v/>
      </c>
      <c r="F24" s="18" t="str">
        <f aca="false">IF(COUNTIF(Log!$A$5:$A$1504,$B24+3)&gt;0,"✓","")</f>
        <v/>
      </c>
      <c r="G24" s="18" t="str">
        <f aca="false">IF(COUNTIF(Log!$A$5:$A$1504,$B24+4)&gt;0,"✓","")</f>
        <v/>
      </c>
      <c r="H24" s="18" t="str">
        <f aca="false">IF(COUNTIF(Log!$A$5:$A$1504,$B24+5)&gt;0,"✓","")</f>
        <v/>
      </c>
      <c r="I24" s="20"/>
      <c r="J24" s="18" t="n">
        <f aca="false">COUNTIF(C24:H24,"✓")</f>
        <v>0</v>
      </c>
      <c r="K24" s="18" t="n">
        <f aca="false">'Start Here'!$C$5</f>
        <v>6</v>
      </c>
      <c r="L24" s="25" t="str">
        <f aca="true">IF($B24&gt;TODAY(),"",J24/K24)</f>
        <v/>
      </c>
      <c r="M24" s="26"/>
    </row>
    <row r="25" customFormat="false" ht="15" hidden="false" customHeight="false" outlineLevel="0" collapsed="false">
      <c r="A25" s="18" t="n">
        <v>19</v>
      </c>
      <c r="B25" s="24" t="n">
        <f aca="false">'Start Here'!$C$4+7*(A25-1)</f>
        <v>46426</v>
      </c>
      <c r="C25" s="18" t="str">
        <f aca="false">IF(COUNTIF(Log!$A$5:$A$1504,$B25+0)&gt;0,"✓","")</f>
        <v/>
      </c>
      <c r="D25" s="18" t="str">
        <f aca="false">IF(COUNTIF(Log!$A$5:$A$1504,$B25+1)&gt;0,"✓","")</f>
        <v/>
      </c>
      <c r="E25" s="18" t="str">
        <f aca="false">IF(COUNTIF(Log!$A$5:$A$1504,$B25+2)&gt;0,"✓","")</f>
        <v/>
      </c>
      <c r="F25" s="18" t="str">
        <f aca="false">IF(COUNTIF(Log!$A$5:$A$1504,$B25+3)&gt;0,"✓","")</f>
        <v/>
      </c>
      <c r="G25" s="18" t="str">
        <f aca="false">IF(COUNTIF(Log!$A$5:$A$1504,$B25+4)&gt;0,"✓","")</f>
        <v/>
      </c>
      <c r="H25" s="18" t="str">
        <f aca="false">IF(COUNTIF(Log!$A$5:$A$1504,$B25+5)&gt;0,"✓","")</f>
        <v/>
      </c>
      <c r="I25" s="20"/>
      <c r="J25" s="18" t="n">
        <f aca="false">COUNTIF(C25:H25,"✓")</f>
        <v>0</v>
      </c>
      <c r="K25" s="18" t="n">
        <f aca="false">'Start Here'!$C$5</f>
        <v>6</v>
      </c>
      <c r="L25" s="25" t="str">
        <f aca="true">IF($B25&gt;TODAY(),"",J25/K25)</f>
        <v/>
      </c>
      <c r="M25" s="26"/>
    </row>
    <row r="26" customFormat="false" ht="15" hidden="false" customHeight="false" outlineLevel="0" collapsed="false">
      <c r="A26" s="18" t="n">
        <v>20</v>
      </c>
      <c r="B26" s="24" t="n">
        <f aca="false">'Start Here'!$C$4+7*(A26-1)</f>
        <v>46433</v>
      </c>
      <c r="C26" s="18" t="str">
        <f aca="false">IF(COUNTIF(Log!$A$5:$A$1504,$B26+0)&gt;0,"✓","")</f>
        <v/>
      </c>
      <c r="D26" s="18" t="str">
        <f aca="false">IF(COUNTIF(Log!$A$5:$A$1504,$B26+1)&gt;0,"✓","")</f>
        <v/>
      </c>
      <c r="E26" s="18" t="str">
        <f aca="false">IF(COUNTIF(Log!$A$5:$A$1504,$B26+2)&gt;0,"✓","")</f>
        <v/>
      </c>
      <c r="F26" s="18" t="str">
        <f aca="false">IF(COUNTIF(Log!$A$5:$A$1504,$B26+3)&gt;0,"✓","")</f>
        <v/>
      </c>
      <c r="G26" s="18" t="str">
        <f aca="false">IF(COUNTIF(Log!$A$5:$A$1504,$B26+4)&gt;0,"✓","")</f>
        <v/>
      </c>
      <c r="H26" s="18" t="str">
        <f aca="false">IF(COUNTIF(Log!$A$5:$A$1504,$B26+5)&gt;0,"✓","")</f>
        <v/>
      </c>
      <c r="I26" s="20"/>
      <c r="J26" s="18" t="n">
        <f aca="false">COUNTIF(C26:H26,"✓")</f>
        <v>0</v>
      </c>
      <c r="K26" s="18" t="n">
        <f aca="false">'Start Here'!$C$5</f>
        <v>6</v>
      </c>
      <c r="L26" s="25" t="str">
        <f aca="true">IF($B26&gt;TODAY(),"",J26/K26)</f>
        <v/>
      </c>
      <c r="M26" s="26"/>
    </row>
    <row r="27" customFormat="false" ht="15" hidden="false" customHeight="false" outlineLevel="0" collapsed="false">
      <c r="A27" s="18" t="n">
        <v>21</v>
      </c>
      <c r="B27" s="24" t="n">
        <f aca="false">'Start Here'!$C$4+7*(A27-1)</f>
        <v>46440</v>
      </c>
      <c r="C27" s="18" t="str">
        <f aca="false">IF(COUNTIF(Log!$A$5:$A$1504,$B27+0)&gt;0,"✓","")</f>
        <v/>
      </c>
      <c r="D27" s="18" t="str">
        <f aca="false">IF(COUNTIF(Log!$A$5:$A$1504,$B27+1)&gt;0,"✓","")</f>
        <v/>
      </c>
      <c r="E27" s="18" t="str">
        <f aca="false">IF(COUNTIF(Log!$A$5:$A$1504,$B27+2)&gt;0,"✓","")</f>
        <v/>
      </c>
      <c r="F27" s="18" t="str">
        <f aca="false">IF(COUNTIF(Log!$A$5:$A$1504,$B27+3)&gt;0,"✓","")</f>
        <v/>
      </c>
      <c r="G27" s="18" t="str">
        <f aca="false">IF(COUNTIF(Log!$A$5:$A$1504,$B27+4)&gt;0,"✓","")</f>
        <v/>
      </c>
      <c r="H27" s="18" t="str">
        <f aca="false">IF(COUNTIF(Log!$A$5:$A$1504,$B27+5)&gt;0,"✓","")</f>
        <v/>
      </c>
      <c r="I27" s="20"/>
      <c r="J27" s="18" t="n">
        <f aca="false">COUNTIF(C27:H27,"✓")</f>
        <v>0</v>
      </c>
      <c r="K27" s="18" t="n">
        <f aca="false">'Start Here'!$C$5</f>
        <v>6</v>
      </c>
      <c r="L27" s="25" t="str">
        <f aca="true">IF($B27&gt;TODAY(),"",J27/K27)</f>
        <v/>
      </c>
      <c r="M27" s="26"/>
    </row>
    <row r="28" customFormat="false" ht="15" hidden="false" customHeight="false" outlineLevel="0" collapsed="false">
      <c r="A28" s="18" t="n">
        <v>22</v>
      </c>
      <c r="B28" s="24" t="n">
        <f aca="false">'Start Here'!$C$4+7*(A28-1)</f>
        <v>46447</v>
      </c>
      <c r="C28" s="18" t="str">
        <f aca="false">IF(COUNTIF(Log!$A$5:$A$1504,$B28+0)&gt;0,"✓","")</f>
        <v/>
      </c>
      <c r="D28" s="18" t="str">
        <f aca="false">IF(COUNTIF(Log!$A$5:$A$1504,$B28+1)&gt;0,"✓","")</f>
        <v/>
      </c>
      <c r="E28" s="18" t="str">
        <f aca="false">IF(COUNTIF(Log!$A$5:$A$1504,$B28+2)&gt;0,"✓","")</f>
        <v/>
      </c>
      <c r="F28" s="18" t="str">
        <f aca="false">IF(COUNTIF(Log!$A$5:$A$1504,$B28+3)&gt;0,"✓","")</f>
        <v/>
      </c>
      <c r="G28" s="18" t="str">
        <f aca="false">IF(COUNTIF(Log!$A$5:$A$1504,$B28+4)&gt;0,"✓","")</f>
        <v/>
      </c>
      <c r="H28" s="18" t="str">
        <f aca="false">IF(COUNTIF(Log!$A$5:$A$1504,$B28+5)&gt;0,"✓","")</f>
        <v/>
      </c>
      <c r="I28" s="20"/>
      <c r="J28" s="18" t="n">
        <f aca="false">COUNTIF(C28:H28,"✓")</f>
        <v>0</v>
      </c>
      <c r="K28" s="18" t="n">
        <f aca="false">'Start Here'!$C$5</f>
        <v>6</v>
      </c>
      <c r="L28" s="25" t="str">
        <f aca="true">IF($B28&gt;TODAY(),"",J28/K28)</f>
        <v/>
      </c>
      <c r="M28" s="26"/>
    </row>
    <row r="29" customFormat="false" ht="15" hidden="false" customHeight="false" outlineLevel="0" collapsed="false">
      <c r="A29" s="18" t="n">
        <v>23</v>
      </c>
      <c r="B29" s="24" t="n">
        <f aca="false">'Start Here'!$C$4+7*(A29-1)</f>
        <v>46454</v>
      </c>
      <c r="C29" s="18" t="str">
        <f aca="false">IF(COUNTIF(Log!$A$5:$A$1504,$B29+0)&gt;0,"✓","")</f>
        <v/>
      </c>
      <c r="D29" s="18" t="str">
        <f aca="false">IF(COUNTIF(Log!$A$5:$A$1504,$B29+1)&gt;0,"✓","")</f>
        <v/>
      </c>
      <c r="E29" s="18" t="str">
        <f aca="false">IF(COUNTIF(Log!$A$5:$A$1504,$B29+2)&gt;0,"✓","")</f>
        <v/>
      </c>
      <c r="F29" s="18" t="str">
        <f aca="false">IF(COUNTIF(Log!$A$5:$A$1504,$B29+3)&gt;0,"✓","")</f>
        <v/>
      </c>
      <c r="G29" s="18" t="str">
        <f aca="false">IF(COUNTIF(Log!$A$5:$A$1504,$B29+4)&gt;0,"✓","")</f>
        <v/>
      </c>
      <c r="H29" s="18" t="str">
        <f aca="false">IF(COUNTIF(Log!$A$5:$A$1504,$B29+5)&gt;0,"✓","")</f>
        <v/>
      </c>
      <c r="I29" s="20"/>
      <c r="J29" s="18" t="n">
        <f aca="false">COUNTIF(C29:H29,"✓")</f>
        <v>0</v>
      </c>
      <c r="K29" s="18" t="n">
        <f aca="false">'Start Here'!$C$5</f>
        <v>6</v>
      </c>
      <c r="L29" s="25" t="str">
        <f aca="true">IF($B29&gt;TODAY(),"",J29/K29)</f>
        <v/>
      </c>
      <c r="M29" s="26"/>
    </row>
    <row r="30" customFormat="false" ht="15" hidden="false" customHeight="false" outlineLevel="0" collapsed="false">
      <c r="A30" s="18" t="n">
        <v>24</v>
      </c>
      <c r="B30" s="24" t="n">
        <f aca="false">'Start Here'!$C$4+7*(A30-1)</f>
        <v>46461</v>
      </c>
      <c r="C30" s="18" t="str">
        <f aca="false">IF(COUNTIF(Log!$A$5:$A$1504,$B30+0)&gt;0,"✓","")</f>
        <v/>
      </c>
      <c r="D30" s="18" t="str">
        <f aca="false">IF(COUNTIF(Log!$A$5:$A$1504,$B30+1)&gt;0,"✓","")</f>
        <v/>
      </c>
      <c r="E30" s="18" t="str">
        <f aca="false">IF(COUNTIF(Log!$A$5:$A$1504,$B30+2)&gt;0,"✓","")</f>
        <v/>
      </c>
      <c r="F30" s="18" t="str">
        <f aca="false">IF(COUNTIF(Log!$A$5:$A$1504,$B30+3)&gt;0,"✓","")</f>
        <v/>
      </c>
      <c r="G30" s="18" t="str">
        <f aca="false">IF(COUNTIF(Log!$A$5:$A$1504,$B30+4)&gt;0,"✓","")</f>
        <v/>
      </c>
      <c r="H30" s="18" t="str">
        <f aca="false">IF(COUNTIF(Log!$A$5:$A$1504,$B30+5)&gt;0,"✓","")</f>
        <v/>
      </c>
      <c r="I30" s="20"/>
      <c r="J30" s="18" t="n">
        <f aca="false">COUNTIF(C30:H30,"✓")</f>
        <v>0</v>
      </c>
      <c r="K30" s="18" t="n">
        <f aca="false">'Start Here'!$C$5</f>
        <v>6</v>
      </c>
      <c r="L30" s="25" t="str">
        <f aca="true">IF($B30&gt;TODAY(),"",J30/K30)</f>
        <v/>
      </c>
      <c r="M30" s="26"/>
    </row>
    <row r="31" customFormat="false" ht="15" hidden="false" customHeight="false" outlineLevel="0" collapsed="false">
      <c r="A31" s="18" t="n">
        <v>25</v>
      </c>
      <c r="B31" s="24" t="n">
        <f aca="false">'Start Here'!$C$4+7*(A31-1)</f>
        <v>46468</v>
      </c>
      <c r="C31" s="18" t="str">
        <f aca="false">IF(COUNTIF(Log!$A$5:$A$1504,$B31+0)&gt;0,"✓","")</f>
        <v/>
      </c>
      <c r="D31" s="18" t="str">
        <f aca="false">IF(COUNTIF(Log!$A$5:$A$1504,$B31+1)&gt;0,"✓","")</f>
        <v/>
      </c>
      <c r="E31" s="18" t="str">
        <f aca="false">IF(COUNTIF(Log!$A$5:$A$1504,$B31+2)&gt;0,"✓","")</f>
        <v/>
      </c>
      <c r="F31" s="18" t="str">
        <f aca="false">IF(COUNTIF(Log!$A$5:$A$1504,$B31+3)&gt;0,"✓","")</f>
        <v/>
      </c>
      <c r="G31" s="18" t="str">
        <f aca="false">IF(COUNTIF(Log!$A$5:$A$1504,$B31+4)&gt;0,"✓","")</f>
        <v/>
      </c>
      <c r="H31" s="18" t="str">
        <f aca="false">IF(COUNTIF(Log!$A$5:$A$1504,$B31+5)&gt;0,"✓","")</f>
        <v/>
      </c>
      <c r="I31" s="20"/>
      <c r="J31" s="18" t="n">
        <f aca="false">COUNTIF(C31:H31,"✓")</f>
        <v>0</v>
      </c>
      <c r="K31" s="18" t="n">
        <f aca="false">'Start Here'!$C$5</f>
        <v>6</v>
      </c>
      <c r="L31" s="25" t="str">
        <f aca="true">IF($B31&gt;TODAY(),"",J31/K31)</f>
        <v/>
      </c>
      <c r="M31" s="26"/>
    </row>
    <row r="32" customFormat="false" ht="15" hidden="false" customHeight="false" outlineLevel="0" collapsed="false">
      <c r="A32" s="18" t="n">
        <v>26</v>
      </c>
      <c r="B32" s="24" t="n">
        <f aca="false">'Start Here'!$C$4+7*(A32-1)</f>
        <v>46475</v>
      </c>
      <c r="C32" s="18" t="str">
        <f aca="false">IF(COUNTIF(Log!$A$5:$A$1504,$B32+0)&gt;0,"✓","")</f>
        <v/>
      </c>
      <c r="D32" s="18" t="str">
        <f aca="false">IF(COUNTIF(Log!$A$5:$A$1504,$B32+1)&gt;0,"✓","")</f>
        <v/>
      </c>
      <c r="E32" s="18" t="str">
        <f aca="false">IF(COUNTIF(Log!$A$5:$A$1504,$B32+2)&gt;0,"✓","")</f>
        <v/>
      </c>
      <c r="F32" s="18" t="str">
        <f aca="false">IF(COUNTIF(Log!$A$5:$A$1504,$B32+3)&gt;0,"✓","")</f>
        <v/>
      </c>
      <c r="G32" s="18" t="str">
        <f aca="false">IF(COUNTIF(Log!$A$5:$A$1504,$B32+4)&gt;0,"✓","")</f>
        <v/>
      </c>
      <c r="H32" s="18" t="str">
        <f aca="false">IF(COUNTIF(Log!$A$5:$A$1504,$B32+5)&gt;0,"✓","")</f>
        <v/>
      </c>
      <c r="I32" s="20"/>
      <c r="J32" s="18" t="n">
        <f aca="false">COUNTIF(C32:H32,"✓")</f>
        <v>0</v>
      </c>
      <c r="K32" s="18" t="n">
        <f aca="false">'Start Here'!$C$5</f>
        <v>6</v>
      </c>
      <c r="L32" s="25" t="str">
        <f aca="true">IF($B32&gt;TODAY(),"",J32/K32)</f>
        <v/>
      </c>
      <c r="M32" s="26"/>
    </row>
  </sheetData>
  <conditionalFormatting sqref="C7:H32">
    <cfRule type="cellIs" priority="2" operator="equal" aboveAverage="0" equalAverage="0" bottom="0" percent="0" rank="0" text="" dxfId="0">
      <formula>"✓"</formula>
    </cfRule>
  </conditionalFormatting>
  <conditionalFormatting sqref="L7:L32">
    <cfRule type="expression" priority="3" aboveAverage="0" equalAverage="0" bottom="0" percent="0" rank="0" text="" dxfId="1">
      <formula>AND(ISNUMBER(L7),L7&gt;=0.83)</formula>
    </cfRule>
    <cfRule type="expression" priority="4" aboveAverage="0" equalAverage="0" bottom="0" percent="0" rank="0" text="" dxfId="2">
      <formula>AND(ISNUMBER(L7),L7&lt;0.5)</formula>
    </cfRule>
  </conditionalFormatting>
  <dataValidations count="1">
    <dataValidation allowBlank="true" errorStyle="stop" operator="between" showDropDown="false" showErrorMessage="false" showInputMessage="false" sqref="I7:I32" type="list">
      <formula1>"Y"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7" min="3" style="0" width="16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7" min="11" style="0" width="16"/>
  </cols>
  <sheetData>
    <row r="1" customFormat="false" ht="19.7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30" hidden="false" customHeight="true" outlineLevel="0" collapsed="false">
      <c r="A4" s="11" t="s">
        <v>25</v>
      </c>
      <c r="B4" s="11" t="s">
        <v>147</v>
      </c>
      <c r="C4" s="11" t="s">
        <v>173</v>
      </c>
      <c r="D4" s="11" t="s">
        <v>174</v>
      </c>
      <c r="E4" s="11" t="s">
        <v>175</v>
      </c>
      <c r="F4" s="11" t="s">
        <v>176</v>
      </c>
      <c r="G4" s="11" t="s">
        <v>177</v>
      </c>
      <c r="H4" s="11" t="s">
        <v>178</v>
      </c>
    </row>
    <row r="5" customFormat="false" ht="15" hidden="false" customHeight="false" outlineLevel="0" collapsed="false">
      <c r="A5" s="27" t="s">
        <v>32</v>
      </c>
      <c r="B5" s="18" t="str">
        <f aca="false">IFERROR(INDEX(Lists!$B$2:$B$40,MATCH($A5,Lists!$A$2:$A$40,0)),"")</f>
        <v>reps</v>
      </c>
      <c r="C5" s="18" t="n">
        <f aca="false">IFERROR(INDEX(Lists!$C$2:$C$40,MATCH($A5,Lists!$A$2:$A$40,0)),"")</f>
        <v>15</v>
      </c>
      <c r="D5" s="28" t="n">
        <f aca="false">_xlfn.MAXIFS(Log!$L$5:$L$1504,Log!$C$5:$C$1504,$A5)</f>
        <v>0</v>
      </c>
      <c r="E5" s="28" t="n">
        <f aca="false">INDEX($C$34:$I$59,'Start Here'!$C$6,MATCH($A5,$C$33:$I$33,0))</f>
        <v>0</v>
      </c>
      <c r="F5" s="28" t="n">
        <f aca="false">IF('Start Here'!$C$6&lt;=1,0,INDEX($C$34:$I$59,'Start Here'!$C$6-1,MATCH($A5,$C$33:$I$33,0)))</f>
        <v>0</v>
      </c>
      <c r="G5" s="29" t="str">
        <f aca="false">IF(OR(E5=0,F5=0),"",E5-F5)</f>
        <v/>
      </c>
      <c r="H5" s="18" t="str">
        <f aca="false">IF(COUNTIFS(Log!$C$5:$C$1504,$A5,Log!$M$5:$M$1504,"LEVEL UP",Log!$A$5:$A$1504,"&gt;="&amp;('Start Here'!$C$4+7*('Start Here'!$C$6-1)),Log!$A$5:$A$1504,"&lt;"&amp;('Start Here'!$C$4+7*'Start Here'!$C$6))&gt;0,"LEVEL UP: move to next variation",IF(E5=0,"Not logged this week","Keep building"))</f>
        <v>Not logged this week</v>
      </c>
    </row>
    <row r="6" customFormat="false" ht="15" hidden="false" customHeight="false" outlineLevel="0" collapsed="false">
      <c r="A6" s="27" t="s">
        <v>81</v>
      </c>
      <c r="B6" s="18" t="str">
        <f aca="false">IFERROR(INDEX(Lists!$B$2:$B$40,MATCH($A6,Lists!$A$2:$A$40,0)),"")</f>
        <v>reps</v>
      </c>
      <c r="C6" s="18" t="n">
        <f aca="false">IFERROR(INDEX(Lists!$C$2:$C$40,MATCH($A6,Lists!$A$2:$A$40,0)),"")</f>
        <v>15</v>
      </c>
      <c r="D6" s="28" t="n">
        <f aca="false">_xlfn.MAXIFS(Log!$L$5:$L$1504,Log!$C$5:$C$1504,$A6)</f>
        <v>0</v>
      </c>
      <c r="E6" s="28" t="n">
        <f aca="false">INDEX($C$34:$I$59,'Start Here'!$C$6,MATCH($A6,$C$33:$I$33,0))</f>
        <v>0</v>
      </c>
      <c r="F6" s="28" t="n">
        <f aca="false">IF('Start Here'!$C$6&lt;=1,0,INDEX($C$34:$I$59,'Start Here'!$C$6-1,MATCH($A6,$C$33:$I$33,0)))</f>
        <v>0</v>
      </c>
      <c r="G6" s="29" t="str">
        <f aca="false">IF(OR(E6=0,F6=0),"",E6-F6)</f>
        <v/>
      </c>
      <c r="H6" s="18" t="str">
        <f aca="false">IF(COUNTIFS(Log!$C$5:$C$1504,$A6,Log!$M$5:$M$1504,"LEVEL UP",Log!$A$5:$A$1504,"&gt;="&amp;('Start Here'!$C$4+7*('Start Here'!$C$6-1)),Log!$A$5:$A$1504,"&lt;"&amp;('Start Here'!$C$4+7*'Start Here'!$C$6))&gt;0,"LEVEL UP: move to next variation",IF(E6=0,"Not logged this week","Keep building"))</f>
        <v>Not logged this week</v>
      </c>
    </row>
    <row r="7" customFormat="false" ht="15" hidden="false" customHeight="false" outlineLevel="0" collapsed="false">
      <c r="A7" s="27" t="s">
        <v>94</v>
      </c>
      <c r="B7" s="18" t="str">
        <f aca="false">IFERROR(INDEX(Lists!$B$2:$B$40,MATCH($A7,Lists!$A$2:$A$40,0)),"")</f>
        <v>reps</v>
      </c>
      <c r="C7" s="18" t="n">
        <f aca="false">IFERROR(INDEX(Lists!$C$2:$C$40,MATCH($A7,Lists!$A$2:$A$40,0)),"")</f>
        <v>8</v>
      </c>
      <c r="D7" s="28" t="n">
        <f aca="false">_xlfn.MAXIFS(Log!$L$5:$L$1504,Log!$C$5:$C$1504,$A7)</f>
        <v>0</v>
      </c>
      <c r="E7" s="28" t="n">
        <f aca="false">INDEX($C$34:$I$59,'Start Here'!$C$6,MATCH($A7,$C$33:$I$33,0))</f>
        <v>0</v>
      </c>
      <c r="F7" s="28" t="n">
        <f aca="false">IF('Start Here'!$C$6&lt;=1,0,INDEX($C$34:$I$59,'Start Here'!$C$6-1,MATCH($A7,$C$33:$I$33,0)))</f>
        <v>0</v>
      </c>
      <c r="G7" s="29" t="str">
        <f aca="false">IF(OR(E7=0,F7=0),"",E7-F7)</f>
        <v/>
      </c>
      <c r="H7" s="18" t="str">
        <f aca="false">IF(COUNTIFS(Log!$C$5:$C$1504,$A7,Log!$M$5:$M$1504,"LEVEL UP",Log!$A$5:$A$1504,"&gt;="&amp;('Start Here'!$C$4+7*('Start Here'!$C$6-1)),Log!$A$5:$A$1504,"&lt;"&amp;('Start Here'!$C$4+7*'Start Here'!$C$6))&gt;0,"LEVEL UP: move to next variation",IF(E7=0,"Not logged this week","Keep building"))</f>
        <v>Not logged this week</v>
      </c>
    </row>
    <row r="8" customFormat="false" ht="15" hidden="false" customHeight="false" outlineLevel="0" collapsed="false">
      <c r="A8" s="27" t="s">
        <v>96</v>
      </c>
      <c r="B8" s="18" t="str">
        <f aca="false">IFERROR(INDEX(Lists!$B$2:$B$40,MATCH($A8,Lists!$A$2:$A$40,0)),"")</f>
        <v>reps</v>
      </c>
      <c r="C8" s="18" t="n">
        <f aca="false">IFERROR(INDEX(Lists!$C$2:$C$40,MATCH($A8,Lists!$A$2:$A$40,0)),"")</f>
        <v>12</v>
      </c>
      <c r="D8" s="28" t="n">
        <f aca="false">_xlfn.MAXIFS(Log!$L$5:$L$1504,Log!$C$5:$C$1504,$A8)</f>
        <v>0</v>
      </c>
      <c r="E8" s="28" t="n">
        <f aca="false">INDEX($C$34:$I$59,'Start Here'!$C$6,MATCH($A8,$C$33:$I$33,0))</f>
        <v>0</v>
      </c>
      <c r="F8" s="28" t="n">
        <f aca="false">IF('Start Here'!$C$6&lt;=1,0,INDEX($C$34:$I$59,'Start Here'!$C$6-1,MATCH($A8,$C$33:$I$33,0)))</f>
        <v>0</v>
      </c>
      <c r="G8" s="29" t="str">
        <f aca="false">IF(OR(E8=0,F8=0),"",E8-F8)</f>
        <v/>
      </c>
      <c r="H8" s="18" t="str">
        <f aca="false">IF(COUNTIFS(Log!$C$5:$C$1504,$A8,Log!$M$5:$M$1504,"LEVEL UP",Log!$A$5:$A$1504,"&gt;="&amp;('Start Here'!$C$4+7*('Start Here'!$C$6-1)),Log!$A$5:$A$1504,"&lt;"&amp;('Start Here'!$C$4+7*'Start Here'!$C$6))&gt;0,"LEVEL UP: move to next variation",IF(E8=0,"Not logged this week","Keep building"))</f>
        <v>Not logged this week</v>
      </c>
    </row>
    <row r="9" customFormat="false" ht="15" hidden="false" customHeight="false" outlineLevel="0" collapsed="false">
      <c r="A9" s="27" t="s">
        <v>75</v>
      </c>
      <c r="B9" s="18" t="str">
        <f aca="false">IFERROR(INDEX(Lists!$B$2:$B$40,MATCH($A9,Lists!$A$2:$A$40,0)),"")</f>
        <v>sec</v>
      </c>
      <c r="C9" s="18" t="n">
        <f aca="false">IFERROR(INDEX(Lists!$C$2:$C$40,MATCH($A9,Lists!$A$2:$A$40,0)),"")</f>
        <v>60</v>
      </c>
      <c r="D9" s="28" t="n">
        <f aca="false">_xlfn.MAXIFS(Log!$L$5:$L$1504,Log!$C$5:$C$1504,$A9)</f>
        <v>0</v>
      </c>
      <c r="E9" s="28" t="n">
        <f aca="false">INDEX($C$34:$I$59,'Start Here'!$C$6,MATCH($A9,$C$33:$I$33,0))</f>
        <v>0</v>
      </c>
      <c r="F9" s="28" t="n">
        <f aca="false">IF('Start Here'!$C$6&lt;=1,0,INDEX($C$34:$I$59,'Start Here'!$C$6-1,MATCH($A9,$C$33:$I$33,0)))</f>
        <v>0</v>
      </c>
      <c r="G9" s="29" t="str">
        <f aca="false">IF(OR(E9=0,F9=0),"",E9-F9)</f>
        <v/>
      </c>
      <c r="H9" s="18" t="str">
        <f aca="false">IF(COUNTIFS(Log!$C$5:$C$1504,$A9,Log!$M$5:$M$1504,"LEVEL UP",Log!$A$5:$A$1504,"&gt;="&amp;('Start Here'!$C$4+7*('Start Here'!$C$6-1)),Log!$A$5:$A$1504,"&lt;"&amp;('Start Here'!$C$4+7*'Start Here'!$C$6))&gt;0,"LEVEL UP: move to next variation",IF(E9=0,"Not logged this week","Keep building"))</f>
        <v>Not logged this week</v>
      </c>
    </row>
    <row r="10" customFormat="false" ht="15" hidden="false" customHeight="false" outlineLevel="0" collapsed="false">
      <c r="A10" s="27" t="s">
        <v>77</v>
      </c>
      <c r="B10" s="18" t="str">
        <f aca="false">IFERROR(INDEX(Lists!$B$2:$B$40,MATCH($A10,Lists!$A$2:$A$40,0)),"")</f>
        <v>sec</v>
      </c>
      <c r="C10" s="18" t="n">
        <f aca="false">IFERROR(INDEX(Lists!$C$2:$C$40,MATCH($A10,Lists!$A$2:$A$40,0)),"")</f>
        <v>30</v>
      </c>
      <c r="D10" s="28" t="n">
        <f aca="false">_xlfn.MAXIFS(Log!$L$5:$L$1504,Log!$C$5:$C$1504,$A10)</f>
        <v>0</v>
      </c>
      <c r="E10" s="28" t="n">
        <f aca="false">INDEX($C$34:$I$59,'Start Here'!$C$6,MATCH($A10,$C$33:$I$33,0))</f>
        <v>0</v>
      </c>
      <c r="F10" s="28" t="n">
        <f aca="false">IF('Start Here'!$C$6&lt;=1,0,INDEX($C$34:$I$59,'Start Here'!$C$6-1,MATCH($A10,$C$33:$I$33,0)))</f>
        <v>0</v>
      </c>
      <c r="G10" s="29" t="str">
        <f aca="false">IF(OR(E10=0,F10=0),"",E10-F10)</f>
        <v/>
      </c>
      <c r="H10" s="18" t="str">
        <f aca="false">IF(COUNTIFS(Log!$C$5:$C$1504,$A10,Log!$M$5:$M$1504,"LEVEL UP",Log!$A$5:$A$1504,"&gt;="&amp;('Start Here'!$C$4+7*('Start Here'!$C$6-1)),Log!$A$5:$A$1504,"&lt;"&amp;('Start Here'!$C$4+7*'Start Here'!$C$6))&gt;0,"LEVEL UP: move to next variation",IF(E10=0,"Not logged this week","Keep building"))</f>
        <v>Not logged this week</v>
      </c>
    </row>
    <row r="11" customFormat="false" ht="15" hidden="false" customHeight="false" outlineLevel="0" collapsed="false">
      <c r="A11" s="27" t="s">
        <v>98</v>
      </c>
      <c r="B11" s="18" t="str">
        <f aca="false">IFERROR(INDEX(Lists!$B$2:$B$40,MATCH($A11,Lists!$A$2:$A$40,0)),"")</f>
        <v>sec</v>
      </c>
      <c r="C11" s="18" t="n">
        <f aca="false">IFERROR(INDEX(Lists!$C$2:$C$40,MATCH($A11,Lists!$A$2:$A$40,0)),"")</f>
        <v>40</v>
      </c>
      <c r="D11" s="28" t="n">
        <f aca="false">_xlfn.MAXIFS(Log!$L$5:$L$1504,Log!$C$5:$C$1504,$A11)</f>
        <v>0</v>
      </c>
      <c r="E11" s="28" t="n">
        <f aca="false">INDEX($C$34:$I$59,'Start Here'!$C$6,MATCH($A11,$C$33:$I$33,0))</f>
        <v>0</v>
      </c>
      <c r="F11" s="28" t="n">
        <f aca="false">IF('Start Here'!$C$6&lt;=1,0,INDEX($C$34:$I$59,'Start Here'!$C$6-1,MATCH($A11,$C$33:$I$33,0)))</f>
        <v>0</v>
      </c>
      <c r="G11" s="29" t="str">
        <f aca="false">IF(OR(E11=0,F11=0),"",E11-F11)</f>
        <v/>
      </c>
      <c r="H11" s="18" t="str">
        <f aca="false">IF(COUNTIFS(Log!$C$5:$C$1504,$A11,Log!$M$5:$M$1504,"LEVEL UP",Log!$A$5:$A$1504,"&gt;="&amp;('Start Here'!$C$4+7*('Start Here'!$C$6-1)),Log!$A$5:$A$1504,"&lt;"&amp;('Start Here'!$C$4+7*'Start Here'!$C$6))&gt;0,"LEVEL UP: move to next variation",IF(E11=0,"Not logged this week","Keep building"))</f>
        <v>Not logged this week</v>
      </c>
    </row>
    <row r="12" customFormat="false" ht="15" hidden="false" customHeight="false" outlineLevel="0" collapsed="false">
      <c r="A12" s="2" t="s">
        <v>179</v>
      </c>
    </row>
    <row r="32" customFormat="false" ht="15" hidden="false" customHeight="false" outlineLevel="0" collapsed="false">
      <c r="C32" s="21" t="s">
        <v>180</v>
      </c>
      <c r="K32" s="21" t="s">
        <v>181</v>
      </c>
    </row>
    <row r="33" customFormat="false" ht="45" hidden="false" customHeight="true" outlineLevel="0" collapsed="false">
      <c r="A33" s="11" t="s">
        <v>159</v>
      </c>
      <c r="B33" s="11" t="s">
        <v>160</v>
      </c>
      <c r="C33" s="11" t="s">
        <v>32</v>
      </c>
      <c r="D33" s="11" t="s">
        <v>81</v>
      </c>
      <c r="E33" s="11" t="s">
        <v>94</v>
      </c>
      <c r="F33" s="11" t="s">
        <v>96</v>
      </c>
      <c r="G33" s="11" t="s">
        <v>75</v>
      </c>
      <c r="H33" s="11" t="s">
        <v>77</v>
      </c>
      <c r="I33" s="11" t="s">
        <v>98</v>
      </c>
      <c r="K33" s="11" t="s">
        <v>32</v>
      </c>
      <c r="L33" s="11" t="s">
        <v>81</v>
      </c>
      <c r="M33" s="11" t="s">
        <v>94</v>
      </c>
      <c r="N33" s="11" t="s">
        <v>96</v>
      </c>
      <c r="O33" s="11" t="s">
        <v>75</v>
      </c>
      <c r="P33" s="11" t="s">
        <v>77</v>
      </c>
      <c r="Q33" s="11" t="s">
        <v>98</v>
      </c>
    </row>
    <row r="34" customFormat="false" ht="15" hidden="false" customHeight="false" outlineLevel="0" collapsed="false">
      <c r="A34" s="18" t="n">
        <v>1</v>
      </c>
      <c r="B34" s="24" t="n">
        <f aca="false">'Start Here'!$C$4+7*(A34-1)</f>
        <v>46300</v>
      </c>
      <c r="C34" s="28" t="n">
        <f aca="false">_xlfn.MAXIFS(Log!$L$5:$L$1504,Log!$C$5:$C$1504,C$33,Log!$A$5:$A$1504,"&gt;="&amp;$B34,Log!$A$5:$A$1504,"&lt;"&amp;($B34+7))</f>
        <v>0</v>
      </c>
      <c r="D34" s="28" t="n">
        <f aca="false">_xlfn.MAXIFS(Log!$L$5:$L$1504,Log!$C$5:$C$1504,D$33,Log!$A$5:$A$1504,"&gt;="&amp;$B34,Log!$A$5:$A$1504,"&lt;"&amp;($B34+7))</f>
        <v>0</v>
      </c>
      <c r="E34" s="28" t="n">
        <f aca="false">_xlfn.MAXIFS(Log!$L$5:$L$1504,Log!$C$5:$C$1504,E$33,Log!$A$5:$A$1504,"&gt;="&amp;$B34,Log!$A$5:$A$1504,"&lt;"&amp;($B34+7))</f>
        <v>0</v>
      </c>
      <c r="F34" s="28" t="n">
        <f aca="false">_xlfn.MAXIFS(Log!$L$5:$L$1504,Log!$C$5:$C$1504,F$33,Log!$A$5:$A$1504,"&gt;="&amp;$B34,Log!$A$5:$A$1504,"&lt;"&amp;($B34+7))</f>
        <v>0</v>
      </c>
      <c r="G34" s="28" t="n">
        <f aca="false">_xlfn.MAXIFS(Log!$L$5:$L$1504,Log!$C$5:$C$1504,G$33,Log!$A$5:$A$1504,"&gt;="&amp;$B34,Log!$A$5:$A$1504,"&lt;"&amp;($B34+7))</f>
        <v>0</v>
      </c>
      <c r="H34" s="28" t="n">
        <f aca="false">_xlfn.MAXIFS(Log!$L$5:$L$1504,Log!$C$5:$C$1504,H$33,Log!$A$5:$A$1504,"&gt;="&amp;$B34,Log!$A$5:$A$1504,"&lt;"&amp;($B34+7))</f>
        <v>0</v>
      </c>
      <c r="I34" s="28" t="n">
        <f aca="false">_xlfn.MAXIFS(Log!$L$5:$L$1504,Log!$C$5:$C$1504,I$33,Log!$A$5:$A$1504,"&gt;="&amp;$B34,Log!$A$5:$A$1504,"&lt;"&amp;($B34+7))</f>
        <v>0</v>
      </c>
      <c r="K34" s="28" t="n">
        <f aca="false">SUMIFS(Log!$K$5:$K$1504,Log!$C$5:$C$1504,K$33,Log!$A$5:$A$1504,"&gt;="&amp;$B34,Log!$A$5:$A$1504,"&lt;"&amp;($B34+7))</f>
        <v>0</v>
      </c>
      <c r="L34" s="28" t="n">
        <f aca="false">SUMIFS(Log!$K$5:$K$1504,Log!$C$5:$C$1504,L$33,Log!$A$5:$A$1504,"&gt;="&amp;$B34,Log!$A$5:$A$1504,"&lt;"&amp;($B34+7))</f>
        <v>0</v>
      </c>
      <c r="M34" s="28" t="n">
        <f aca="false">SUMIFS(Log!$K$5:$K$1504,Log!$C$5:$C$1504,M$33,Log!$A$5:$A$1504,"&gt;="&amp;$B34,Log!$A$5:$A$1504,"&lt;"&amp;($B34+7))</f>
        <v>0</v>
      </c>
      <c r="N34" s="28" t="n">
        <f aca="false">SUMIFS(Log!$K$5:$K$1504,Log!$C$5:$C$1504,N$33,Log!$A$5:$A$1504,"&gt;="&amp;$B34,Log!$A$5:$A$1504,"&lt;"&amp;($B34+7))</f>
        <v>0</v>
      </c>
      <c r="O34" s="28" t="n">
        <f aca="false">SUMIFS(Log!$K$5:$K$1504,Log!$C$5:$C$1504,O$33,Log!$A$5:$A$1504,"&gt;="&amp;$B34,Log!$A$5:$A$1504,"&lt;"&amp;($B34+7))</f>
        <v>0</v>
      </c>
      <c r="P34" s="28" t="n">
        <f aca="false">SUMIFS(Log!$K$5:$K$1504,Log!$C$5:$C$1504,P$33,Log!$A$5:$A$1504,"&gt;="&amp;$B34,Log!$A$5:$A$1504,"&lt;"&amp;($B34+7))</f>
        <v>0</v>
      </c>
      <c r="Q34" s="28" t="n">
        <f aca="false">SUMIFS(Log!$K$5:$K$1504,Log!$C$5:$C$1504,Q$33,Log!$A$5:$A$1504,"&gt;="&amp;$B34,Log!$A$5:$A$1504,"&lt;"&amp;($B34+7))</f>
        <v>0</v>
      </c>
    </row>
    <row r="35" customFormat="false" ht="15" hidden="false" customHeight="false" outlineLevel="0" collapsed="false">
      <c r="A35" s="18" t="n">
        <v>2</v>
      </c>
      <c r="B35" s="24" t="n">
        <f aca="false">'Start Here'!$C$4+7*(A35-1)</f>
        <v>46307</v>
      </c>
      <c r="C35" s="28" t="n">
        <f aca="false">_xlfn.MAXIFS(Log!$L$5:$L$1504,Log!$C$5:$C$1504,C$33,Log!$A$5:$A$1504,"&gt;="&amp;$B35,Log!$A$5:$A$1504,"&lt;"&amp;($B35+7))</f>
        <v>0</v>
      </c>
      <c r="D35" s="28" t="n">
        <f aca="false">_xlfn.MAXIFS(Log!$L$5:$L$1504,Log!$C$5:$C$1504,D$33,Log!$A$5:$A$1504,"&gt;="&amp;$B35,Log!$A$5:$A$1504,"&lt;"&amp;($B35+7))</f>
        <v>0</v>
      </c>
      <c r="E35" s="28" t="n">
        <f aca="false">_xlfn.MAXIFS(Log!$L$5:$L$1504,Log!$C$5:$C$1504,E$33,Log!$A$5:$A$1504,"&gt;="&amp;$B35,Log!$A$5:$A$1504,"&lt;"&amp;($B35+7))</f>
        <v>0</v>
      </c>
      <c r="F35" s="28" t="n">
        <f aca="false">_xlfn.MAXIFS(Log!$L$5:$L$1504,Log!$C$5:$C$1504,F$33,Log!$A$5:$A$1504,"&gt;="&amp;$B35,Log!$A$5:$A$1504,"&lt;"&amp;($B35+7))</f>
        <v>0</v>
      </c>
      <c r="G35" s="28" t="n">
        <f aca="false">_xlfn.MAXIFS(Log!$L$5:$L$1504,Log!$C$5:$C$1504,G$33,Log!$A$5:$A$1504,"&gt;="&amp;$B35,Log!$A$5:$A$1504,"&lt;"&amp;($B35+7))</f>
        <v>0</v>
      </c>
      <c r="H35" s="28" t="n">
        <f aca="false">_xlfn.MAXIFS(Log!$L$5:$L$1504,Log!$C$5:$C$1504,H$33,Log!$A$5:$A$1504,"&gt;="&amp;$B35,Log!$A$5:$A$1504,"&lt;"&amp;($B35+7))</f>
        <v>0</v>
      </c>
      <c r="I35" s="28" t="n">
        <f aca="false">_xlfn.MAXIFS(Log!$L$5:$L$1504,Log!$C$5:$C$1504,I$33,Log!$A$5:$A$1504,"&gt;="&amp;$B35,Log!$A$5:$A$1504,"&lt;"&amp;($B35+7))</f>
        <v>0</v>
      </c>
      <c r="K35" s="28" t="n">
        <f aca="false">SUMIFS(Log!$K$5:$K$1504,Log!$C$5:$C$1504,K$33,Log!$A$5:$A$1504,"&gt;="&amp;$B35,Log!$A$5:$A$1504,"&lt;"&amp;($B35+7))</f>
        <v>0</v>
      </c>
      <c r="L35" s="28" t="n">
        <f aca="false">SUMIFS(Log!$K$5:$K$1504,Log!$C$5:$C$1504,L$33,Log!$A$5:$A$1504,"&gt;="&amp;$B35,Log!$A$5:$A$1504,"&lt;"&amp;($B35+7))</f>
        <v>0</v>
      </c>
      <c r="M35" s="28" t="n">
        <f aca="false">SUMIFS(Log!$K$5:$K$1504,Log!$C$5:$C$1504,M$33,Log!$A$5:$A$1504,"&gt;="&amp;$B35,Log!$A$5:$A$1504,"&lt;"&amp;($B35+7))</f>
        <v>0</v>
      </c>
      <c r="N35" s="28" t="n">
        <f aca="false">SUMIFS(Log!$K$5:$K$1504,Log!$C$5:$C$1504,N$33,Log!$A$5:$A$1504,"&gt;="&amp;$B35,Log!$A$5:$A$1504,"&lt;"&amp;($B35+7))</f>
        <v>0</v>
      </c>
      <c r="O35" s="28" t="n">
        <f aca="false">SUMIFS(Log!$K$5:$K$1504,Log!$C$5:$C$1504,O$33,Log!$A$5:$A$1504,"&gt;="&amp;$B35,Log!$A$5:$A$1504,"&lt;"&amp;($B35+7))</f>
        <v>0</v>
      </c>
      <c r="P35" s="28" t="n">
        <f aca="false">SUMIFS(Log!$K$5:$K$1504,Log!$C$5:$C$1504,P$33,Log!$A$5:$A$1504,"&gt;="&amp;$B35,Log!$A$5:$A$1504,"&lt;"&amp;($B35+7))</f>
        <v>0</v>
      </c>
      <c r="Q35" s="28" t="n">
        <f aca="false">SUMIFS(Log!$K$5:$K$1504,Log!$C$5:$C$1504,Q$33,Log!$A$5:$A$1504,"&gt;="&amp;$B35,Log!$A$5:$A$1504,"&lt;"&amp;($B35+7))</f>
        <v>0</v>
      </c>
    </row>
    <row r="36" customFormat="false" ht="15" hidden="false" customHeight="false" outlineLevel="0" collapsed="false">
      <c r="A36" s="18" t="n">
        <v>3</v>
      </c>
      <c r="B36" s="24" t="n">
        <f aca="false">'Start Here'!$C$4+7*(A36-1)</f>
        <v>46314</v>
      </c>
      <c r="C36" s="28" t="n">
        <f aca="false">_xlfn.MAXIFS(Log!$L$5:$L$1504,Log!$C$5:$C$1504,C$33,Log!$A$5:$A$1504,"&gt;="&amp;$B36,Log!$A$5:$A$1504,"&lt;"&amp;($B36+7))</f>
        <v>0</v>
      </c>
      <c r="D36" s="28" t="n">
        <f aca="false">_xlfn.MAXIFS(Log!$L$5:$L$1504,Log!$C$5:$C$1504,D$33,Log!$A$5:$A$1504,"&gt;="&amp;$B36,Log!$A$5:$A$1504,"&lt;"&amp;($B36+7))</f>
        <v>0</v>
      </c>
      <c r="E36" s="28" t="n">
        <f aca="false">_xlfn.MAXIFS(Log!$L$5:$L$1504,Log!$C$5:$C$1504,E$33,Log!$A$5:$A$1504,"&gt;="&amp;$B36,Log!$A$5:$A$1504,"&lt;"&amp;($B36+7))</f>
        <v>0</v>
      </c>
      <c r="F36" s="28" t="n">
        <f aca="false">_xlfn.MAXIFS(Log!$L$5:$L$1504,Log!$C$5:$C$1504,F$33,Log!$A$5:$A$1504,"&gt;="&amp;$B36,Log!$A$5:$A$1504,"&lt;"&amp;($B36+7))</f>
        <v>0</v>
      </c>
      <c r="G36" s="28" t="n">
        <f aca="false">_xlfn.MAXIFS(Log!$L$5:$L$1504,Log!$C$5:$C$1504,G$33,Log!$A$5:$A$1504,"&gt;="&amp;$B36,Log!$A$5:$A$1504,"&lt;"&amp;($B36+7))</f>
        <v>0</v>
      </c>
      <c r="H36" s="28" t="n">
        <f aca="false">_xlfn.MAXIFS(Log!$L$5:$L$1504,Log!$C$5:$C$1504,H$33,Log!$A$5:$A$1504,"&gt;="&amp;$B36,Log!$A$5:$A$1504,"&lt;"&amp;($B36+7))</f>
        <v>0</v>
      </c>
      <c r="I36" s="28" t="n">
        <f aca="false">_xlfn.MAXIFS(Log!$L$5:$L$1504,Log!$C$5:$C$1504,I$33,Log!$A$5:$A$1504,"&gt;="&amp;$B36,Log!$A$5:$A$1504,"&lt;"&amp;($B36+7))</f>
        <v>0</v>
      </c>
      <c r="K36" s="28" t="n">
        <f aca="false">SUMIFS(Log!$K$5:$K$1504,Log!$C$5:$C$1504,K$33,Log!$A$5:$A$1504,"&gt;="&amp;$B36,Log!$A$5:$A$1504,"&lt;"&amp;($B36+7))</f>
        <v>0</v>
      </c>
      <c r="L36" s="28" t="n">
        <f aca="false">SUMIFS(Log!$K$5:$K$1504,Log!$C$5:$C$1504,L$33,Log!$A$5:$A$1504,"&gt;="&amp;$B36,Log!$A$5:$A$1504,"&lt;"&amp;($B36+7))</f>
        <v>0</v>
      </c>
      <c r="M36" s="28" t="n">
        <f aca="false">SUMIFS(Log!$K$5:$K$1504,Log!$C$5:$C$1504,M$33,Log!$A$5:$A$1504,"&gt;="&amp;$B36,Log!$A$5:$A$1504,"&lt;"&amp;($B36+7))</f>
        <v>0</v>
      </c>
      <c r="N36" s="28" t="n">
        <f aca="false">SUMIFS(Log!$K$5:$K$1504,Log!$C$5:$C$1504,N$33,Log!$A$5:$A$1504,"&gt;="&amp;$B36,Log!$A$5:$A$1504,"&lt;"&amp;($B36+7))</f>
        <v>0</v>
      </c>
      <c r="O36" s="28" t="n">
        <f aca="false">SUMIFS(Log!$K$5:$K$1504,Log!$C$5:$C$1504,O$33,Log!$A$5:$A$1504,"&gt;="&amp;$B36,Log!$A$5:$A$1504,"&lt;"&amp;($B36+7))</f>
        <v>0</v>
      </c>
      <c r="P36" s="28" t="n">
        <f aca="false">SUMIFS(Log!$K$5:$K$1504,Log!$C$5:$C$1504,P$33,Log!$A$5:$A$1504,"&gt;="&amp;$B36,Log!$A$5:$A$1504,"&lt;"&amp;($B36+7))</f>
        <v>0</v>
      </c>
      <c r="Q36" s="28" t="n">
        <f aca="false">SUMIFS(Log!$K$5:$K$1504,Log!$C$5:$C$1504,Q$33,Log!$A$5:$A$1504,"&gt;="&amp;$B36,Log!$A$5:$A$1504,"&lt;"&amp;($B36+7))</f>
        <v>0</v>
      </c>
    </row>
    <row r="37" customFormat="false" ht="15" hidden="false" customHeight="false" outlineLevel="0" collapsed="false">
      <c r="A37" s="18" t="n">
        <v>4</v>
      </c>
      <c r="B37" s="24" t="n">
        <f aca="false">'Start Here'!$C$4+7*(A37-1)</f>
        <v>46321</v>
      </c>
      <c r="C37" s="28" t="n">
        <f aca="false">_xlfn.MAXIFS(Log!$L$5:$L$1504,Log!$C$5:$C$1504,C$33,Log!$A$5:$A$1504,"&gt;="&amp;$B37,Log!$A$5:$A$1504,"&lt;"&amp;($B37+7))</f>
        <v>0</v>
      </c>
      <c r="D37" s="28" t="n">
        <f aca="false">_xlfn.MAXIFS(Log!$L$5:$L$1504,Log!$C$5:$C$1504,D$33,Log!$A$5:$A$1504,"&gt;="&amp;$B37,Log!$A$5:$A$1504,"&lt;"&amp;($B37+7))</f>
        <v>0</v>
      </c>
      <c r="E37" s="28" t="n">
        <f aca="false">_xlfn.MAXIFS(Log!$L$5:$L$1504,Log!$C$5:$C$1504,E$33,Log!$A$5:$A$1504,"&gt;="&amp;$B37,Log!$A$5:$A$1504,"&lt;"&amp;($B37+7))</f>
        <v>0</v>
      </c>
      <c r="F37" s="28" t="n">
        <f aca="false">_xlfn.MAXIFS(Log!$L$5:$L$1504,Log!$C$5:$C$1504,F$33,Log!$A$5:$A$1504,"&gt;="&amp;$B37,Log!$A$5:$A$1504,"&lt;"&amp;($B37+7))</f>
        <v>0</v>
      </c>
      <c r="G37" s="28" t="n">
        <f aca="false">_xlfn.MAXIFS(Log!$L$5:$L$1504,Log!$C$5:$C$1504,G$33,Log!$A$5:$A$1504,"&gt;="&amp;$B37,Log!$A$5:$A$1504,"&lt;"&amp;($B37+7))</f>
        <v>0</v>
      </c>
      <c r="H37" s="28" t="n">
        <f aca="false">_xlfn.MAXIFS(Log!$L$5:$L$1504,Log!$C$5:$C$1504,H$33,Log!$A$5:$A$1504,"&gt;="&amp;$B37,Log!$A$5:$A$1504,"&lt;"&amp;($B37+7))</f>
        <v>0</v>
      </c>
      <c r="I37" s="28" t="n">
        <f aca="false">_xlfn.MAXIFS(Log!$L$5:$L$1504,Log!$C$5:$C$1504,I$33,Log!$A$5:$A$1504,"&gt;="&amp;$B37,Log!$A$5:$A$1504,"&lt;"&amp;($B37+7))</f>
        <v>0</v>
      </c>
      <c r="K37" s="28" t="n">
        <f aca="false">SUMIFS(Log!$K$5:$K$1504,Log!$C$5:$C$1504,K$33,Log!$A$5:$A$1504,"&gt;="&amp;$B37,Log!$A$5:$A$1504,"&lt;"&amp;($B37+7))</f>
        <v>0</v>
      </c>
      <c r="L37" s="28" t="n">
        <f aca="false">SUMIFS(Log!$K$5:$K$1504,Log!$C$5:$C$1504,L$33,Log!$A$5:$A$1504,"&gt;="&amp;$B37,Log!$A$5:$A$1504,"&lt;"&amp;($B37+7))</f>
        <v>0</v>
      </c>
      <c r="M37" s="28" t="n">
        <f aca="false">SUMIFS(Log!$K$5:$K$1504,Log!$C$5:$C$1504,M$33,Log!$A$5:$A$1504,"&gt;="&amp;$B37,Log!$A$5:$A$1504,"&lt;"&amp;($B37+7))</f>
        <v>0</v>
      </c>
      <c r="N37" s="28" t="n">
        <f aca="false">SUMIFS(Log!$K$5:$K$1504,Log!$C$5:$C$1504,N$33,Log!$A$5:$A$1504,"&gt;="&amp;$B37,Log!$A$5:$A$1504,"&lt;"&amp;($B37+7))</f>
        <v>0</v>
      </c>
      <c r="O37" s="28" t="n">
        <f aca="false">SUMIFS(Log!$K$5:$K$1504,Log!$C$5:$C$1504,O$33,Log!$A$5:$A$1504,"&gt;="&amp;$B37,Log!$A$5:$A$1504,"&lt;"&amp;($B37+7))</f>
        <v>0</v>
      </c>
      <c r="P37" s="28" t="n">
        <f aca="false">SUMIFS(Log!$K$5:$K$1504,Log!$C$5:$C$1504,P$33,Log!$A$5:$A$1504,"&gt;="&amp;$B37,Log!$A$5:$A$1504,"&lt;"&amp;($B37+7))</f>
        <v>0</v>
      </c>
      <c r="Q37" s="28" t="n">
        <f aca="false">SUMIFS(Log!$K$5:$K$1504,Log!$C$5:$C$1504,Q$33,Log!$A$5:$A$1504,"&gt;="&amp;$B37,Log!$A$5:$A$1504,"&lt;"&amp;($B37+7))</f>
        <v>0</v>
      </c>
    </row>
    <row r="38" customFormat="false" ht="15" hidden="false" customHeight="false" outlineLevel="0" collapsed="false">
      <c r="A38" s="18" t="n">
        <v>5</v>
      </c>
      <c r="B38" s="24" t="n">
        <f aca="false">'Start Here'!$C$4+7*(A38-1)</f>
        <v>46328</v>
      </c>
      <c r="C38" s="28" t="n">
        <f aca="false">_xlfn.MAXIFS(Log!$L$5:$L$1504,Log!$C$5:$C$1504,C$33,Log!$A$5:$A$1504,"&gt;="&amp;$B38,Log!$A$5:$A$1504,"&lt;"&amp;($B38+7))</f>
        <v>0</v>
      </c>
      <c r="D38" s="28" t="n">
        <f aca="false">_xlfn.MAXIFS(Log!$L$5:$L$1504,Log!$C$5:$C$1504,D$33,Log!$A$5:$A$1504,"&gt;="&amp;$B38,Log!$A$5:$A$1504,"&lt;"&amp;($B38+7))</f>
        <v>0</v>
      </c>
      <c r="E38" s="28" t="n">
        <f aca="false">_xlfn.MAXIFS(Log!$L$5:$L$1504,Log!$C$5:$C$1504,E$33,Log!$A$5:$A$1504,"&gt;="&amp;$B38,Log!$A$5:$A$1504,"&lt;"&amp;($B38+7))</f>
        <v>0</v>
      </c>
      <c r="F38" s="28" t="n">
        <f aca="false">_xlfn.MAXIFS(Log!$L$5:$L$1504,Log!$C$5:$C$1504,F$33,Log!$A$5:$A$1504,"&gt;="&amp;$B38,Log!$A$5:$A$1504,"&lt;"&amp;($B38+7))</f>
        <v>0</v>
      </c>
      <c r="G38" s="28" t="n">
        <f aca="false">_xlfn.MAXIFS(Log!$L$5:$L$1504,Log!$C$5:$C$1504,G$33,Log!$A$5:$A$1504,"&gt;="&amp;$B38,Log!$A$5:$A$1504,"&lt;"&amp;($B38+7))</f>
        <v>0</v>
      </c>
      <c r="H38" s="28" t="n">
        <f aca="false">_xlfn.MAXIFS(Log!$L$5:$L$1504,Log!$C$5:$C$1504,H$33,Log!$A$5:$A$1504,"&gt;="&amp;$B38,Log!$A$5:$A$1504,"&lt;"&amp;($B38+7))</f>
        <v>0</v>
      </c>
      <c r="I38" s="28" t="n">
        <f aca="false">_xlfn.MAXIFS(Log!$L$5:$L$1504,Log!$C$5:$C$1504,I$33,Log!$A$5:$A$1504,"&gt;="&amp;$B38,Log!$A$5:$A$1504,"&lt;"&amp;($B38+7))</f>
        <v>0</v>
      </c>
      <c r="K38" s="28" t="n">
        <f aca="false">SUMIFS(Log!$K$5:$K$1504,Log!$C$5:$C$1504,K$33,Log!$A$5:$A$1504,"&gt;="&amp;$B38,Log!$A$5:$A$1504,"&lt;"&amp;($B38+7))</f>
        <v>0</v>
      </c>
      <c r="L38" s="28" t="n">
        <f aca="false">SUMIFS(Log!$K$5:$K$1504,Log!$C$5:$C$1504,L$33,Log!$A$5:$A$1504,"&gt;="&amp;$B38,Log!$A$5:$A$1504,"&lt;"&amp;($B38+7))</f>
        <v>0</v>
      </c>
      <c r="M38" s="28" t="n">
        <f aca="false">SUMIFS(Log!$K$5:$K$1504,Log!$C$5:$C$1504,M$33,Log!$A$5:$A$1504,"&gt;="&amp;$B38,Log!$A$5:$A$1504,"&lt;"&amp;($B38+7))</f>
        <v>0</v>
      </c>
      <c r="N38" s="28" t="n">
        <f aca="false">SUMIFS(Log!$K$5:$K$1504,Log!$C$5:$C$1504,N$33,Log!$A$5:$A$1504,"&gt;="&amp;$B38,Log!$A$5:$A$1504,"&lt;"&amp;($B38+7))</f>
        <v>0</v>
      </c>
      <c r="O38" s="28" t="n">
        <f aca="false">SUMIFS(Log!$K$5:$K$1504,Log!$C$5:$C$1504,O$33,Log!$A$5:$A$1504,"&gt;="&amp;$B38,Log!$A$5:$A$1504,"&lt;"&amp;($B38+7))</f>
        <v>0</v>
      </c>
      <c r="P38" s="28" t="n">
        <f aca="false">SUMIFS(Log!$K$5:$K$1504,Log!$C$5:$C$1504,P$33,Log!$A$5:$A$1504,"&gt;="&amp;$B38,Log!$A$5:$A$1504,"&lt;"&amp;($B38+7))</f>
        <v>0</v>
      </c>
      <c r="Q38" s="28" t="n">
        <f aca="false">SUMIFS(Log!$K$5:$K$1504,Log!$C$5:$C$1504,Q$33,Log!$A$5:$A$1504,"&gt;="&amp;$B38,Log!$A$5:$A$1504,"&lt;"&amp;($B38+7))</f>
        <v>0</v>
      </c>
    </row>
    <row r="39" customFormat="false" ht="15" hidden="false" customHeight="false" outlineLevel="0" collapsed="false">
      <c r="A39" s="18" t="n">
        <v>6</v>
      </c>
      <c r="B39" s="24" t="n">
        <f aca="false">'Start Here'!$C$4+7*(A39-1)</f>
        <v>46335</v>
      </c>
      <c r="C39" s="28" t="n">
        <f aca="false">_xlfn.MAXIFS(Log!$L$5:$L$1504,Log!$C$5:$C$1504,C$33,Log!$A$5:$A$1504,"&gt;="&amp;$B39,Log!$A$5:$A$1504,"&lt;"&amp;($B39+7))</f>
        <v>0</v>
      </c>
      <c r="D39" s="28" t="n">
        <f aca="false">_xlfn.MAXIFS(Log!$L$5:$L$1504,Log!$C$5:$C$1504,D$33,Log!$A$5:$A$1504,"&gt;="&amp;$B39,Log!$A$5:$A$1504,"&lt;"&amp;($B39+7))</f>
        <v>0</v>
      </c>
      <c r="E39" s="28" t="n">
        <f aca="false">_xlfn.MAXIFS(Log!$L$5:$L$1504,Log!$C$5:$C$1504,E$33,Log!$A$5:$A$1504,"&gt;="&amp;$B39,Log!$A$5:$A$1504,"&lt;"&amp;($B39+7))</f>
        <v>0</v>
      </c>
      <c r="F39" s="28" t="n">
        <f aca="false">_xlfn.MAXIFS(Log!$L$5:$L$1504,Log!$C$5:$C$1504,F$33,Log!$A$5:$A$1504,"&gt;="&amp;$B39,Log!$A$5:$A$1504,"&lt;"&amp;($B39+7))</f>
        <v>0</v>
      </c>
      <c r="G39" s="28" t="n">
        <f aca="false">_xlfn.MAXIFS(Log!$L$5:$L$1504,Log!$C$5:$C$1504,G$33,Log!$A$5:$A$1504,"&gt;="&amp;$B39,Log!$A$5:$A$1504,"&lt;"&amp;($B39+7))</f>
        <v>0</v>
      </c>
      <c r="H39" s="28" t="n">
        <f aca="false">_xlfn.MAXIFS(Log!$L$5:$L$1504,Log!$C$5:$C$1504,H$33,Log!$A$5:$A$1504,"&gt;="&amp;$B39,Log!$A$5:$A$1504,"&lt;"&amp;($B39+7))</f>
        <v>0</v>
      </c>
      <c r="I39" s="28" t="n">
        <f aca="false">_xlfn.MAXIFS(Log!$L$5:$L$1504,Log!$C$5:$C$1504,I$33,Log!$A$5:$A$1504,"&gt;="&amp;$B39,Log!$A$5:$A$1504,"&lt;"&amp;($B39+7))</f>
        <v>0</v>
      </c>
      <c r="K39" s="28" t="n">
        <f aca="false">SUMIFS(Log!$K$5:$K$1504,Log!$C$5:$C$1504,K$33,Log!$A$5:$A$1504,"&gt;="&amp;$B39,Log!$A$5:$A$1504,"&lt;"&amp;($B39+7))</f>
        <v>0</v>
      </c>
      <c r="L39" s="28" t="n">
        <f aca="false">SUMIFS(Log!$K$5:$K$1504,Log!$C$5:$C$1504,L$33,Log!$A$5:$A$1504,"&gt;="&amp;$B39,Log!$A$5:$A$1504,"&lt;"&amp;($B39+7))</f>
        <v>0</v>
      </c>
      <c r="M39" s="28" t="n">
        <f aca="false">SUMIFS(Log!$K$5:$K$1504,Log!$C$5:$C$1504,M$33,Log!$A$5:$A$1504,"&gt;="&amp;$B39,Log!$A$5:$A$1504,"&lt;"&amp;($B39+7))</f>
        <v>0</v>
      </c>
      <c r="N39" s="28" t="n">
        <f aca="false">SUMIFS(Log!$K$5:$K$1504,Log!$C$5:$C$1504,N$33,Log!$A$5:$A$1504,"&gt;="&amp;$B39,Log!$A$5:$A$1504,"&lt;"&amp;($B39+7))</f>
        <v>0</v>
      </c>
      <c r="O39" s="28" t="n">
        <f aca="false">SUMIFS(Log!$K$5:$K$1504,Log!$C$5:$C$1504,O$33,Log!$A$5:$A$1504,"&gt;="&amp;$B39,Log!$A$5:$A$1504,"&lt;"&amp;($B39+7))</f>
        <v>0</v>
      </c>
      <c r="P39" s="28" t="n">
        <f aca="false">SUMIFS(Log!$K$5:$K$1504,Log!$C$5:$C$1504,P$33,Log!$A$5:$A$1504,"&gt;="&amp;$B39,Log!$A$5:$A$1504,"&lt;"&amp;($B39+7))</f>
        <v>0</v>
      </c>
      <c r="Q39" s="28" t="n">
        <f aca="false">SUMIFS(Log!$K$5:$K$1504,Log!$C$5:$C$1504,Q$33,Log!$A$5:$A$1504,"&gt;="&amp;$B39,Log!$A$5:$A$1504,"&lt;"&amp;($B39+7))</f>
        <v>0</v>
      </c>
    </row>
    <row r="40" customFormat="false" ht="15" hidden="false" customHeight="false" outlineLevel="0" collapsed="false">
      <c r="A40" s="18" t="n">
        <v>7</v>
      </c>
      <c r="B40" s="24" t="n">
        <f aca="false">'Start Here'!$C$4+7*(A40-1)</f>
        <v>46342</v>
      </c>
      <c r="C40" s="28" t="n">
        <f aca="false">_xlfn.MAXIFS(Log!$L$5:$L$1504,Log!$C$5:$C$1504,C$33,Log!$A$5:$A$1504,"&gt;="&amp;$B40,Log!$A$5:$A$1504,"&lt;"&amp;($B40+7))</f>
        <v>0</v>
      </c>
      <c r="D40" s="28" t="n">
        <f aca="false">_xlfn.MAXIFS(Log!$L$5:$L$1504,Log!$C$5:$C$1504,D$33,Log!$A$5:$A$1504,"&gt;="&amp;$B40,Log!$A$5:$A$1504,"&lt;"&amp;($B40+7))</f>
        <v>0</v>
      </c>
      <c r="E40" s="28" t="n">
        <f aca="false">_xlfn.MAXIFS(Log!$L$5:$L$1504,Log!$C$5:$C$1504,E$33,Log!$A$5:$A$1504,"&gt;="&amp;$B40,Log!$A$5:$A$1504,"&lt;"&amp;($B40+7))</f>
        <v>0</v>
      </c>
      <c r="F40" s="28" t="n">
        <f aca="false">_xlfn.MAXIFS(Log!$L$5:$L$1504,Log!$C$5:$C$1504,F$33,Log!$A$5:$A$1504,"&gt;="&amp;$B40,Log!$A$5:$A$1504,"&lt;"&amp;($B40+7))</f>
        <v>0</v>
      </c>
      <c r="G40" s="28" t="n">
        <f aca="false">_xlfn.MAXIFS(Log!$L$5:$L$1504,Log!$C$5:$C$1504,G$33,Log!$A$5:$A$1504,"&gt;="&amp;$B40,Log!$A$5:$A$1504,"&lt;"&amp;($B40+7))</f>
        <v>0</v>
      </c>
      <c r="H40" s="28" t="n">
        <f aca="false">_xlfn.MAXIFS(Log!$L$5:$L$1504,Log!$C$5:$C$1504,H$33,Log!$A$5:$A$1504,"&gt;="&amp;$B40,Log!$A$5:$A$1504,"&lt;"&amp;($B40+7))</f>
        <v>0</v>
      </c>
      <c r="I40" s="28" t="n">
        <f aca="false">_xlfn.MAXIFS(Log!$L$5:$L$1504,Log!$C$5:$C$1504,I$33,Log!$A$5:$A$1504,"&gt;="&amp;$B40,Log!$A$5:$A$1504,"&lt;"&amp;($B40+7))</f>
        <v>0</v>
      </c>
      <c r="K40" s="28" t="n">
        <f aca="false">SUMIFS(Log!$K$5:$K$1504,Log!$C$5:$C$1504,K$33,Log!$A$5:$A$1504,"&gt;="&amp;$B40,Log!$A$5:$A$1504,"&lt;"&amp;($B40+7))</f>
        <v>0</v>
      </c>
      <c r="L40" s="28" t="n">
        <f aca="false">SUMIFS(Log!$K$5:$K$1504,Log!$C$5:$C$1504,L$33,Log!$A$5:$A$1504,"&gt;="&amp;$B40,Log!$A$5:$A$1504,"&lt;"&amp;($B40+7))</f>
        <v>0</v>
      </c>
      <c r="M40" s="28" t="n">
        <f aca="false">SUMIFS(Log!$K$5:$K$1504,Log!$C$5:$C$1504,M$33,Log!$A$5:$A$1504,"&gt;="&amp;$B40,Log!$A$5:$A$1504,"&lt;"&amp;($B40+7))</f>
        <v>0</v>
      </c>
      <c r="N40" s="28" t="n">
        <f aca="false">SUMIFS(Log!$K$5:$K$1504,Log!$C$5:$C$1504,N$33,Log!$A$5:$A$1504,"&gt;="&amp;$B40,Log!$A$5:$A$1504,"&lt;"&amp;($B40+7))</f>
        <v>0</v>
      </c>
      <c r="O40" s="28" t="n">
        <f aca="false">SUMIFS(Log!$K$5:$K$1504,Log!$C$5:$C$1504,O$33,Log!$A$5:$A$1504,"&gt;="&amp;$B40,Log!$A$5:$A$1504,"&lt;"&amp;($B40+7))</f>
        <v>0</v>
      </c>
      <c r="P40" s="28" t="n">
        <f aca="false">SUMIFS(Log!$K$5:$K$1504,Log!$C$5:$C$1504,P$33,Log!$A$5:$A$1504,"&gt;="&amp;$B40,Log!$A$5:$A$1504,"&lt;"&amp;($B40+7))</f>
        <v>0</v>
      </c>
      <c r="Q40" s="28" t="n">
        <f aca="false">SUMIFS(Log!$K$5:$K$1504,Log!$C$5:$C$1504,Q$33,Log!$A$5:$A$1504,"&gt;="&amp;$B40,Log!$A$5:$A$1504,"&lt;"&amp;($B40+7))</f>
        <v>0</v>
      </c>
    </row>
    <row r="41" customFormat="false" ht="15" hidden="false" customHeight="false" outlineLevel="0" collapsed="false">
      <c r="A41" s="18" t="n">
        <v>8</v>
      </c>
      <c r="B41" s="24" t="n">
        <f aca="false">'Start Here'!$C$4+7*(A41-1)</f>
        <v>46349</v>
      </c>
      <c r="C41" s="28" t="n">
        <f aca="false">_xlfn.MAXIFS(Log!$L$5:$L$1504,Log!$C$5:$C$1504,C$33,Log!$A$5:$A$1504,"&gt;="&amp;$B41,Log!$A$5:$A$1504,"&lt;"&amp;($B41+7))</f>
        <v>0</v>
      </c>
      <c r="D41" s="28" t="n">
        <f aca="false">_xlfn.MAXIFS(Log!$L$5:$L$1504,Log!$C$5:$C$1504,D$33,Log!$A$5:$A$1504,"&gt;="&amp;$B41,Log!$A$5:$A$1504,"&lt;"&amp;($B41+7))</f>
        <v>0</v>
      </c>
      <c r="E41" s="28" t="n">
        <f aca="false">_xlfn.MAXIFS(Log!$L$5:$L$1504,Log!$C$5:$C$1504,E$33,Log!$A$5:$A$1504,"&gt;="&amp;$B41,Log!$A$5:$A$1504,"&lt;"&amp;($B41+7))</f>
        <v>0</v>
      </c>
      <c r="F41" s="28" t="n">
        <f aca="false">_xlfn.MAXIFS(Log!$L$5:$L$1504,Log!$C$5:$C$1504,F$33,Log!$A$5:$A$1504,"&gt;="&amp;$B41,Log!$A$5:$A$1504,"&lt;"&amp;($B41+7))</f>
        <v>0</v>
      </c>
      <c r="G41" s="28" t="n">
        <f aca="false">_xlfn.MAXIFS(Log!$L$5:$L$1504,Log!$C$5:$C$1504,G$33,Log!$A$5:$A$1504,"&gt;="&amp;$B41,Log!$A$5:$A$1504,"&lt;"&amp;($B41+7))</f>
        <v>0</v>
      </c>
      <c r="H41" s="28" t="n">
        <f aca="false">_xlfn.MAXIFS(Log!$L$5:$L$1504,Log!$C$5:$C$1504,H$33,Log!$A$5:$A$1504,"&gt;="&amp;$B41,Log!$A$5:$A$1504,"&lt;"&amp;($B41+7))</f>
        <v>0</v>
      </c>
      <c r="I41" s="28" t="n">
        <f aca="false">_xlfn.MAXIFS(Log!$L$5:$L$1504,Log!$C$5:$C$1504,I$33,Log!$A$5:$A$1504,"&gt;="&amp;$B41,Log!$A$5:$A$1504,"&lt;"&amp;($B41+7))</f>
        <v>0</v>
      </c>
      <c r="K41" s="28" t="n">
        <f aca="false">SUMIFS(Log!$K$5:$K$1504,Log!$C$5:$C$1504,K$33,Log!$A$5:$A$1504,"&gt;="&amp;$B41,Log!$A$5:$A$1504,"&lt;"&amp;($B41+7))</f>
        <v>0</v>
      </c>
      <c r="L41" s="28" t="n">
        <f aca="false">SUMIFS(Log!$K$5:$K$1504,Log!$C$5:$C$1504,L$33,Log!$A$5:$A$1504,"&gt;="&amp;$B41,Log!$A$5:$A$1504,"&lt;"&amp;($B41+7))</f>
        <v>0</v>
      </c>
      <c r="M41" s="28" t="n">
        <f aca="false">SUMIFS(Log!$K$5:$K$1504,Log!$C$5:$C$1504,M$33,Log!$A$5:$A$1504,"&gt;="&amp;$B41,Log!$A$5:$A$1504,"&lt;"&amp;($B41+7))</f>
        <v>0</v>
      </c>
      <c r="N41" s="28" t="n">
        <f aca="false">SUMIFS(Log!$K$5:$K$1504,Log!$C$5:$C$1504,N$33,Log!$A$5:$A$1504,"&gt;="&amp;$B41,Log!$A$5:$A$1504,"&lt;"&amp;($B41+7))</f>
        <v>0</v>
      </c>
      <c r="O41" s="28" t="n">
        <f aca="false">SUMIFS(Log!$K$5:$K$1504,Log!$C$5:$C$1504,O$33,Log!$A$5:$A$1504,"&gt;="&amp;$B41,Log!$A$5:$A$1504,"&lt;"&amp;($B41+7))</f>
        <v>0</v>
      </c>
      <c r="P41" s="28" t="n">
        <f aca="false">SUMIFS(Log!$K$5:$K$1504,Log!$C$5:$C$1504,P$33,Log!$A$5:$A$1504,"&gt;="&amp;$B41,Log!$A$5:$A$1504,"&lt;"&amp;($B41+7))</f>
        <v>0</v>
      </c>
      <c r="Q41" s="28" t="n">
        <f aca="false">SUMIFS(Log!$K$5:$K$1504,Log!$C$5:$C$1504,Q$33,Log!$A$5:$A$1504,"&gt;="&amp;$B41,Log!$A$5:$A$1504,"&lt;"&amp;($B41+7))</f>
        <v>0</v>
      </c>
    </row>
    <row r="42" customFormat="false" ht="15" hidden="false" customHeight="false" outlineLevel="0" collapsed="false">
      <c r="A42" s="18" t="n">
        <v>9</v>
      </c>
      <c r="B42" s="24" t="n">
        <f aca="false">'Start Here'!$C$4+7*(A42-1)</f>
        <v>46356</v>
      </c>
      <c r="C42" s="28" t="n">
        <f aca="false">_xlfn.MAXIFS(Log!$L$5:$L$1504,Log!$C$5:$C$1504,C$33,Log!$A$5:$A$1504,"&gt;="&amp;$B42,Log!$A$5:$A$1504,"&lt;"&amp;($B42+7))</f>
        <v>0</v>
      </c>
      <c r="D42" s="28" t="n">
        <f aca="false">_xlfn.MAXIFS(Log!$L$5:$L$1504,Log!$C$5:$C$1504,D$33,Log!$A$5:$A$1504,"&gt;="&amp;$B42,Log!$A$5:$A$1504,"&lt;"&amp;($B42+7))</f>
        <v>0</v>
      </c>
      <c r="E42" s="28" t="n">
        <f aca="false">_xlfn.MAXIFS(Log!$L$5:$L$1504,Log!$C$5:$C$1504,E$33,Log!$A$5:$A$1504,"&gt;="&amp;$B42,Log!$A$5:$A$1504,"&lt;"&amp;($B42+7))</f>
        <v>0</v>
      </c>
      <c r="F42" s="28" t="n">
        <f aca="false">_xlfn.MAXIFS(Log!$L$5:$L$1504,Log!$C$5:$C$1504,F$33,Log!$A$5:$A$1504,"&gt;="&amp;$B42,Log!$A$5:$A$1504,"&lt;"&amp;($B42+7))</f>
        <v>0</v>
      </c>
      <c r="G42" s="28" t="n">
        <f aca="false">_xlfn.MAXIFS(Log!$L$5:$L$1504,Log!$C$5:$C$1504,G$33,Log!$A$5:$A$1504,"&gt;="&amp;$B42,Log!$A$5:$A$1504,"&lt;"&amp;($B42+7))</f>
        <v>0</v>
      </c>
      <c r="H42" s="28" t="n">
        <f aca="false">_xlfn.MAXIFS(Log!$L$5:$L$1504,Log!$C$5:$C$1504,H$33,Log!$A$5:$A$1504,"&gt;="&amp;$B42,Log!$A$5:$A$1504,"&lt;"&amp;($B42+7))</f>
        <v>0</v>
      </c>
      <c r="I42" s="28" t="n">
        <f aca="false">_xlfn.MAXIFS(Log!$L$5:$L$1504,Log!$C$5:$C$1504,I$33,Log!$A$5:$A$1504,"&gt;="&amp;$B42,Log!$A$5:$A$1504,"&lt;"&amp;($B42+7))</f>
        <v>0</v>
      </c>
      <c r="K42" s="28" t="n">
        <f aca="false">SUMIFS(Log!$K$5:$K$1504,Log!$C$5:$C$1504,K$33,Log!$A$5:$A$1504,"&gt;="&amp;$B42,Log!$A$5:$A$1504,"&lt;"&amp;($B42+7))</f>
        <v>0</v>
      </c>
      <c r="L42" s="28" t="n">
        <f aca="false">SUMIFS(Log!$K$5:$K$1504,Log!$C$5:$C$1504,L$33,Log!$A$5:$A$1504,"&gt;="&amp;$B42,Log!$A$5:$A$1504,"&lt;"&amp;($B42+7))</f>
        <v>0</v>
      </c>
      <c r="M42" s="28" t="n">
        <f aca="false">SUMIFS(Log!$K$5:$K$1504,Log!$C$5:$C$1504,M$33,Log!$A$5:$A$1504,"&gt;="&amp;$B42,Log!$A$5:$A$1504,"&lt;"&amp;($B42+7))</f>
        <v>0</v>
      </c>
      <c r="N42" s="28" t="n">
        <f aca="false">SUMIFS(Log!$K$5:$K$1504,Log!$C$5:$C$1504,N$33,Log!$A$5:$A$1504,"&gt;="&amp;$B42,Log!$A$5:$A$1504,"&lt;"&amp;($B42+7))</f>
        <v>0</v>
      </c>
      <c r="O42" s="28" t="n">
        <f aca="false">SUMIFS(Log!$K$5:$K$1504,Log!$C$5:$C$1504,O$33,Log!$A$5:$A$1504,"&gt;="&amp;$B42,Log!$A$5:$A$1504,"&lt;"&amp;($B42+7))</f>
        <v>0</v>
      </c>
      <c r="P42" s="28" t="n">
        <f aca="false">SUMIFS(Log!$K$5:$K$1504,Log!$C$5:$C$1504,P$33,Log!$A$5:$A$1504,"&gt;="&amp;$B42,Log!$A$5:$A$1504,"&lt;"&amp;($B42+7))</f>
        <v>0</v>
      </c>
      <c r="Q42" s="28" t="n">
        <f aca="false">SUMIFS(Log!$K$5:$K$1504,Log!$C$5:$C$1504,Q$33,Log!$A$5:$A$1504,"&gt;="&amp;$B42,Log!$A$5:$A$1504,"&lt;"&amp;($B42+7))</f>
        <v>0</v>
      </c>
    </row>
    <row r="43" customFormat="false" ht="15" hidden="false" customHeight="false" outlineLevel="0" collapsed="false">
      <c r="A43" s="18" t="n">
        <v>10</v>
      </c>
      <c r="B43" s="24" t="n">
        <f aca="false">'Start Here'!$C$4+7*(A43-1)</f>
        <v>46363</v>
      </c>
      <c r="C43" s="28" t="n">
        <f aca="false">_xlfn.MAXIFS(Log!$L$5:$L$1504,Log!$C$5:$C$1504,C$33,Log!$A$5:$A$1504,"&gt;="&amp;$B43,Log!$A$5:$A$1504,"&lt;"&amp;($B43+7))</f>
        <v>0</v>
      </c>
      <c r="D43" s="28" t="n">
        <f aca="false">_xlfn.MAXIFS(Log!$L$5:$L$1504,Log!$C$5:$C$1504,D$33,Log!$A$5:$A$1504,"&gt;="&amp;$B43,Log!$A$5:$A$1504,"&lt;"&amp;($B43+7))</f>
        <v>0</v>
      </c>
      <c r="E43" s="28" t="n">
        <f aca="false">_xlfn.MAXIFS(Log!$L$5:$L$1504,Log!$C$5:$C$1504,E$33,Log!$A$5:$A$1504,"&gt;="&amp;$B43,Log!$A$5:$A$1504,"&lt;"&amp;($B43+7))</f>
        <v>0</v>
      </c>
      <c r="F43" s="28" t="n">
        <f aca="false">_xlfn.MAXIFS(Log!$L$5:$L$1504,Log!$C$5:$C$1504,F$33,Log!$A$5:$A$1504,"&gt;="&amp;$B43,Log!$A$5:$A$1504,"&lt;"&amp;($B43+7))</f>
        <v>0</v>
      </c>
      <c r="G43" s="28" t="n">
        <f aca="false">_xlfn.MAXIFS(Log!$L$5:$L$1504,Log!$C$5:$C$1504,G$33,Log!$A$5:$A$1504,"&gt;="&amp;$B43,Log!$A$5:$A$1504,"&lt;"&amp;($B43+7))</f>
        <v>0</v>
      </c>
      <c r="H43" s="28" t="n">
        <f aca="false">_xlfn.MAXIFS(Log!$L$5:$L$1504,Log!$C$5:$C$1504,H$33,Log!$A$5:$A$1504,"&gt;="&amp;$B43,Log!$A$5:$A$1504,"&lt;"&amp;($B43+7))</f>
        <v>0</v>
      </c>
      <c r="I43" s="28" t="n">
        <f aca="false">_xlfn.MAXIFS(Log!$L$5:$L$1504,Log!$C$5:$C$1504,I$33,Log!$A$5:$A$1504,"&gt;="&amp;$B43,Log!$A$5:$A$1504,"&lt;"&amp;($B43+7))</f>
        <v>0</v>
      </c>
      <c r="K43" s="28" t="n">
        <f aca="false">SUMIFS(Log!$K$5:$K$1504,Log!$C$5:$C$1504,K$33,Log!$A$5:$A$1504,"&gt;="&amp;$B43,Log!$A$5:$A$1504,"&lt;"&amp;($B43+7))</f>
        <v>0</v>
      </c>
      <c r="L43" s="28" t="n">
        <f aca="false">SUMIFS(Log!$K$5:$K$1504,Log!$C$5:$C$1504,L$33,Log!$A$5:$A$1504,"&gt;="&amp;$B43,Log!$A$5:$A$1504,"&lt;"&amp;($B43+7))</f>
        <v>0</v>
      </c>
      <c r="M43" s="28" t="n">
        <f aca="false">SUMIFS(Log!$K$5:$K$1504,Log!$C$5:$C$1504,M$33,Log!$A$5:$A$1504,"&gt;="&amp;$B43,Log!$A$5:$A$1504,"&lt;"&amp;($B43+7))</f>
        <v>0</v>
      </c>
      <c r="N43" s="28" t="n">
        <f aca="false">SUMIFS(Log!$K$5:$K$1504,Log!$C$5:$C$1504,N$33,Log!$A$5:$A$1504,"&gt;="&amp;$B43,Log!$A$5:$A$1504,"&lt;"&amp;($B43+7))</f>
        <v>0</v>
      </c>
      <c r="O43" s="28" t="n">
        <f aca="false">SUMIFS(Log!$K$5:$K$1504,Log!$C$5:$C$1504,O$33,Log!$A$5:$A$1504,"&gt;="&amp;$B43,Log!$A$5:$A$1504,"&lt;"&amp;($B43+7))</f>
        <v>0</v>
      </c>
      <c r="P43" s="28" t="n">
        <f aca="false">SUMIFS(Log!$K$5:$K$1504,Log!$C$5:$C$1504,P$33,Log!$A$5:$A$1504,"&gt;="&amp;$B43,Log!$A$5:$A$1504,"&lt;"&amp;($B43+7))</f>
        <v>0</v>
      </c>
      <c r="Q43" s="28" t="n">
        <f aca="false">SUMIFS(Log!$K$5:$K$1504,Log!$C$5:$C$1504,Q$33,Log!$A$5:$A$1504,"&gt;="&amp;$B43,Log!$A$5:$A$1504,"&lt;"&amp;($B43+7))</f>
        <v>0</v>
      </c>
    </row>
    <row r="44" customFormat="false" ht="15" hidden="false" customHeight="false" outlineLevel="0" collapsed="false">
      <c r="A44" s="18" t="n">
        <v>11</v>
      </c>
      <c r="B44" s="24" t="n">
        <f aca="false">'Start Here'!$C$4+7*(A44-1)</f>
        <v>46370</v>
      </c>
      <c r="C44" s="28" t="n">
        <f aca="false">_xlfn.MAXIFS(Log!$L$5:$L$1504,Log!$C$5:$C$1504,C$33,Log!$A$5:$A$1504,"&gt;="&amp;$B44,Log!$A$5:$A$1504,"&lt;"&amp;($B44+7))</f>
        <v>0</v>
      </c>
      <c r="D44" s="28" t="n">
        <f aca="false">_xlfn.MAXIFS(Log!$L$5:$L$1504,Log!$C$5:$C$1504,D$33,Log!$A$5:$A$1504,"&gt;="&amp;$B44,Log!$A$5:$A$1504,"&lt;"&amp;($B44+7))</f>
        <v>0</v>
      </c>
      <c r="E44" s="28" t="n">
        <f aca="false">_xlfn.MAXIFS(Log!$L$5:$L$1504,Log!$C$5:$C$1504,E$33,Log!$A$5:$A$1504,"&gt;="&amp;$B44,Log!$A$5:$A$1504,"&lt;"&amp;($B44+7))</f>
        <v>0</v>
      </c>
      <c r="F44" s="28" t="n">
        <f aca="false">_xlfn.MAXIFS(Log!$L$5:$L$1504,Log!$C$5:$C$1504,F$33,Log!$A$5:$A$1504,"&gt;="&amp;$B44,Log!$A$5:$A$1504,"&lt;"&amp;($B44+7))</f>
        <v>0</v>
      </c>
      <c r="G44" s="28" t="n">
        <f aca="false">_xlfn.MAXIFS(Log!$L$5:$L$1504,Log!$C$5:$C$1504,G$33,Log!$A$5:$A$1504,"&gt;="&amp;$B44,Log!$A$5:$A$1504,"&lt;"&amp;($B44+7))</f>
        <v>0</v>
      </c>
      <c r="H44" s="28" t="n">
        <f aca="false">_xlfn.MAXIFS(Log!$L$5:$L$1504,Log!$C$5:$C$1504,H$33,Log!$A$5:$A$1504,"&gt;="&amp;$B44,Log!$A$5:$A$1504,"&lt;"&amp;($B44+7))</f>
        <v>0</v>
      </c>
      <c r="I44" s="28" t="n">
        <f aca="false">_xlfn.MAXIFS(Log!$L$5:$L$1504,Log!$C$5:$C$1504,I$33,Log!$A$5:$A$1504,"&gt;="&amp;$B44,Log!$A$5:$A$1504,"&lt;"&amp;($B44+7))</f>
        <v>0</v>
      </c>
      <c r="K44" s="28" t="n">
        <f aca="false">SUMIFS(Log!$K$5:$K$1504,Log!$C$5:$C$1504,K$33,Log!$A$5:$A$1504,"&gt;="&amp;$B44,Log!$A$5:$A$1504,"&lt;"&amp;($B44+7))</f>
        <v>0</v>
      </c>
      <c r="L44" s="28" t="n">
        <f aca="false">SUMIFS(Log!$K$5:$K$1504,Log!$C$5:$C$1504,L$33,Log!$A$5:$A$1504,"&gt;="&amp;$B44,Log!$A$5:$A$1504,"&lt;"&amp;($B44+7))</f>
        <v>0</v>
      </c>
      <c r="M44" s="28" t="n">
        <f aca="false">SUMIFS(Log!$K$5:$K$1504,Log!$C$5:$C$1504,M$33,Log!$A$5:$A$1504,"&gt;="&amp;$B44,Log!$A$5:$A$1504,"&lt;"&amp;($B44+7))</f>
        <v>0</v>
      </c>
      <c r="N44" s="28" t="n">
        <f aca="false">SUMIFS(Log!$K$5:$K$1504,Log!$C$5:$C$1504,N$33,Log!$A$5:$A$1504,"&gt;="&amp;$B44,Log!$A$5:$A$1504,"&lt;"&amp;($B44+7))</f>
        <v>0</v>
      </c>
      <c r="O44" s="28" t="n">
        <f aca="false">SUMIFS(Log!$K$5:$K$1504,Log!$C$5:$C$1504,O$33,Log!$A$5:$A$1504,"&gt;="&amp;$B44,Log!$A$5:$A$1504,"&lt;"&amp;($B44+7))</f>
        <v>0</v>
      </c>
      <c r="P44" s="28" t="n">
        <f aca="false">SUMIFS(Log!$K$5:$K$1504,Log!$C$5:$C$1504,P$33,Log!$A$5:$A$1504,"&gt;="&amp;$B44,Log!$A$5:$A$1504,"&lt;"&amp;($B44+7))</f>
        <v>0</v>
      </c>
      <c r="Q44" s="28" t="n">
        <f aca="false">SUMIFS(Log!$K$5:$K$1504,Log!$C$5:$C$1504,Q$33,Log!$A$5:$A$1504,"&gt;="&amp;$B44,Log!$A$5:$A$1504,"&lt;"&amp;($B44+7))</f>
        <v>0</v>
      </c>
    </row>
    <row r="45" customFormat="false" ht="15" hidden="false" customHeight="false" outlineLevel="0" collapsed="false">
      <c r="A45" s="18" t="n">
        <v>12</v>
      </c>
      <c r="B45" s="24" t="n">
        <f aca="false">'Start Here'!$C$4+7*(A45-1)</f>
        <v>46377</v>
      </c>
      <c r="C45" s="28" t="n">
        <f aca="false">_xlfn.MAXIFS(Log!$L$5:$L$1504,Log!$C$5:$C$1504,C$33,Log!$A$5:$A$1504,"&gt;="&amp;$B45,Log!$A$5:$A$1504,"&lt;"&amp;($B45+7))</f>
        <v>0</v>
      </c>
      <c r="D45" s="28" t="n">
        <f aca="false">_xlfn.MAXIFS(Log!$L$5:$L$1504,Log!$C$5:$C$1504,D$33,Log!$A$5:$A$1504,"&gt;="&amp;$B45,Log!$A$5:$A$1504,"&lt;"&amp;($B45+7))</f>
        <v>0</v>
      </c>
      <c r="E45" s="28" t="n">
        <f aca="false">_xlfn.MAXIFS(Log!$L$5:$L$1504,Log!$C$5:$C$1504,E$33,Log!$A$5:$A$1504,"&gt;="&amp;$B45,Log!$A$5:$A$1504,"&lt;"&amp;($B45+7))</f>
        <v>0</v>
      </c>
      <c r="F45" s="28" t="n">
        <f aca="false">_xlfn.MAXIFS(Log!$L$5:$L$1504,Log!$C$5:$C$1504,F$33,Log!$A$5:$A$1504,"&gt;="&amp;$B45,Log!$A$5:$A$1504,"&lt;"&amp;($B45+7))</f>
        <v>0</v>
      </c>
      <c r="G45" s="28" t="n">
        <f aca="false">_xlfn.MAXIFS(Log!$L$5:$L$1504,Log!$C$5:$C$1504,G$33,Log!$A$5:$A$1504,"&gt;="&amp;$B45,Log!$A$5:$A$1504,"&lt;"&amp;($B45+7))</f>
        <v>0</v>
      </c>
      <c r="H45" s="28" t="n">
        <f aca="false">_xlfn.MAXIFS(Log!$L$5:$L$1504,Log!$C$5:$C$1504,H$33,Log!$A$5:$A$1504,"&gt;="&amp;$B45,Log!$A$5:$A$1504,"&lt;"&amp;($B45+7))</f>
        <v>0</v>
      </c>
      <c r="I45" s="28" t="n">
        <f aca="false">_xlfn.MAXIFS(Log!$L$5:$L$1504,Log!$C$5:$C$1504,I$33,Log!$A$5:$A$1504,"&gt;="&amp;$B45,Log!$A$5:$A$1504,"&lt;"&amp;($B45+7))</f>
        <v>0</v>
      </c>
      <c r="K45" s="28" t="n">
        <f aca="false">SUMIFS(Log!$K$5:$K$1504,Log!$C$5:$C$1504,K$33,Log!$A$5:$A$1504,"&gt;="&amp;$B45,Log!$A$5:$A$1504,"&lt;"&amp;($B45+7))</f>
        <v>0</v>
      </c>
      <c r="L45" s="28" t="n">
        <f aca="false">SUMIFS(Log!$K$5:$K$1504,Log!$C$5:$C$1504,L$33,Log!$A$5:$A$1504,"&gt;="&amp;$B45,Log!$A$5:$A$1504,"&lt;"&amp;($B45+7))</f>
        <v>0</v>
      </c>
      <c r="M45" s="28" t="n">
        <f aca="false">SUMIFS(Log!$K$5:$K$1504,Log!$C$5:$C$1504,M$33,Log!$A$5:$A$1504,"&gt;="&amp;$B45,Log!$A$5:$A$1504,"&lt;"&amp;($B45+7))</f>
        <v>0</v>
      </c>
      <c r="N45" s="28" t="n">
        <f aca="false">SUMIFS(Log!$K$5:$K$1504,Log!$C$5:$C$1504,N$33,Log!$A$5:$A$1504,"&gt;="&amp;$B45,Log!$A$5:$A$1504,"&lt;"&amp;($B45+7))</f>
        <v>0</v>
      </c>
      <c r="O45" s="28" t="n">
        <f aca="false">SUMIFS(Log!$K$5:$K$1504,Log!$C$5:$C$1504,O$33,Log!$A$5:$A$1504,"&gt;="&amp;$B45,Log!$A$5:$A$1504,"&lt;"&amp;($B45+7))</f>
        <v>0</v>
      </c>
      <c r="P45" s="28" t="n">
        <f aca="false">SUMIFS(Log!$K$5:$K$1504,Log!$C$5:$C$1504,P$33,Log!$A$5:$A$1504,"&gt;="&amp;$B45,Log!$A$5:$A$1504,"&lt;"&amp;($B45+7))</f>
        <v>0</v>
      </c>
      <c r="Q45" s="28" t="n">
        <f aca="false">SUMIFS(Log!$K$5:$K$1504,Log!$C$5:$C$1504,Q$33,Log!$A$5:$A$1504,"&gt;="&amp;$B45,Log!$A$5:$A$1504,"&lt;"&amp;($B45+7))</f>
        <v>0</v>
      </c>
    </row>
    <row r="46" customFormat="false" ht="15" hidden="false" customHeight="false" outlineLevel="0" collapsed="false">
      <c r="A46" s="18" t="n">
        <v>13</v>
      </c>
      <c r="B46" s="24" t="n">
        <f aca="false">'Start Here'!$C$4+7*(A46-1)</f>
        <v>46384</v>
      </c>
      <c r="C46" s="28" t="n">
        <f aca="false">_xlfn.MAXIFS(Log!$L$5:$L$1504,Log!$C$5:$C$1504,C$33,Log!$A$5:$A$1504,"&gt;="&amp;$B46,Log!$A$5:$A$1504,"&lt;"&amp;($B46+7))</f>
        <v>0</v>
      </c>
      <c r="D46" s="28" t="n">
        <f aca="false">_xlfn.MAXIFS(Log!$L$5:$L$1504,Log!$C$5:$C$1504,D$33,Log!$A$5:$A$1504,"&gt;="&amp;$B46,Log!$A$5:$A$1504,"&lt;"&amp;($B46+7))</f>
        <v>0</v>
      </c>
      <c r="E46" s="28" t="n">
        <f aca="false">_xlfn.MAXIFS(Log!$L$5:$L$1504,Log!$C$5:$C$1504,E$33,Log!$A$5:$A$1504,"&gt;="&amp;$B46,Log!$A$5:$A$1504,"&lt;"&amp;($B46+7))</f>
        <v>0</v>
      </c>
      <c r="F46" s="28" t="n">
        <f aca="false">_xlfn.MAXIFS(Log!$L$5:$L$1504,Log!$C$5:$C$1504,F$33,Log!$A$5:$A$1504,"&gt;="&amp;$B46,Log!$A$5:$A$1504,"&lt;"&amp;($B46+7))</f>
        <v>0</v>
      </c>
      <c r="G46" s="28" t="n">
        <f aca="false">_xlfn.MAXIFS(Log!$L$5:$L$1504,Log!$C$5:$C$1504,G$33,Log!$A$5:$A$1504,"&gt;="&amp;$B46,Log!$A$5:$A$1504,"&lt;"&amp;($B46+7))</f>
        <v>0</v>
      </c>
      <c r="H46" s="28" t="n">
        <f aca="false">_xlfn.MAXIFS(Log!$L$5:$L$1504,Log!$C$5:$C$1504,H$33,Log!$A$5:$A$1504,"&gt;="&amp;$B46,Log!$A$5:$A$1504,"&lt;"&amp;($B46+7))</f>
        <v>0</v>
      </c>
      <c r="I46" s="28" t="n">
        <f aca="false">_xlfn.MAXIFS(Log!$L$5:$L$1504,Log!$C$5:$C$1504,I$33,Log!$A$5:$A$1504,"&gt;="&amp;$B46,Log!$A$5:$A$1504,"&lt;"&amp;($B46+7))</f>
        <v>0</v>
      </c>
      <c r="K46" s="28" t="n">
        <f aca="false">SUMIFS(Log!$K$5:$K$1504,Log!$C$5:$C$1504,K$33,Log!$A$5:$A$1504,"&gt;="&amp;$B46,Log!$A$5:$A$1504,"&lt;"&amp;($B46+7))</f>
        <v>0</v>
      </c>
      <c r="L46" s="28" t="n">
        <f aca="false">SUMIFS(Log!$K$5:$K$1504,Log!$C$5:$C$1504,L$33,Log!$A$5:$A$1504,"&gt;="&amp;$B46,Log!$A$5:$A$1504,"&lt;"&amp;($B46+7))</f>
        <v>0</v>
      </c>
      <c r="M46" s="28" t="n">
        <f aca="false">SUMIFS(Log!$K$5:$K$1504,Log!$C$5:$C$1504,M$33,Log!$A$5:$A$1504,"&gt;="&amp;$B46,Log!$A$5:$A$1504,"&lt;"&amp;($B46+7))</f>
        <v>0</v>
      </c>
      <c r="N46" s="28" t="n">
        <f aca="false">SUMIFS(Log!$K$5:$K$1504,Log!$C$5:$C$1504,N$33,Log!$A$5:$A$1504,"&gt;="&amp;$B46,Log!$A$5:$A$1504,"&lt;"&amp;($B46+7))</f>
        <v>0</v>
      </c>
      <c r="O46" s="28" t="n">
        <f aca="false">SUMIFS(Log!$K$5:$K$1504,Log!$C$5:$C$1504,O$33,Log!$A$5:$A$1504,"&gt;="&amp;$B46,Log!$A$5:$A$1504,"&lt;"&amp;($B46+7))</f>
        <v>0</v>
      </c>
      <c r="P46" s="28" t="n">
        <f aca="false">SUMIFS(Log!$K$5:$K$1504,Log!$C$5:$C$1504,P$33,Log!$A$5:$A$1504,"&gt;="&amp;$B46,Log!$A$5:$A$1504,"&lt;"&amp;($B46+7))</f>
        <v>0</v>
      </c>
      <c r="Q46" s="28" t="n">
        <f aca="false">SUMIFS(Log!$K$5:$K$1504,Log!$C$5:$C$1504,Q$33,Log!$A$5:$A$1504,"&gt;="&amp;$B46,Log!$A$5:$A$1504,"&lt;"&amp;($B46+7))</f>
        <v>0</v>
      </c>
    </row>
    <row r="47" customFormat="false" ht="15" hidden="false" customHeight="false" outlineLevel="0" collapsed="false">
      <c r="A47" s="18" t="n">
        <v>14</v>
      </c>
      <c r="B47" s="24" t="n">
        <f aca="false">'Start Here'!$C$4+7*(A47-1)</f>
        <v>46391</v>
      </c>
      <c r="C47" s="28" t="n">
        <f aca="false">_xlfn.MAXIFS(Log!$L$5:$L$1504,Log!$C$5:$C$1504,C$33,Log!$A$5:$A$1504,"&gt;="&amp;$B47,Log!$A$5:$A$1504,"&lt;"&amp;($B47+7))</f>
        <v>0</v>
      </c>
      <c r="D47" s="28" t="n">
        <f aca="false">_xlfn.MAXIFS(Log!$L$5:$L$1504,Log!$C$5:$C$1504,D$33,Log!$A$5:$A$1504,"&gt;="&amp;$B47,Log!$A$5:$A$1504,"&lt;"&amp;($B47+7))</f>
        <v>0</v>
      </c>
      <c r="E47" s="28" t="n">
        <f aca="false">_xlfn.MAXIFS(Log!$L$5:$L$1504,Log!$C$5:$C$1504,E$33,Log!$A$5:$A$1504,"&gt;="&amp;$B47,Log!$A$5:$A$1504,"&lt;"&amp;($B47+7))</f>
        <v>0</v>
      </c>
      <c r="F47" s="28" t="n">
        <f aca="false">_xlfn.MAXIFS(Log!$L$5:$L$1504,Log!$C$5:$C$1504,F$33,Log!$A$5:$A$1504,"&gt;="&amp;$B47,Log!$A$5:$A$1504,"&lt;"&amp;($B47+7))</f>
        <v>0</v>
      </c>
      <c r="G47" s="28" t="n">
        <f aca="false">_xlfn.MAXIFS(Log!$L$5:$L$1504,Log!$C$5:$C$1504,G$33,Log!$A$5:$A$1504,"&gt;="&amp;$B47,Log!$A$5:$A$1504,"&lt;"&amp;($B47+7))</f>
        <v>0</v>
      </c>
      <c r="H47" s="28" t="n">
        <f aca="false">_xlfn.MAXIFS(Log!$L$5:$L$1504,Log!$C$5:$C$1504,H$33,Log!$A$5:$A$1504,"&gt;="&amp;$B47,Log!$A$5:$A$1504,"&lt;"&amp;($B47+7))</f>
        <v>0</v>
      </c>
      <c r="I47" s="28" t="n">
        <f aca="false">_xlfn.MAXIFS(Log!$L$5:$L$1504,Log!$C$5:$C$1504,I$33,Log!$A$5:$A$1504,"&gt;="&amp;$B47,Log!$A$5:$A$1504,"&lt;"&amp;($B47+7))</f>
        <v>0</v>
      </c>
      <c r="K47" s="28" t="n">
        <f aca="false">SUMIFS(Log!$K$5:$K$1504,Log!$C$5:$C$1504,K$33,Log!$A$5:$A$1504,"&gt;="&amp;$B47,Log!$A$5:$A$1504,"&lt;"&amp;($B47+7))</f>
        <v>0</v>
      </c>
      <c r="L47" s="28" t="n">
        <f aca="false">SUMIFS(Log!$K$5:$K$1504,Log!$C$5:$C$1504,L$33,Log!$A$5:$A$1504,"&gt;="&amp;$B47,Log!$A$5:$A$1504,"&lt;"&amp;($B47+7))</f>
        <v>0</v>
      </c>
      <c r="M47" s="28" t="n">
        <f aca="false">SUMIFS(Log!$K$5:$K$1504,Log!$C$5:$C$1504,M$33,Log!$A$5:$A$1504,"&gt;="&amp;$B47,Log!$A$5:$A$1504,"&lt;"&amp;($B47+7))</f>
        <v>0</v>
      </c>
      <c r="N47" s="28" t="n">
        <f aca="false">SUMIFS(Log!$K$5:$K$1504,Log!$C$5:$C$1504,N$33,Log!$A$5:$A$1504,"&gt;="&amp;$B47,Log!$A$5:$A$1504,"&lt;"&amp;($B47+7))</f>
        <v>0</v>
      </c>
      <c r="O47" s="28" t="n">
        <f aca="false">SUMIFS(Log!$K$5:$K$1504,Log!$C$5:$C$1504,O$33,Log!$A$5:$A$1504,"&gt;="&amp;$B47,Log!$A$5:$A$1504,"&lt;"&amp;($B47+7))</f>
        <v>0</v>
      </c>
      <c r="P47" s="28" t="n">
        <f aca="false">SUMIFS(Log!$K$5:$K$1504,Log!$C$5:$C$1504,P$33,Log!$A$5:$A$1504,"&gt;="&amp;$B47,Log!$A$5:$A$1504,"&lt;"&amp;($B47+7))</f>
        <v>0</v>
      </c>
      <c r="Q47" s="28" t="n">
        <f aca="false">SUMIFS(Log!$K$5:$K$1504,Log!$C$5:$C$1504,Q$33,Log!$A$5:$A$1504,"&gt;="&amp;$B47,Log!$A$5:$A$1504,"&lt;"&amp;($B47+7))</f>
        <v>0</v>
      </c>
    </row>
    <row r="48" customFormat="false" ht="15" hidden="false" customHeight="false" outlineLevel="0" collapsed="false">
      <c r="A48" s="18" t="n">
        <v>15</v>
      </c>
      <c r="B48" s="24" t="n">
        <f aca="false">'Start Here'!$C$4+7*(A48-1)</f>
        <v>46398</v>
      </c>
      <c r="C48" s="28" t="n">
        <f aca="false">_xlfn.MAXIFS(Log!$L$5:$L$1504,Log!$C$5:$C$1504,C$33,Log!$A$5:$A$1504,"&gt;="&amp;$B48,Log!$A$5:$A$1504,"&lt;"&amp;($B48+7))</f>
        <v>0</v>
      </c>
      <c r="D48" s="28" t="n">
        <f aca="false">_xlfn.MAXIFS(Log!$L$5:$L$1504,Log!$C$5:$C$1504,D$33,Log!$A$5:$A$1504,"&gt;="&amp;$B48,Log!$A$5:$A$1504,"&lt;"&amp;($B48+7))</f>
        <v>0</v>
      </c>
      <c r="E48" s="28" t="n">
        <f aca="false">_xlfn.MAXIFS(Log!$L$5:$L$1504,Log!$C$5:$C$1504,E$33,Log!$A$5:$A$1504,"&gt;="&amp;$B48,Log!$A$5:$A$1504,"&lt;"&amp;($B48+7))</f>
        <v>0</v>
      </c>
      <c r="F48" s="28" t="n">
        <f aca="false">_xlfn.MAXIFS(Log!$L$5:$L$1504,Log!$C$5:$C$1504,F$33,Log!$A$5:$A$1504,"&gt;="&amp;$B48,Log!$A$5:$A$1504,"&lt;"&amp;($B48+7))</f>
        <v>0</v>
      </c>
      <c r="G48" s="28" t="n">
        <f aca="false">_xlfn.MAXIFS(Log!$L$5:$L$1504,Log!$C$5:$C$1504,G$33,Log!$A$5:$A$1504,"&gt;="&amp;$B48,Log!$A$5:$A$1504,"&lt;"&amp;($B48+7))</f>
        <v>0</v>
      </c>
      <c r="H48" s="28" t="n">
        <f aca="false">_xlfn.MAXIFS(Log!$L$5:$L$1504,Log!$C$5:$C$1504,H$33,Log!$A$5:$A$1504,"&gt;="&amp;$B48,Log!$A$5:$A$1504,"&lt;"&amp;($B48+7))</f>
        <v>0</v>
      </c>
      <c r="I48" s="28" t="n">
        <f aca="false">_xlfn.MAXIFS(Log!$L$5:$L$1504,Log!$C$5:$C$1504,I$33,Log!$A$5:$A$1504,"&gt;="&amp;$B48,Log!$A$5:$A$1504,"&lt;"&amp;($B48+7))</f>
        <v>0</v>
      </c>
      <c r="K48" s="28" t="n">
        <f aca="false">SUMIFS(Log!$K$5:$K$1504,Log!$C$5:$C$1504,K$33,Log!$A$5:$A$1504,"&gt;="&amp;$B48,Log!$A$5:$A$1504,"&lt;"&amp;($B48+7))</f>
        <v>0</v>
      </c>
      <c r="L48" s="28" t="n">
        <f aca="false">SUMIFS(Log!$K$5:$K$1504,Log!$C$5:$C$1504,L$33,Log!$A$5:$A$1504,"&gt;="&amp;$B48,Log!$A$5:$A$1504,"&lt;"&amp;($B48+7))</f>
        <v>0</v>
      </c>
      <c r="M48" s="28" t="n">
        <f aca="false">SUMIFS(Log!$K$5:$K$1504,Log!$C$5:$C$1504,M$33,Log!$A$5:$A$1504,"&gt;="&amp;$B48,Log!$A$5:$A$1504,"&lt;"&amp;($B48+7))</f>
        <v>0</v>
      </c>
      <c r="N48" s="28" t="n">
        <f aca="false">SUMIFS(Log!$K$5:$K$1504,Log!$C$5:$C$1504,N$33,Log!$A$5:$A$1504,"&gt;="&amp;$B48,Log!$A$5:$A$1504,"&lt;"&amp;($B48+7))</f>
        <v>0</v>
      </c>
      <c r="O48" s="28" t="n">
        <f aca="false">SUMIFS(Log!$K$5:$K$1504,Log!$C$5:$C$1504,O$33,Log!$A$5:$A$1504,"&gt;="&amp;$B48,Log!$A$5:$A$1504,"&lt;"&amp;($B48+7))</f>
        <v>0</v>
      </c>
      <c r="P48" s="28" t="n">
        <f aca="false">SUMIFS(Log!$K$5:$K$1504,Log!$C$5:$C$1504,P$33,Log!$A$5:$A$1504,"&gt;="&amp;$B48,Log!$A$5:$A$1504,"&lt;"&amp;($B48+7))</f>
        <v>0</v>
      </c>
      <c r="Q48" s="28" t="n">
        <f aca="false">SUMIFS(Log!$K$5:$K$1504,Log!$C$5:$C$1504,Q$33,Log!$A$5:$A$1504,"&gt;="&amp;$B48,Log!$A$5:$A$1504,"&lt;"&amp;($B48+7))</f>
        <v>0</v>
      </c>
    </row>
    <row r="49" customFormat="false" ht="15" hidden="false" customHeight="false" outlineLevel="0" collapsed="false">
      <c r="A49" s="18" t="n">
        <v>16</v>
      </c>
      <c r="B49" s="24" t="n">
        <f aca="false">'Start Here'!$C$4+7*(A49-1)</f>
        <v>46405</v>
      </c>
      <c r="C49" s="28" t="n">
        <f aca="false">_xlfn.MAXIFS(Log!$L$5:$L$1504,Log!$C$5:$C$1504,C$33,Log!$A$5:$A$1504,"&gt;="&amp;$B49,Log!$A$5:$A$1504,"&lt;"&amp;($B49+7))</f>
        <v>0</v>
      </c>
      <c r="D49" s="28" t="n">
        <f aca="false">_xlfn.MAXIFS(Log!$L$5:$L$1504,Log!$C$5:$C$1504,D$33,Log!$A$5:$A$1504,"&gt;="&amp;$B49,Log!$A$5:$A$1504,"&lt;"&amp;($B49+7))</f>
        <v>0</v>
      </c>
      <c r="E49" s="28" t="n">
        <f aca="false">_xlfn.MAXIFS(Log!$L$5:$L$1504,Log!$C$5:$C$1504,E$33,Log!$A$5:$A$1504,"&gt;="&amp;$B49,Log!$A$5:$A$1504,"&lt;"&amp;($B49+7))</f>
        <v>0</v>
      </c>
      <c r="F49" s="28" t="n">
        <f aca="false">_xlfn.MAXIFS(Log!$L$5:$L$1504,Log!$C$5:$C$1504,F$33,Log!$A$5:$A$1504,"&gt;="&amp;$B49,Log!$A$5:$A$1504,"&lt;"&amp;($B49+7))</f>
        <v>0</v>
      </c>
      <c r="G49" s="28" t="n">
        <f aca="false">_xlfn.MAXIFS(Log!$L$5:$L$1504,Log!$C$5:$C$1504,G$33,Log!$A$5:$A$1504,"&gt;="&amp;$B49,Log!$A$5:$A$1504,"&lt;"&amp;($B49+7))</f>
        <v>0</v>
      </c>
      <c r="H49" s="28" t="n">
        <f aca="false">_xlfn.MAXIFS(Log!$L$5:$L$1504,Log!$C$5:$C$1504,H$33,Log!$A$5:$A$1504,"&gt;="&amp;$B49,Log!$A$5:$A$1504,"&lt;"&amp;($B49+7))</f>
        <v>0</v>
      </c>
      <c r="I49" s="28" t="n">
        <f aca="false">_xlfn.MAXIFS(Log!$L$5:$L$1504,Log!$C$5:$C$1504,I$33,Log!$A$5:$A$1504,"&gt;="&amp;$B49,Log!$A$5:$A$1504,"&lt;"&amp;($B49+7))</f>
        <v>0</v>
      </c>
      <c r="K49" s="28" t="n">
        <f aca="false">SUMIFS(Log!$K$5:$K$1504,Log!$C$5:$C$1504,K$33,Log!$A$5:$A$1504,"&gt;="&amp;$B49,Log!$A$5:$A$1504,"&lt;"&amp;($B49+7))</f>
        <v>0</v>
      </c>
      <c r="L49" s="28" t="n">
        <f aca="false">SUMIFS(Log!$K$5:$K$1504,Log!$C$5:$C$1504,L$33,Log!$A$5:$A$1504,"&gt;="&amp;$B49,Log!$A$5:$A$1504,"&lt;"&amp;($B49+7))</f>
        <v>0</v>
      </c>
      <c r="M49" s="28" t="n">
        <f aca="false">SUMIFS(Log!$K$5:$K$1504,Log!$C$5:$C$1504,M$33,Log!$A$5:$A$1504,"&gt;="&amp;$B49,Log!$A$5:$A$1504,"&lt;"&amp;($B49+7))</f>
        <v>0</v>
      </c>
      <c r="N49" s="28" t="n">
        <f aca="false">SUMIFS(Log!$K$5:$K$1504,Log!$C$5:$C$1504,N$33,Log!$A$5:$A$1504,"&gt;="&amp;$B49,Log!$A$5:$A$1504,"&lt;"&amp;($B49+7))</f>
        <v>0</v>
      </c>
      <c r="O49" s="28" t="n">
        <f aca="false">SUMIFS(Log!$K$5:$K$1504,Log!$C$5:$C$1504,O$33,Log!$A$5:$A$1504,"&gt;="&amp;$B49,Log!$A$5:$A$1504,"&lt;"&amp;($B49+7))</f>
        <v>0</v>
      </c>
      <c r="P49" s="28" t="n">
        <f aca="false">SUMIFS(Log!$K$5:$K$1504,Log!$C$5:$C$1504,P$33,Log!$A$5:$A$1504,"&gt;="&amp;$B49,Log!$A$5:$A$1504,"&lt;"&amp;($B49+7))</f>
        <v>0</v>
      </c>
      <c r="Q49" s="28" t="n">
        <f aca="false">SUMIFS(Log!$K$5:$K$1504,Log!$C$5:$C$1504,Q$33,Log!$A$5:$A$1504,"&gt;="&amp;$B49,Log!$A$5:$A$1504,"&lt;"&amp;($B49+7))</f>
        <v>0</v>
      </c>
    </row>
    <row r="50" customFormat="false" ht="15" hidden="false" customHeight="false" outlineLevel="0" collapsed="false">
      <c r="A50" s="18" t="n">
        <v>17</v>
      </c>
      <c r="B50" s="24" t="n">
        <f aca="false">'Start Here'!$C$4+7*(A50-1)</f>
        <v>46412</v>
      </c>
      <c r="C50" s="28" t="n">
        <f aca="false">_xlfn.MAXIFS(Log!$L$5:$L$1504,Log!$C$5:$C$1504,C$33,Log!$A$5:$A$1504,"&gt;="&amp;$B50,Log!$A$5:$A$1504,"&lt;"&amp;($B50+7))</f>
        <v>0</v>
      </c>
      <c r="D50" s="28" t="n">
        <f aca="false">_xlfn.MAXIFS(Log!$L$5:$L$1504,Log!$C$5:$C$1504,D$33,Log!$A$5:$A$1504,"&gt;="&amp;$B50,Log!$A$5:$A$1504,"&lt;"&amp;($B50+7))</f>
        <v>0</v>
      </c>
      <c r="E50" s="28" t="n">
        <f aca="false">_xlfn.MAXIFS(Log!$L$5:$L$1504,Log!$C$5:$C$1504,E$33,Log!$A$5:$A$1504,"&gt;="&amp;$B50,Log!$A$5:$A$1504,"&lt;"&amp;($B50+7))</f>
        <v>0</v>
      </c>
      <c r="F50" s="28" t="n">
        <f aca="false">_xlfn.MAXIFS(Log!$L$5:$L$1504,Log!$C$5:$C$1504,F$33,Log!$A$5:$A$1504,"&gt;="&amp;$B50,Log!$A$5:$A$1504,"&lt;"&amp;($B50+7))</f>
        <v>0</v>
      </c>
      <c r="G50" s="28" t="n">
        <f aca="false">_xlfn.MAXIFS(Log!$L$5:$L$1504,Log!$C$5:$C$1504,G$33,Log!$A$5:$A$1504,"&gt;="&amp;$B50,Log!$A$5:$A$1504,"&lt;"&amp;($B50+7))</f>
        <v>0</v>
      </c>
      <c r="H50" s="28" t="n">
        <f aca="false">_xlfn.MAXIFS(Log!$L$5:$L$1504,Log!$C$5:$C$1504,H$33,Log!$A$5:$A$1504,"&gt;="&amp;$B50,Log!$A$5:$A$1504,"&lt;"&amp;($B50+7))</f>
        <v>0</v>
      </c>
      <c r="I50" s="28" t="n">
        <f aca="false">_xlfn.MAXIFS(Log!$L$5:$L$1504,Log!$C$5:$C$1504,I$33,Log!$A$5:$A$1504,"&gt;="&amp;$B50,Log!$A$5:$A$1504,"&lt;"&amp;($B50+7))</f>
        <v>0</v>
      </c>
      <c r="K50" s="28" t="n">
        <f aca="false">SUMIFS(Log!$K$5:$K$1504,Log!$C$5:$C$1504,K$33,Log!$A$5:$A$1504,"&gt;="&amp;$B50,Log!$A$5:$A$1504,"&lt;"&amp;($B50+7))</f>
        <v>0</v>
      </c>
      <c r="L50" s="28" t="n">
        <f aca="false">SUMIFS(Log!$K$5:$K$1504,Log!$C$5:$C$1504,L$33,Log!$A$5:$A$1504,"&gt;="&amp;$B50,Log!$A$5:$A$1504,"&lt;"&amp;($B50+7))</f>
        <v>0</v>
      </c>
      <c r="M50" s="28" t="n">
        <f aca="false">SUMIFS(Log!$K$5:$K$1504,Log!$C$5:$C$1504,M$33,Log!$A$5:$A$1504,"&gt;="&amp;$B50,Log!$A$5:$A$1504,"&lt;"&amp;($B50+7))</f>
        <v>0</v>
      </c>
      <c r="N50" s="28" t="n">
        <f aca="false">SUMIFS(Log!$K$5:$K$1504,Log!$C$5:$C$1504,N$33,Log!$A$5:$A$1504,"&gt;="&amp;$B50,Log!$A$5:$A$1504,"&lt;"&amp;($B50+7))</f>
        <v>0</v>
      </c>
      <c r="O50" s="28" t="n">
        <f aca="false">SUMIFS(Log!$K$5:$K$1504,Log!$C$5:$C$1504,O$33,Log!$A$5:$A$1504,"&gt;="&amp;$B50,Log!$A$5:$A$1504,"&lt;"&amp;($B50+7))</f>
        <v>0</v>
      </c>
      <c r="P50" s="28" t="n">
        <f aca="false">SUMIFS(Log!$K$5:$K$1504,Log!$C$5:$C$1504,P$33,Log!$A$5:$A$1504,"&gt;="&amp;$B50,Log!$A$5:$A$1504,"&lt;"&amp;($B50+7))</f>
        <v>0</v>
      </c>
      <c r="Q50" s="28" t="n">
        <f aca="false">SUMIFS(Log!$K$5:$K$1504,Log!$C$5:$C$1504,Q$33,Log!$A$5:$A$1504,"&gt;="&amp;$B50,Log!$A$5:$A$1504,"&lt;"&amp;($B50+7))</f>
        <v>0</v>
      </c>
    </row>
    <row r="51" customFormat="false" ht="15" hidden="false" customHeight="false" outlineLevel="0" collapsed="false">
      <c r="A51" s="18" t="n">
        <v>18</v>
      </c>
      <c r="B51" s="24" t="n">
        <f aca="false">'Start Here'!$C$4+7*(A51-1)</f>
        <v>46419</v>
      </c>
      <c r="C51" s="28" t="n">
        <f aca="false">_xlfn.MAXIFS(Log!$L$5:$L$1504,Log!$C$5:$C$1504,C$33,Log!$A$5:$A$1504,"&gt;="&amp;$B51,Log!$A$5:$A$1504,"&lt;"&amp;($B51+7))</f>
        <v>0</v>
      </c>
      <c r="D51" s="28" t="n">
        <f aca="false">_xlfn.MAXIFS(Log!$L$5:$L$1504,Log!$C$5:$C$1504,D$33,Log!$A$5:$A$1504,"&gt;="&amp;$B51,Log!$A$5:$A$1504,"&lt;"&amp;($B51+7))</f>
        <v>0</v>
      </c>
      <c r="E51" s="28" t="n">
        <f aca="false">_xlfn.MAXIFS(Log!$L$5:$L$1504,Log!$C$5:$C$1504,E$33,Log!$A$5:$A$1504,"&gt;="&amp;$B51,Log!$A$5:$A$1504,"&lt;"&amp;($B51+7))</f>
        <v>0</v>
      </c>
      <c r="F51" s="28" t="n">
        <f aca="false">_xlfn.MAXIFS(Log!$L$5:$L$1504,Log!$C$5:$C$1504,F$33,Log!$A$5:$A$1504,"&gt;="&amp;$B51,Log!$A$5:$A$1504,"&lt;"&amp;($B51+7))</f>
        <v>0</v>
      </c>
      <c r="G51" s="28" t="n">
        <f aca="false">_xlfn.MAXIFS(Log!$L$5:$L$1504,Log!$C$5:$C$1504,G$33,Log!$A$5:$A$1504,"&gt;="&amp;$B51,Log!$A$5:$A$1504,"&lt;"&amp;($B51+7))</f>
        <v>0</v>
      </c>
      <c r="H51" s="28" t="n">
        <f aca="false">_xlfn.MAXIFS(Log!$L$5:$L$1504,Log!$C$5:$C$1504,H$33,Log!$A$5:$A$1504,"&gt;="&amp;$B51,Log!$A$5:$A$1504,"&lt;"&amp;($B51+7))</f>
        <v>0</v>
      </c>
      <c r="I51" s="28" t="n">
        <f aca="false">_xlfn.MAXIFS(Log!$L$5:$L$1504,Log!$C$5:$C$1504,I$33,Log!$A$5:$A$1504,"&gt;="&amp;$B51,Log!$A$5:$A$1504,"&lt;"&amp;($B51+7))</f>
        <v>0</v>
      </c>
      <c r="K51" s="28" t="n">
        <f aca="false">SUMIFS(Log!$K$5:$K$1504,Log!$C$5:$C$1504,K$33,Log!$A$5:$A$1504,"&gt;="&amp;$B51,Log!$A$5:$A$1504,"&lt;"&amp;($B51+7))</f>
        <v>0</v>
      </c>
      <c r="L51" s="28" t="n">
        <f aca="false">SUMIFS(Log!$K$5:$K$1504,Log!$C$5:$C$1504,L$33,Log!$A$5:$A$1504,"&gt;="&amp;$B51,Log!$A$5:$A$1504,"&lt;"&amp;($B51+7))</f>
        <v>0</v>
      </c>
      <c r="M51" s="28" t="n">
        <f aca="false">SUMIFS(Log!$K$5:$K$1504,Log!$C$5:$C$1504,M$33,Log!$A$5:$A$1504,"&gt;="&amp;$B51,Log!$A$5:$A$1504,"&lt;"&amp;($B51+7))</f>
        <v>0</v>
      </c>
      <c r="N51" s="28" t="n">
        <f aca="false">SUMIFS(Log!$K$5:$K$1504,Log!$C$5:$C$1504,N$33,Log!$A$5:$A$1504,"&gt;="&amp;$B51,Log!$A$5:$A$1504,"&lt;"&amp;($B51+7))</f>
        <v>0</v>
      </c>
      <c r="O51" s="28" t="n">
        <f aca="false">SUMIFS(Log!$K$5:$K$1504,Log!$C$5:$C$1504,O$33,Log!$A$5:$A$1504,"&gt;="&amp;$B51,Log!$A$5:$A$1504,"&lt;"&amp;($B51+7))</f>
        <v>0</v>
      </c>
      <c r="P51" s="28" t="n">
        <f aca="false">SUMIFS(Log!$K$5:$K$1504,Log!$C$5:$C$1504,P$33,Log!$A$5:$A$1504,"&gt;="&amp;$B51,Log!$A$5:$A$1504,"&lt;"&amp;($B51+7))</f>
        <v>0</v>
      </c>
      <c r="Q51" s="28" t="n">
        <f aca="false">SUMIFS(Log!$K$5:$K$1504,Log!$C$5:$C$1504,Q$33,Log!$A$5:$A$1504,"&gt;="&amp;$B51,Log!$A$5:$A$1504,"&lt;"&amp;($B51+7))</f>
        <v>0</v>
      </c>
    </row>
    <row r="52" customFormat="false" ht="15" hidden="false" customHeight="false" outlineLevel="0" collapsed="false">
      <c r="A52" s="18" t="n">
        <v>19</v>
      </c>
      <c r="B52" s="24" t="n">
        <f aca="false">'Start Here'!$C$4+7*(A52-1)</f>
        <v>46426</v>
      </c>
      <c r="C52" s="28" t="n">
        <f aca="false">_xlfn.MAXIFS(Log!$L$5:$L$1504,Log!$C$5:$C$1504,C$33,Log!$A$5:$A$1504,"&gt;="&amp;$B52,Log!$A$5:$A$1504,"&lt;"&amp;($B52+7))</f>
        <v>0</v>
      </c>
      <c r="D52" s="28" t="n">
        <f aca="false">_xlfn.MAXIFS(Log!$L$5:$L$1504,Log!$C$5:$C$1504,D$33,Log!$A$5:$A$1504,"&gt;="&amp;$B52,Log!$A$5:$A$1504,"&lt;"&amp;($B52+7))</f>
        <v>0</v>
      </c>
      <c r="E52" s="28" t="n">
        <f aca="false">_xlfn.MAXIFS(Log!$L$5:$L$1504,Log!$C$5:$C$1504,E$33,Log!$A$5:$A$1504,"&gt;="&amp;$B52,Log!$A$5:$A$1504,"&lt;"&amp;($B52+7))</f>
        <v>0</v>
      </c>
      <c r="F52" s="28" t="n">
        <f aca="false">_xlfn.MAXIFS(Log!$L$5:$L$1504,Log!$C$5:$C$1504,F$33,Log!$A$5:$A$1504,"&gt;="&amp;$B52,Log!$A$5:$A$1504,"&lt;"&amp;($B52+7))</f>
        <v>0</v>
      </c>
      <c r="G52" s="28" t="n">
        <f aca="false">_xlfn.MAXIFS(Log!$L$5:$L$1504,Log!$C$5:$C$1504,G$33,Log!$A$5:$A$1504,"&gt;="&amp;$B52,Log!$A$5:$A$1504,"&lt;"&amp;($B52+7))</f>
        <v>0</v>
      </c>
      <c r="H52" s="28" t="n">
        <f aca="false">_xlfn.MAXIFS(Log!$L$5:$L$1504,Log!$C$5:$C$1504,H$33,Log!$A$5:$A$1504,"&gt;="&amp;$B52,Log!$A$5:$A$1504,"&lt;"&amp;($B52+7))</f>
        <v>0</v>
      </c>
      <c r="I52" s="28" t="n">
        <f aca="false">_xlfn.MAXIFS(Log!$L$5:$L$1504,Log!$C$5:$C$1504,I$33,Log!$A$5:$A$1504,"&gt;="&amp;$B52,Log!$A$5:$A$1504,"&lt;"&amp;($B52+7))</f>
        <v>0</v>
      </c>
      <c r="K52" s="28" t="n">
        <f aca="false">SUMIFS(Log!$K$5:$K$1504,Log!$C$5:$C$1504,K$33,Log!$A$5:$A$1504,"&gt;="&amp;$B52,Log!$A$5:$A$1504,"&lt;"&amp;($B52+7))</f>
        <v>0</v>
      </c>
      <c r="L52" s="28" t="n">
        <f aca="false">SUMIFS(Log!$K$5:$K$1504,Log!$C$5:$C$1504,L$33,Log!$A$5:$A$1504,"&gt;="&amp;$B52,Log!$A$5:$A$1504,"&lt;"&amp;($B52+7))</f>
        <v>0</v>
      </c>
      <c r="M52" s="28" t="n">
        <f aca="false">SUMIFS(Log!$K$5:$K$1504,Log!$C$5:$C$1504,M$33,Log!$A$5:$A$1504,"&gt;="&amp;$B52,Log!$A$5:$A$1504,"&lt;"&amp;($B52+7))</f>
        <v>0</v>
      </c>
      <c r="N52" s="28" t="n">
        <f aca="false">SUMIFS(Log!$K$5:$K$1504,Log!$C$5:$C$1504,N$33,Log!$A$5:$A$1504,"&gt;="&amp;$B52,Log!$A$5:$A$1504,"&lt;"&amp;($B52+7))</f>
        <v>0</v>
      </c>
      <c r="O52" s="28" t="n">
        <f aca="false">SUMIFS(Log!$K$5:$K$1504,Log!$C$5:$C$1504,O$33,Log!$A$5:$A$1504,"&gt;="&amp;$B52,Log!$A$5:$A$1504,"&lt;"&amp;($B52+7))</f>
        <v>0</v>
      </c>
      <c r="P52" s="28" t="n">
        <f aca="false">SUMIFS(Log!$K$5:$K$1504,Log!$C$5:$C$1504,P$33,Log!$A$5:$A$1504,"&gt;="&amp;$B52,Log!$A$5:$A$1504,"&lt;"&amp;($B52+7))</f>
        <v>0</v>
      </c>
      <c r="Q52" s="28" t="n">
        <f aca="false">SUMIFS(Log!$K$5:$K$1504,Log!$C$5:$C$1504,Q$33,Log!$A$5:$A$1504,"&gt;="&amp;$B52,Log!$A$5:$A$1504,"&lt;"&amp;($B52+7))</f>
        <v>0</v>
      </c>
    </row>
    <row r="53" customFormat="false" ht="15" hidden="false" customHeight="false" outlineLevel="0" collapsed="false">
      <c r="A53" s="18" t="n">
        <v>20</v>
      </c>
      <c r="B53" s="24" t="n">
        <f aca="false">'Start Here'!$C$4+7*(A53-1)</f>
        <v>46433</v>
      </c>
      <c r="C53" s="28" t="n">
        <f aca="false">_xlfn.MAXIFS(Log!$L$5:$L$1504,Log!$C$5:$C$1504,C$33,Log!$A$5:$A$1504,"&gt;="&amp;$B53,Log!$A$5:$A$1504,"&lt;"&amp;($B53+7))</f>
        <v>0</v>
      </c>
      <c r="D53" s="28" t="n">
        <f aca="false">_xlfn.MAXIFS(Log!$L$5:$L$1504,Log!$C$5:$C$1504,D$33,Log!$A$5:$A$1504,"&gt;="&amp;$B53,Log!$A$5:$A$1504,"&lt;"&amp;($B53+7))</f>
        <v>0</v>
      </c>
      <c r="E53" s="28" t="n">
        <f aca="false">_xlfn.MAXIFS(Log!$L$5:$L$1504,Log!$C$5:$C$1504,E$33,Log!$A$5:$A$1504,"&gt;="&amp;$B53,Log!$A$5:$A$1504,"&lt;"&amp;($B53+7))</f>
        <v>0</v>
      </c>
      <c r="F53" s="28" t="n">
        <f aca="false">_xlfn.MAXIFS(Log!$L$5:$L$1504,Log!$C$5:$C$1504,F$33,Log!$A$5:$A$1504,"&gt;="&amp;$B53,Log!$A$5:$A$1504,"&lt;"&amp;($B53+7))</f>
        <v>0</v>
      </c>
      <c r="G53" s="28" t="n">
        <f aca="false">_xlfn.MAXIFS(Log!$L$5:$L$1504,Log!$C$5:$C$1504,G$33,Log!$A$5:$A$1504,"&gt;="&amp;$B53,Log!$A$5:$A$1504,"&lt;"&amp;($B53+7))</f>
        <v>0</v>
      </c>
      <c r="H53" s="28" t="n">
        <f aca="false">_xlfn.MAXIFS(Log!$L$5:$L$1504,Log!$C$5:$C$1504,H$33,Log!$A$5:$A$1504,"&gt;="&amp;$B53,Log!$A$5:$A$1504,"&lt;"&amp;($B53+7))</f>
        <v>0</v>
      </c>
      <c r="I53" s="28" t="n">
        <f aca="false">_xlfn.MAXIFS(Log!$L$5:$L$1504,Log!$C$5:$C$1504,I$33,Log!$A$5:$A$1504,"&gt;="&amp;$B53,Log!$A$5:$A$1504,"&lt;"&amp;($B53+7))</f>
        <v>0</v>
      </c>
      <c r="K53" s="28" t="n">
        <f aca="false">SUMIFS(Log!$K$5:$K$1504,Log!$C$5:$C$1504,K$33,Log!$A$5:$A$1504,"&gt;="&amp;$B53,Log!$A$5:$A$1504,"&lt;"&amp;($B53+7))</f>
        <v>0</v>
      </c>
      <c r="L53" s="28" t="n">
        <f aca="false">SUMIFS(Log!$K$5:$K$1504,Log!$C$5:$C$1504,L$33,Log!$A$5:$A$1504,"&gt;="&amp;$B53,Log!$A$5:$A$1504,"&lt;"&amp;($B53+7))</f>
        <v>0</v>
      </c>
      <c r="M53" s="28" t="n">
        <f aca="false">SUMIFS(Log!$K$5:$K$1504,Log!$C$5:$C$1504,M$33,Log!$A$5:$A$1504,"&gt;="&amp;$B53,Log!$A$5:$A$1504,"&lt;"&amp;($B53+7))</f>
        <v>0</v>
      </c>
      <c r="N53" s="28" t="n">
        <f aca="false">SUMIFS(Log!$K$5:$K$1504,Log!$C$5:$C$1504,N$33,Log!$A$5:$A$1504,"&gt;="&amp;$B53,Log!$A$5:$A$1504,"&lt;"&amp;($B53+7))</f>
        <v>0</v>
      </c>
      <c r="O53" s="28" t="n">
        <f aca="false">SUMIFS(Log!$K$5:$K$1504,Log!$C$5:$C$1504,O$33,Log!$A$5:$A$1504,"&gt;="&amp;$B53,Log!$A$5:$A$1504,"&lt;"&amp;($B53+7))</f>
        <v>0</v>
      </c>
      <c r="P53" s="28" t="n">
        <f aca="false">SUMIFS(Log!$K$5:$K$1504,Log!$C$5:$C$1504,P$33,Log!$A$5:$A$1504,"&gt;="&amp;$B53,Log!$A$5:$A$1504,"&lt;"&amp;($B53+7))</f>
        <v>0</v>
      </c>
      <c r="Q53" s="28" t="n">
        <f aca="false">SUMIFS(Log!$K$5:$K$1504,Log!$C$5:$C$1504,Q$33,Log!$A$5:$A$1504,"&gt;="&amp;$B53,Log!$A$5:$A$1504,"&lt;"&amp;($B53+7))</f>
        <v>0</v>
      </c>
    </row>
    <row r="54" customFormat="false" ht="15" hidden="false" customHeight="false" outlineLevel="0" collapsed="false">
      <c r="A54" s="18" t="n">
        <v>21</v>
      </c>
      <c r="B54" s="24" t="n">
        <f aca="false">'Start Here'!$C$4+7*(A54-1)</f>
        <v>46440</v>
      </c>
      <c r="C54" s="28" t="n">
        <f aca="false">_xlfn.MAXIFS(Log!$L$5:$L$1504,Log!$C$5:$C$1504,C$33,Log!$A$5:$A$1504,"&gt;="&amp;$B54,Log!$A$5:$A$1504,"&lt;"&amp;($B54+7))</f>
        <v>0</v>
      </c>
      <c r="D54" s="28" t="n">
        <f aca="false">_xlfn.MAXIFS(Log!$L$5:$L$1504,Log!$C$5:$C$1504,D$33,Log!$A$5:$A$1504,"&gt;="&amp;$B54,Log!$A$5:$A$1504,"&lt;"&amp;($B54+7))</f>
        <v>0</v>
      </c>
      <c r="E54" s="28" t="n">
        <f aca="false">_xlfn.MAXIFS(Log!$L$5:$L$1504,Log!$C$5:$C$1504,E$33,Log!$A$5:$A$1504,"&gt;="&amp;$B54,Log!$A$5:$A$1504,"&lt;"&amp;($B54+7))</f>
        <v>0</v>
      </c>
      <c r="F54" s="28" t="n">
        <f aca="false">_xlfn.MAXIFS(Log!$L$5:$L$1504,Log!$C$5:$C$1504,F$33,Log!$A$5:$A$1504,"&gt;="&amp;$B54,Log!$A$5:$A$1504,"&lt;"&amp;($B54+7))</f>
        <v>0</v>
      </c>
      <c r="G54" s="28" t="n">
        <f aca="false">_xlfn.MAXIFS(Log!$L$5:$L$1504,Log!$C$5:$C$1504,G$33,Log!$A$5:$A$1504,"&gt;="&amp;$B54,Log!$A$5:$A$1504,"&lt;"&amp;($B54+7))</f>
        <v>0</v>
      </c>
      <c r="H54" s="28" t="n">
        <f aca="false">_xlfn.MAXIFS(Log!$L$5:$L$1504,Log!$C$5:$C$1504,H$33,Log!$A$5:$A$1504,"&gt;="&amp;$B54,Log!$A$5:$A$1504,"&lt;"&amp;($B54+7))</f>
        <v>0</v>
      </c>
      <c r="I54" s="28" t="n">
        <f aca="false">_xlfn.MAXIFS(Log!$L$5:$L$1504,Log!$C$5:$C$1504,I$33,Log!$A$5:$A$1504,"&gt;="&amp;$B54,Log!$A$5:$A$1504,"&lt;"&amp;($B54+7))</f>
        <v>0</v>
      </c>
      <c r="K54" s="28" t="n">
        <f aca="false">SUMIFS(Log!$K$5:$K$1504,Log!$C$5:$C$1504,K$33,Log!$A$5:$A$1504,"&gt;="&amp;$B54,Log!$A$5:$A$1504,"&lt;"&amp;($B54+7))</f>
        <v>0</v>
      </c>
      <c r="L54" s="28" t="n">
        <f aca="false">SUMIFS(Log!$K$5:$K$1504,Log!$C$5:$C$1504,L$33,Log!$A$5:$A$1504,"&gt;="&amp;$B54,Log!$A$5:$A$1504,"&lt;"&amp;($B54+7))</f>
        <v>0</v>
      </c>
      <c r="M54" s="28" t="n">
        <f aca="false">SUMIFS(Log!$K$5:$K$1504,Log!$C$5:$C$1504,M$33,Log!$A$5:$A$1504,"&gt;="&amp;$B54,Log!$A$5:$A$1504,"&lt;"&amp;($B54+7))</f>
        <v>0</v>
      </c>
      <c r="N54" s="28" t="n">
        <f aca="false">SUMIFS(Log!$K$5:$K$1504,Log!$C$5:$C$1504,N$33,Log!$A$5:$A$1504,"&gt;="&amp;$B54,Log!$A$5:$A$1504,"&lt;"&amp;($B54+7))</f>
        <v>0</v>
      </c>
      <c r="O54" s="28" t="n">
        <f aca="false">SUMIFS(Log!$K$5:$K$1504,Log!$C$5:$C$1504,O$33,Log!$A$5:$A$1504,"&gt;="&amp;$B54,Log!$A$5:$A$1504,"&lt;"&amp;($B54+7))</f>
        <v>0</v>
      </c>
      <c r="P54" s="28" t="n">
        <f aca="false">SUMIFS(Log!$K$5:$K$1504,Log!$C$5:$C$1504,P$33,Log!$A$5:$A$1504,"&gt;="&amp;$B54,Log!$A$5:$A$1504,"&lt;"&amp;($B54+7))</f>
        <v>0</v>
      </c>
      <c r="Q54" s="28" t="n">
        <f aca="false">SUMIFS(Log!$K$5:$K$1504,Log!$C$5:$C$1504,Q$33,Log!$A$5:$A$1504,"&gt;="&amp;$B54,Log!$A$5:$A$1504,"&lt;"&amp;($B54+7))</f>
        <v>0</v>
      </c>
    </row>
    <row r="55" customFormat="false" ht="15" hidden="false" customHeight="false" outlineLevel="0" collapsed="false">
      <c r="A55" s="18" t="n">
        <v>22</v>
      </c>
      <c r="B55" s="24" t="n">
        <f aca="false">'Start Here'!$C$4+7*(A55-1)</f>
        <v>46447</v>
      </c>
      <c r="C55" s="28" t="n">
        <f aca="false">_xlfn.MAXIFS(Log!$L$5:$L$1504,Log!$C$5:$C$1504,C$33,Log!$A$5:$A$1504,"&gt;="&amp;$B55,Log!$A$5:$A$1504,"&lt;"&amp;($B55+7))</f>
        <v>0</v>
      </c>
      <c r="D55" s="28" t="n">
        <f aca="false">_xlfn.MAXIFS(Log!$L$5:$L$1504,Log!$C$5:$C$1504,D$33,Log!$A$5:$A$1504,"&gt;="&amp;$B55,Log!$A$5:$A$1504,"&lt;"&amp;($B55+7))</f>
        <v>0</v>
      </c>
      <c r="E55" s="28" t="n">
        <f aca="false">_xlfn.MAXIFS(Log!$L$5:$L$1504,Log!$C$5:$C$1504,E$33,Log!$A$5:$A$1504,"&gt;="&amp;$B55,Log!$A$5:$A$1504,"&lt;"&amp;($B55+7))</f>
        <v>0</v>
      </c>
      <c r="F55" s="28" t="n">
        <f aca="false">_xlfn.MAXIFS(Log!$L$5:$L$1504,Log!$C$5:$C$1504,F$33,Log!$A$5:$A$1504,"&gt;="&amp;$B55,Log!$A$5:$A$1504,"&lt;"&amp;($B55+7))</f>
        <v>0</v>
      </c>
      <c r="G55" s="28" t="n">
        <f aca="false">_xlfn.MAXIFS(Log!$L$5:$L$1504,Log!$C$5:$C$1504,G$33,Log!$A$5:$A$1504,"&gt;="&amp;$B55,Log!$A$5:$A$1504,"&lt;"&amp;($B55+7))</f>
        <v>0</v>
      </c>
      <c r="H55" s="28" t="n">
        <f aca="false">_xlfn.MAXIFS(Log!$L$5:$L$1504,Log!$C$5:$C$1504,H$33,Log!$A$5:$A$1504,"&gt;="&amp;$B55,Log!$A$5:$A$1504,"&lt;"&amp;($B55+7))</f>
        <v>0</v>
      </c>
      <c r="I55" s="28" t="n">
        <f aca="false">_xlfn.MAXIFS(Log!$L$5:$L$1504,Log!$C$5:$C$1504,I$33,Log!$A$5:$A$1504,"&gt;="&amp;$B55,Log!$A$5:$A$1504,"&lt;"&amp;($B55+7))</f>
        <v>0</v>
      </c>
      <c r="K55" s="28" t="n">
        <f aca="false">SUMIFS(Log!$K$5:$K$1504,Log!$C$5:$C$1504,K$33,Log!$A$5:$A$1504,"&gt;="&amp;$B55,Log!$A$5:$A$1504,"&lt;"&amp;($B55+7))</f>
        <v>0</v>
      </c>
      <c r="L55" s="28" t="n">
        <f aca="false">SUMIFS(Log!$K$5:$K$1504,Log!$C$5:$C$1504,L$33,Log!$A$5:$A$1504,"&gt;="&amp;$B55,Log!$A$5:$A$1504,"&lt;"&amp;($B55+7))</f>
        <v>0</v>
      </c>
      <c r="M55" s="28" t="n">
        <f aca="false">SUMIFS(Log!$K$5:$K$1504,Log!$C$5:$C$1504,M$33,Log!$A$5:$A$1504,"&gt;="&amp;$B55,Log!$A$5:$A$1504,"&lt;"&amp;($B55+7))</f>
        <v>0</v>
      </c>
      <c r="N55" s="28" t="n">
        <f aca="false">SUMIFS(Log!$K$5:$K$1504,Log!$C$5:$C$1504,N$33,Log!$A$5:$A$1504,"&gt;="&amp;$B55,Log!$A$5:$A$1504,"&lt;"&amp;($B55+7))</f>
        <v>0</v>
      </c>
      <c r="O55" s="28" t="n">
        <f aca="false">SUMIFS(Log!$K$5:$K$1504,Log!$C$5:$C$1504,O$33,Log!$A$5:$A$1504,"&gt;="&amp;$B55,Log!$A$5:$A$1504,"&lt;"&amp;($B55+7))</f>
        <v>0</v>
      </c>
      <c r="P55" s="28" t="n">
        <f aca="false">SUMIFS(Log!$K$5:$K$1504,Log!$C$5:$C$1504,P$33,Log!$A$5:$A$1504,"&gt;="&amp;$B55,Log!$A$5:$A$1504,"&lt;"&amp;($B55+7))</f>
        <v>0</v>
      </c>
      <c r="Q55" s="28" t="n">
        <f aca="false">SUMIFS(Log!$K$5:$K$1504,Log!$C$5:$C$1504,Q$33,Log!$A$5:$A$1504,"&gt;="&amp;$B55,Log!$A$5:$A$1504,"&lt;"&amp;($B55+7))</f>
        <v>0</v>
      </c>
    </row>
    <row r="56" customFormat="false" ht="15" hidden="false" customHeight="false" outlineLevel="0" collapsed="false">
      <c r="A56" s="18" t="n">
        <v>23</v>
      </c>
      <c r="B56" s="24" t="n">
        <f aca="false">'Start Here'!$C$4+7*(A56-1)</f>
        <v>46454</v>
      </c>
      <c r="C56" s="28" t="n">
        <f aca="false">_xlfn.MAXIFS(Log!$L$5:$L$1504,Log!$C$5:$C$1504,C$33,Log!$A$5:$A$1504,"&gt;="&amp;$B56,Log!$A$5:$A$1504,"&lt;"&amp;($B56+7))</f>
        <v>0</v>
      </c>
      <c r="D56" s="28" t="n">
        <f aca="false">_xlfn.MAXIFS(Log!$L$5:$L$1504,Log!$C$5:$C$1504,D$33,Log!$A$5:$A$1504,"&gt;="&amp;$B56,Log!$A$5:$A$1504,"&lt;"&amp;($B56+7))</f>
        <v>0</v>
      </c>
      <c r="E56" s="28" t="n">
        <f aca="false">_xlfn.MAXIFS(Log!$L$5:$L$1504,Log!$C$5:$C$1504,E$33,Log!$A$5:$A$1504,"&gt;="&amp;$B56,Log!$A$5:$A$1504,"&lt;"&amp;($B56+7))</f>
        <v>0</v>
      </c>
      <c r="F56" s="28" t="n">
        <f aca="false">_xlfn.MAXIFS(Log!$L$5:$L$1504,Log!$C$5:$C$1504,F$33,Log!$A$5:$A$1504,"&gt;="&amp;$B56,Log!$A$5:$A$1504,"&lt;"&amp;($B56+7))</f>
        <v>0</v>
      </c>
      <c r="G56" s="28" t="n">
        <f aca="false">_xlfn.MAXIFS(Log!$L$5:$L$1504,Log!$C$5:$C$1504,G$33,Log!$A$5:$A$1504,"&gt;="&amp;$B56,Log!$A$5:$A$1504,"&lt;"&amp;($B56+7))</f>
        <v>0</v>
      </c>
      <c r="H56" s="28" t="n">
        <f aca="false">_xlfn.MAXIFS(Log!$L$5:$L$1504,Log!$C$5:$C$1504,H$33,Log!$A$5:$A$1504,"&gt;="&amp;$B56,Log!$A$5:$A$1504,"&lt;"&amp;($B56+7))</f>
        <v>0</v>
      </c>
      <c r="I56" s="28" t="n">
        <f aca="false">_xlfn.MAXIFS(Log!$L$5:$L$1504,Log!$C$5:$C$1504,I$33,Log!$A$5:$A$1504,"&gt;="&amp;$B56,Log!$A$5:$A$1504,"&lt;"&amp;($B56+7))</f>
        <v>0</v>
      </c>
      <c r="K56" s="28" t="n">
        <f aca="false">SUMIFS(Log!$K$5:$K$1504,Log!$C$5:$C$1504,K$33,Log!$A$5:$A$1504,"&gt;="&amp;$B56,Log!$A$5:$A$1504,"&lt;"&amp;($B56+7))</f>
        <v>0</v>
      </c>
      <c r="L56" s="28" t="n">
        <f aca="false">SUMIFS(Log!$K$5:$K$1504,Log!$C$5:$C$1504,L$33,Log!$A$5:$A$1504,"&gt;="&amp;$B56,Log!$A$5:$A$1504,"&lt;"&amp;($B56+7))</f>
        <v>0</v>
      </c>
      <c r="M56" s="28" t="n">
        <f aca="false">SUMIFS(Log!$K$5:$K$1504,Log!$C$5:$C$1504,M$33,Log!$A$5:$A$1504,"&gt;="&amp;$B56,Log!$A$5:$A$1504,"&lt;"&amp;($B56+7))</f>
        <v>0</v>
      </c>
      <c r="N56" s="28" t="n">
        <f aca="false">SUMIFS(Log!$K$5:$K$1504,Log!$C$5:$C$1504,N$33,Log!$A$5:$A$1504,"&gt;="&amp;$B56,Log!$A$5:$A$1504,"&lt;"&amp;($B56+7))</f>
        <v>0</v>
      </c>
      <c r="O56" s="28" t="n">
        <f aca="false">SUMIFS(Log!$K$5:$K$1504,Log!$C$5:$C$1504,O$33,Log!$A$5:$A$1504,"&gt;="&amp;$B56,Log!$A$5:$A$1504,"&lt;"&amp;($B56+7))</f>
        <v>0</v>
      </c>
      <c r="P56" s="28" t="n">
        <f aca="false">SUMIFS(Log!$K$5:$K$1504,Log!$C$5:$C$1504,P$33,Log!$A$5:$A$1504,"&gt;="&amp;$B56,Log!$A$5:$A$1504,"&lt;"&amp;($B56+7))</f>
        <v>0</v>
      </c>
      <c r="Q56" s="28" t="n">
        <f aca="false">SUMIFS(Log!$K$5:$K$1504,Log!$C$5:$C$1504,Q$33,Log!$A$5:$A$1504,"&gt;="&amp;$B56,Log!$A$5:$A$1504,"&lt;"&amp;($B56+7))</f>
        <v>0</v>
      </c>
    </row>
    <row r="57" customFormat="false" ht="15" hidden="false" customHeight="false" outlineLevel="0" collapsed="false">
      <c r="A57" s="18" t="n">
        <v>24</v>
      </c>
      <c r="B57" s="24" t="n">
        <f aca="false">'Start Here'!$C$4+7*(A57-1)</f>
        <v>46461</v>
      </c>
      <c r="C57" s="28" t="n">
        <f aca="false">_xlfn.MAXIFS(Log!$L$5:$L$1504,Log!$C$5:$C$1504,C$33,Log!$A$5:$A$1504,"&gt;="&amp;$B57,Log!$A$5:$A$1504,"&lt;"&amp;($B57+7))</f>
        <v>0</v>
      </c>
      <c r="D57" s="28" t="n">
        <f aca="false">_xlfn.MAXIFS(Log!$L$5:$L$1504,Log!$C$5:$C$1504,D$33,Log!$A$5:$A$1504,"&gt;="&amp;$B57,Log!$A$5:$A$1504,"&lt;"&amp;($B57+7))</f>
        <v>0</v>
      </c>
      <c r="E57" s="28" t="n">
        <f aca="false">_xlfn.MAXIFS(Log!$L$5:$L$1504,Log!$C$5:$C$1504,E$33,Log!$A$5:$A$1504,"&gt;="&amp;$B57,Log!$A$5:$A$1504,"&lt;"&amp;($B57+7))</f>
        <v>0</v>
      </c>
      <c r="F57" s="28" t="n">
        <f aca="false">_xlfn.MAXIFS(Log!$L$5:$L$1504,Log!$C$5:$C$1504,F$33,Log!$A$5:$A$1504,"&gt;="&amp;$B57,Log!$A$5:$A$1504,"&lt;"&amp;($B57+7))</f>
        <v>0</v>
      </c>
      <c r="G57" s="28" t="n">
        <f aca="false">_xlfn.MAXIFS(Log!$L$5:$L$1504,Log!$C$5:$C$1504,G$33,Log!$A$5:$A$1504,"&gt;="&amp;$B57,Log!$A$5:$A$1504,"&lt;"&amp;($B57+7))</f>
        <v>0</v>
      </c>
      <c r="H57" s="28" t="n">
        <f aca="false">_xlfn.MAXIFS(Log!$L$5:$L$1504,Log!$C$5:$C$1504,H$33,Log!$A$5:$A$1504,"&gt;="&amp;$B57,Log!$A$5:$A$1504,"&lt;"&amp;($B57+7))</f>
        <v>0</v>
      </c>
      <c r="I57" s="28" t="n">
        <f aca="false">_xlfn.MAXIFS(Log!$L$5:$L$1504,Log!$C$5:$C$1504,I$33,Log!$A$5:$A$1504,"&gt;="&amp;$B57,Log!$A$5:$A$1504,"&lt;"&amp;($B57+7))</f>
        <v>0</v>
      </c>
      <c r="K57" s="28" t="n">
        <f aca="false">SUMIFS(Log!$K$5:$K$1504,Log!$C$5:$C$1504,K$33,Log!$A$5:$A$1504,"&gt;="&amp;$B57,Log!$A$5:$A$1504,"&lt;"&amp;($B57+7))</f>
        <v>0</v>
      </c>
      <c r="L57" s="28" t="n">
        <f aca="false">SUMIFS(Log!$K$5:$K$1504,Log!$C$5:$C$1504,L$33,Log!$A$5:$A$1504,"&gt;="&amp;$B57,Log!$A$5:$A$1504,"&lt;"&amp;($B57+7))</f>
        <v>0</v>
      </c>
      <c r="M57" s="28" t="n">
        <f aca="false">SUMIFS(Log!$K$5:$K$1504,Log!$C$5:$C$1504,M$33,Log!$A$5:$A$1504,"&gt;="&amp;$B57,Log!$A$5:$A$1504,"&lt;"&amp;($B57+7))</f>
        <v>0</v>
      </c>
      <c r="N57" s="28" t="n">
        <f aca="false">SUMIFS(Log!$K$5:$K$1504,Log!$C$5:$C$1504,N$33,Log!$A$5:$A$1504,"&gt;="&amp;$B57,Log!$A$5:$A$1504,"&lt;"&amp;($B57+7))</f>
        <v>0</v>
      </c>
      <c r="O57" s="28" t="n">
        <f aca="false">SUMIFS(Log!$K$5:$K$1504,Log!$C$5:$C$1504,O$33,Log!$A$5:$A$1504,"&gt;="&amp;$B57,Log!$A$5:$A$1504,"&lt;"&amp;($B57+7))</f>
        <v>0</v>
      </c>
      <c r="P57" s="28" t="n">
        <f aca="false">SUMIFS(Log!$K$5:$K$1504,Log!$C$5:$C$1504,P$33,Log!$A$5:$A$1504,"&gt;="&amp;$B57,Log!$A$5:$A$1504,"&lt;"&amp;($B57+7))</f>
        <v>0</v>
      </c>
      <c r="Q57" s="28" t="n">
        <f aca="false">SUMIFS(Log!$K$5:$K$1504,Log!$C$5:$C$1504,Q$33,Log!$A$5:$A$1504,"&gt;="&amp;$B57,Log!$A$5:$A$1504,"&lt;"&amp;($B57+7))</f>
        <v>0</v>
      </c>
    </row>
    <row r="58" customFormat="false" ht="15" hidden="false" customHeight="false" outlineLevel="0" collapsed="false">
      <c r="A58" s="18" t="n">
        <v>25</v>
      </c>
      <c r="B58" s="24" t="n">
        <f aca="false">'Start Here'!$C$4+7*(A58-1)</f>
        <v>46468</v>
      </c>
      <c r="C58" s="28" t="n">
        <f aca="false">_xlfn.MAXIFS(Log!$L$5:$L$1504,Log!$C$5:$C$1504,C$33,Log!$A$5:$A$1504,"&gt;="&amp;$B58,Log!$A$5:$A$1504,"&lt;"&amp;($B58+7))</f>
        <v>0</v>
      </c>
      <c r="D58" s="28" t="n">
        <f aca="false">_xlfn.MAXIFS(Log!$L$5:$L$1504,Log!$C$5:$C$1504,D$33,Log!$A$5:$A$1504,"&gt;="&amp;$B58,Log!$A$5:$A$1504,"&lt;"&amp;($B58+7))</f>
        <v>0</v>
      </c>
      <c r="E58" s="28" t="n">
        <f aca="false">_xlfn.MAXIFS(Log!$L$5:$L$1504,Log!$C$5:$C$1504,E$33,Log!$A$5:$A$1504,"&gt;="&amp;$B58,Log!$A$5:$A$1504,"&lt;"&amp;($B58+7))</f>
        <v>0</v>
      </c>
      <c r="F58" s="28" t="n">
        <f aca="false">_xlfn.MAXIFS(Log!$L$5:$L$1504,Log!$C$5:$C$1504,F$33,Log!$A$5:$A$1504,"&gt;="&amp;$B58,Log!$A$5:$A$1504,"&lt;"&amp;($B58+7))</f>
        <v>0</v>
      </c>
      <c r="G58" s="28" t="n">
        <f aca="false">_xlfn.MAXIFS(Log!$L$5:$L$1504,Log!$C$5:$C$1504,G$33,Log!$A$5:$A$1504,"&gt;="&amp;$B58,Log!$A$5:$A$1504,"&lt;"&amp;($B58+7))</f>
        <v>0</v>
      </c>
      <c r="H58" s="28" t="n">
        <f aca="false">_xlfn.MAXIFS(Log!$L$5:$L$1504,Log!$C$5:$C$1504,H$33,Log!$A$5:$A$1504,"&gt;="&amp;$B58,Log!$A$5:$A$1504,"&lt;"&amp;($B58+7))</f>
        <v>0</v>
      </c>
      <c r="I58" s="28" t="n">
        <f aca="false">_xlfn.MAXIFS(Log!$L$5:$L$1504,Log!$C$5:$C$1504,I$33,Log!$A$5:$A$1504,"&gt;="&amp;$B58,Log!$A$5:$A$1504,"&lt;"&amp;($B58+7))</f>
        <v>0</v>
      </c>
      <c r="K58" s="28" t="n">
        <f aca="false">SUMIFS(Log!$K$5:$K$1504,Log!$C$5:$C$1504,K$33,Log!$A$5:$A$1504,"&gt;="&amp;$B58,Log!$A$5:$A$1504,"&lt;"&amp;($B58+7))</f>
        <v>0</v>
      </c>
      <c r="L58" s="28" t="n">
        <f aca="false">SUMIFS(Log!$K$5:$K$1504,Log!$C$5:$C$1504,L$33,Log!$A$5:$A$1504,"&gt;="&amp;$B58,Log!$A$5:$A$1504,"&lt;"&amp;($B58+7))</f>
        <v>0</v>
      </c>
      <c r="M58" s="28" t="n">
        <f aca="false">SUMIFS(Log!$K$5:$K$1504,Log!$C$5:$C$1504,M$33,Log!$A$5:$A$1504,"&gt;="&amp;$B58,Log!$A$5:$A$1504,"&lt;"&amp;($B58+7))</f>
        <v>0</v>
      </c>
      <c r="N58" s="28" t="n">
        <f aca="false">SUMIFS(Log!$K$5:$K$1504,Log!$C$5:$C$1504,N$33,Log!$A$5:$A$1504,"&gt;="&amp;$B58,Log!$A$5:$A$1504,"&lt;"&amp;($B58+7))</f>
        <v>0</v>
      </c>
      <c r="O58" s="28" t="n">
        <f aca="false">SUMIFS(Log!$K$5:$K$1504,Log!$C$5:$C$1504,O$33,Log!$A$5:$A$1504,"&gt;="&amp;$B58,Log!$A$5:$A$1504,"&lt;"&amp;($B58+7))</f>
        <v>0</v>
      </c>
      <c r="P58" s="28" t="n">
        <f aca="false">SUMIFS(Log!$K$5:$K$1504,Log!$C$5:$C$1504,P$33,Log!$A$5:$A$1504,"&gt;="&amp;$B58,Log!$A$5:$A$1504,"&lt;"&amp;($B58+7))</f>
        <v>0</v>
      </c>
      <c r="Q58" s="28" t="n">
        <f aca="false">SUMIFS(Log!$K$5:$K$1504,Log!$C$5:$C$1504,Q$33,Log!$A$5:$A$1504,"&gt;="&amp;$B58,Log!$A$5:$A$1504,"&lt;"&amp;($B58+7))</f>
        <v>0</v>
      </c>
    </row>
    <row r="59" customFormat="false" ht="15" hidden="false" customHeight="false" outlineLevel="0" collapsed="false">
      <c r="A59" s="18" t="n">
        <v>26</v>
      </c>
      <c r="B59" s="24" t="n">
        <f aca="false">'Start Here'!$C$4+7*(A59-1)</f>
        <v>46475</v>
      </c>
      <c r="C59" s="28" t="n">
        <f aca="false">_xlfn.MAXIFS(Log!$L$5:$L$1504,Log!$C$5:$C$1504,C$33,Log!$A$5:$A$1504,"&gt;="&amp;$B59,Log!$A$5:$A$1504,"&lt;"&amp;($B59+7))</f>
        <v>0</v>
      </c>
      <c r="D59" s="28" t="n">
        <f aca="false">_xlfn.MAXIFS(Log!$L$5:$L$1504,Log!$C$5:$C$1504,D$33,Log!$A$5:$A$1504,"&gt;="&amp;$B59,Log!$A$5:$A$1504,"&lt;"&amp;($B59+7))</f>
        <v>0</v>
      </c>
      <c r="E59" s="28" t="n">
        <f aca="false">_xlfn.MAXIFS(Log!$L$5:$L$1504,Log!$C$5:$C$1504,E$33,Log!$A$5:$A$1504,"&gt;="&amp;$B59,Log!$A$5:$A$1504,"&lt;"&amp;($B59+7))</f>
        <v>0</v>
      </c>
      <c r="F59" s="28" t="n">
        <f aca="false">_xlfn.MAXIFS(Log!$L$5:$L$1504,Log!$C$5:$C$1504,F$33,Log!$A$5:$A$1504,"&gt;="&amp;$B59,Log!$A$5:$A$1504,"&lt;"&amp;($B59+7))</f>
        <v>0</v>
      </c>
      <c r="G59" s="28" t="n">
        <f aca="false">_xlfn.MAXIFS(Log!$L$5:$L$1504,Log!$C$5:$C$1504,G$33,Log!$A$5:$A$1504,"&gt;="&amp;$B59,Log!$A$5:$A$1504,"&lt;"&amp;($B59+7))</f>
        <v>0</v>
      </c>
      <c r="H59" s="28" t="n">
        <f aca="false">_xlfn.MAXIFS(Log!$L$5:$L$1504,Log!$C$5:$C$1504,H$33,Log!$A$5:$A$1504,"&gt;="&amp;$B59,Log!$A$5:$A$1504,"&lt;"&amp;($B59+7))</f>
        <v>0</v>
      </c>
      <c r="I59" s="28" t="n">
        <f aca="false">_xlfn.MAXIFS(Log!$L$5:$L$1504,Log!$C$5:$C$1504,I$33,Log!$A$5:$A$1504,"&gt;="&amp;$B59,Log!$A$5:$A$1504,"&lt;"&amp;($B59+7))</f>
        <v>0</v>
      </c>
      <c r="K59" s="28" t="n">
        <f aca="false">SUMIFS(Log!$K$5:$K$1504,Log!$C$5:$C$1504,K$33,Log!$A$5:$A$1504,"&gt;="&amp;$B59,Log!$A$5:$A$1504,"&lt;"&amp;($B59+7))</f>
        <v>0</v>
      </c>
      <c r="L59" s="28" t="n">
        <f aca="false">SUMIFS(Log!$K$5:$K$1504,Log!$C$5:$C$1504,L$33,Log!$A$5:$A$1504,"&gt;="&amp;$B59,Log!$A$5:$A$1504,"&lt;"&amp;($B59+7))</f>
        <v>0</v>
      </c>
      <c r="M59" s="28" t="n">
        <f aca="false">SUMIFS(Log!$K$5:$K$1504,Log!$C$5:$C$1504,M$33,Log!$A$5:$A$1504,"&gt;="&amp;$B59,Log!$A$5:$A$1504,"&lt;"&amp;($B59+7))</f>
        <v>0</v>
      </c>
      <c r="N59" s="28" t="n">
        <f aca="false">SUMIFS(Log!$K$5:$K$1504,Log!$C$5:$C$1504,N$33,Log!$A$5:$A$1504,"&gt;="&amp;$B59,Log!$A$5:$A$1504,"&lt;"&amp;($B59+7))</f>
        <v>0</v>
      </c>
      <c r="O59" s="28" t="n">
        <f aca="false">SUMIFS(Log!$K$5:$K$1504,Log!$C$5:$C$1504,O$33,Log!$A$5:$A$1504,"&gt;="&amp;$B59,Log!$A$5:$A$1504,"&lt;"&amp;($B59+7))</f>
        <v>0</v>
      </c>
      <c r="P59" s="28" t="n">
        <f aca="false">SUMIFS(Log!$K$5:$K$1504,Log!$C$5:$C$1504,P$33,Log!$A$5:$A$1504,"&gt;="&amp;$B59,Log!$A$5:$A$1504,"&lt;"&amp;($B59+7))</f>
        <v>0</v>
      </c>
      <c r="Q59" s="28" t="n">
        <f aca="false">SUMIFS(Log!$K$5:$K$1504,Log!$C$5:$C$1504,Q$33,Log!$A$5:$A$1504,"&gt;="&amp;$B59,Log!$A$5:$A$1504,"&lt;"&amp;($B59+7))</f>
        <v>0</v>
      </c>
    </row>
  </sheetData>
  <conditionalFormatting sqref="H5:H11">
    <cfRule type="expression" priority="2" aboveAverage="0" equalAverage="0" bottom="0" percent="0" rank="0" text="" dxfId="0">
      <formula>LEFT(H5,8)="LEVEL UP"</formula>
    </cfRule>
  </conditionalFormatting>
  <conditionalFormatting sqref="G5:G11">
    <cfRule type="cellIs" priority="3" operator="greaterThan" aboveAverage="0" equalAverage="0" bottom="0" percent="0" rank="0" text="" dxfId="3">
      <formula>0</formula>
    </cfRule>
    <cfRule type="cellIs" priority="4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40"/>
    <col collapsed="false" customWidth="true" hidden="false" outlineLevel="0" max="9" min="9" style="0" width="3"/>
    <col collapsed="false" customWidth="true" hidden="false" outlineLevel="0" max="10" min="10" style="0" width="95"/>
  </cols>
  <sheetData>
    <row r="1" customFormat="false" ht="19.7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42" hidden="false" customHeight="true" outlineLevel="0" collapsed="false">
      <c r="A4" s="11" t="s">
        <v>24</v>
      </c>
      <c r="B4" s="11" t="s">
        <v>184</v>
      </c>
      <c r="C4" s="11" t="s">
        <v>185</v>
      </c>
      <c r="D4" s="11" t="s">
        <v>186</v>
      </c>
      <c r="E4" s="11" t="s">
        <v>187</v>
      </c>
      <c r="F4" s="11" t="s">
        <v>188</v>
      </c>
      <c r="G4" s="11" t="s">
        <v>189</v>
      </c>
      <c r="H4" s="11" t="s">
        <v>190</v>
      </c>
      <c r="J4" s="21" t="s">
        <v>191</v>
      </c>
    </row>
    <row r="5" customFormat="false" ht="15" hidden="false" customHeight="false" outlineLevel="0" collapsed="false">
      <c r="A5" s="30"/>
      <c r="B5" s="20"/>
      <c r="C5" s="20"/>
      <c r="D5" s="20"/>
      <c r="E5" s="18" t="str">
        <f aca="false">IF(OR(C5="",D5=""),"",ROUND(C5/D5,2))</f>
        <v/>
      </c>
      <c r="F5" s="31" t="str">
        <f aca="false">IF(OR(B5="",$B$5=""),"",B5-$B$5)</f>
        <v/>
      </c>
      <c r="G5" s="31" t="str">
        <f aca="false">IF(OR(C5="",$C$5=""),"",C5-$C$5)</f>
        <v/>
      </c>
      <c r="H5" s="19"/>
      <c r="J5" s="9" t="s">
        <v>192</v>
      </c>
    </row>
    <row r="6" customFormat="false" ht="15" hidden="false" customHeight="false" outlineLevel="0" collapsed="false">
      <c r="A6" s="30"/>
      <c r="B6" s="20"/>
      <c r="C6" s="20"/>
      <c r="D6" s="20"/>
      <c r="E6" s="18" t="str">
        <f aca="false">IF(OR(C6="",D6=""),"",ROUND(C6/D6,2))</f>
        <v/>
      </c>
      <c r="F6" s="31" t="str">
        <f aca="false">IF(OR(B6="",$B$5=""),"",B6-$B$5)</f>
        <v/>
      </c>
      <c r="G6" s="31" t="str">
        <f aca="false">IF(OR(C6="",$C$5=""),"",C6-$C$5)</f>
        <v/>
      </c>
      <c r="H6" s="19"/>
      <c r="J6" s="9" t="s">
        <v>193</v>
      </c>
    </row>
    <row r="7" customFormat="false" ht="15" hidden="false" customHeight="false" outlineLevel="0" collapsed="false">
      <c r="A7" s="30"/>
      <c r="B7" s="20"/>
      <c r="C7" s="20"/>
      <c r="D7" s="20"/>
      <c r="E7" s="18" t="str">
        <f aca="false">IF(OR(C7="",D7=""),"",ROUND(C7/D7,2))</f>
        <v/>
      </c>
      <c r="F7" s="31" t="str">
        <f aca="false">IF(OR(B7="",$B$5=""),"",B7-$B$5)</f>
        <v/>
      </c>
      <c r="G7" s="31" t="str">
        <f aca="false">IF(OR(C7="",$C$5=""),"",C7-$C$5)</f>
        <v/>
      </c>
      <c r="H7" s="19"/>
      <c r="J7" s="9" t="s">
        <v>194</v>
      </c>
    </row>
    <row r="8" customFormat="false" ht="15" hidden="false" customHeight="false" outlineLevel="0" collapsed="false">
      <c r="A8" s="30"/>
      <c r="B8" s="20"/>
      <c r="C8" s="20"/>
      <c r="D8" s="20"/>
      <c r="E8" s="18" t="str">
        <f aca="false">IF(OR(C8="",D8=""),"",ROUND(C8/D8,2))</f>
        <v/>
      </c>
      <c r="F8" s="31" t="str">
        <f aca="false">IF(OR(B8="",$B$5=""),"",B8-$B$5)</f>
        <v/>
      </c>
      <c r="G8" s="31" t="str">
        <f aca="false">IF(OR(C8="",$C$5=""),"",C8-$C$5)</f>
        <v/>
      </c>
      <c r="H8" s="19"/>
      <c r="J8" s="9" t="s">
        <v>195</v>
      </c>
    </row>
    <row r="9" customFormat="false" ht="15" hidden="false" customHeight="false" outlineLevel="0" collapsed="false">
      <c r="A9" s="30"/>
      <c r="B9" s="20"/>
      <c r="C9" s="20"/>
      <c r="D9" s="20"/>
      <c r="E9" s="18" t="str">
        <f aca="false">IF(OR(C9="",D9=""),"",ROUND(C9/D9,2))</f>
        <v/>
      </c>
      <c r="F9" s="31" t="str">
        <f aca="false">IF(OR(B9="",$B$5=""),"",B9-$B$5)</f>
        <v/>
      </c>
      <c r="G9" s="31" t="str">
        <f aca="false">IF(OR(C9="",$C$5=""),"",C9-$C$5)</f>
        <v/>
      </c>
      <c r="H9" s="19"/>
    </row>
    <row r="10" customFormat="false" ht="15" hidden="false" customHeight="false" outlineLevel="0" collapsed="false">
      <c r="A10" s="30"/>
      <c r="B10" s="20"/>
      <c r="C10" s="20"/>
      <c r="D10" s="20"/>
      <c r="E10" s="18" t="str">
        <f aca="false">IF(OR(C10="",D10=""),"",ROUND(C10/D10,2))</f>
        <v/>
      </c>
      <c r="F10" s="31" t="str">
        <f aca="false">IF(OR(B10="",$B$5=""),"",B10-$B$5)</f>
        <v/>
      </c>
      <c r="G10" s="31" t="str">
        <f aca="false">IF(OR(C10="",$C$5=""),"",C10-$C$5)</f>
        <v/>
      </c>
      <c r="H10" s="19"/>
    </row>
    <row r="11" customFormat="false" ht="15" hidden="false" customHeight="false" outlineLevel="0" collapsed="false">
      <c r="A11" s="30"/>
      <c r="B11" s="20"/>
      <c r="C11" s="20"/>
      <c r="D11" s="20"/>
      <c r="E11" s="18" t="str">
        <f aca="false">IF(OR(C11="",D11=""),"",ROUND(C11/D11,2))</f>
        <v/>
      </c>
      <c r="F11" s="31" t="str">
        <f aca="false">IF(OR(B11="",$B$5=""),"",B11-$B$5)</f>
        <v/>
      </c>
      <c r="G11" s="31" t="str">
        <f aca="false">IF(OR(C11="",$C$5=""),"",C11-$C$5)</f>
        <v/>
      </c>
      <c r="H11" s="19"/>
    </row>
    <row r="12" customFormat="false" ht="15" hidden="false" customHeight="false" outlineLevel="0" collapsed="false">
      <c r="A12" s="30"/>
      <c r="B12" s="20"/>
      <c r="C12" s="20"/>
      <c r="D12" s="20"/>
      <c r="E12" s="18" t="str">
        <f aca="false">IF(OR(C12="",D12=""),"",ROUND(C12/D12,2))</f>
        <v/>
      </c>
      <c r="F12" s="31" t="str">
        <f aca="false">IF(OR(B12="",$B$5=""),"",B12-$B$5)</f>
        <v/>
      </c>
      <c r="G12" s="31" t="str">
        <f aca="false">IF(OR(C12="",$C$5=""),"",C12-$C$5)</f>
        <v/>
      </c>
      <c r="H12" s="19"/>
    </row>
    <row r="13" customFormat="false" ht="15" hidden="false" customHeight="false" outlineLevel="0" collapsed="false">
      <c r="A13" s="30"/>
      <c r="B13" s="20"/>
      <c r="C13" s="20"/>
      <c r="D13" s="20"/>
      <c r="E13" s="18" t="str">
        <f aca="false">IF(OR(C13="",D13=""),"",ROUND(C13/D13,2))</f>
        <v/>
      </c>
      <c r="F13" s="31" t="str">
        <f aca="false">IF(OR(B13="",$B$5=""),"",B13-$B$5)</f>
        <v/>
      </c>
      <c r="G13" s="31" t="str">
        <f aca="false">IF(OR(C13="",$C$5=""),"",C13-$C$5)</f>
        <v/>
      </c>
      <c r="H13" s="19"/>
    </row>
    <row r="14" customFormat="false" ht="15" hidden="false" customHeight="false" outlineLevel="0" collapsed="false">
      <c r="A14" s="30"/>
      <c r="B14" s="20"/>
      <c r="C14" s="20"/>
      <c r="D14" s="20"/>
      <c r="E14" s="18" t="str">
        <f aca="false">IF(OR(C14="",D14=""),"",ROUND(C14/D14,2))</f>
        <v/>
      </c>
      <c r="F14" s="31" t="str">
        <f aca="false">IF(OR(B14="",$B$5=""),"",B14-$B$5)</f>
        <v/>
      </c>
      <c r="G14" s="31" t="str">
        <f aca="false">IF(OR(C14="",$C$5=""),"",C14-$C$5)</f>
        <v/>
      </c>
      <c r="H14" s="19"/>
    </row>
    <row r="15" customFormat="false" ht="15" hidden="false" customHeight="false" outlineLevel="0" collapsed="false">
      <c r="A15" s="30"/>
      <c r="B15" s="20"/>
      <c r="C15" s="20"/>
      <c r="D15" s="20"/>
      <c r="E15" s="18" t="str">
        <f aca="false">IF(OR(C15="",D15=""),"",ROUND(C15/D15,2))</f>
        <v/>
      </c>
      <c r="F15" s="31" t="str">
        <f aca="false">IF(OR(B15="",$B$5=""),"",B15-$B$5)</f>
        <v/>
      </c>
      <c r="G15" s="31" t="str">
        <f aca="false">IF(OR(C15="",$C$5=""),"",C15-$C$5)</f>
        <v/>
      </c>
      <c r="H15" s="19"/>
    </row>
    <row r="16" customFormat="false" ht="15" hidden="false" customHeight="false" outlineLevel="0" collapsed="false">
      <c r="A16" s="30"/>
      <c r="B16" s="20"/>
      <c r="C16" s="20"/>
      <c r="D16" s="20"/>
      <c r="E16" s="18" t="str">
        <f aca="false">IF(OR(C16="",D16=""),"",ROUND(C16/D16,2))</f>
        <v/>
      </c>
      <c r="F16" s="31" t="str">
        <f aca="false">IF(OR(B16="",$B$5=""),"",B16-$B$5)</f>
        <v/>
      </c>
      <c r="G16" s="31" t="str">
        <f aca="false">IF(OR(C16="",$C$5=""),"",C16-$C$5)</f>
        <v/>
      </c>
      <c r="H16" s="19"/>
    </row>
    <row r="17" customFormat="false" ht="15" hidden="false" customHeight="false" outlineLevel="0" collapsed="false">
      <c r="A17" s="30"/>
      <c r="B17" s="20"/>
      <c r="C17" s="20"/>
      <c r="D17" s="20"/>
      <c r="E17" s="18" t="str">
        <f aca="false">IF(OR(C17="",D17=""),"",ROUND(C17/D17,2))</f>
        <v/>
      </c>
      <c r="F17" s="31" t="str">
        <f aca="false">IF(OR(B17="",$B$5=""),"",B17-$B$5)</f>
        <v/>
      </c>
      <c r="G17" s="31" t="str">
        <f aca="false">IF(OR(C17="",$C$5=""),"",C17-$C$5)</f>
        <v/>
      </c>
      <c r="H17" s="19"/>
    </row>
    <row r="18" customFormat="false" ht="15" hidden="false" customHeight="false" outlineLevel="0" collapsed="false">
      <c r="A18" s="30"/>
      <c r="B18" s="20"/>
      <c r="C18" s="20"/>
      <c r="D18" s="20"/>
      <c r="E18" s="18" t="str">
        <f aca="false">IF(OR(C18="",D18=""),"",ROUND(C18/D18,2))</f>
        <v/>
      </c>
      <c r="F18" s="31" t="str">
        <f aca="false">IF(OR(B18="",$B$5=""),"",B18-$B$5)</f>
        <v/>
      </c>
      <c r="G18" s="31" t="str">
        <f aca="false">IF(OR(C18="",$C$5=""),"",C18-$C$5)</f>
        <v/>
      </c>
      <c r="H18" s="19"/>
    </row>
    <row r="19" customFormat="false" ht="15" hidden="false" customHeight="false" outlineLevel="0" collapsed="false">
      <c r="A19" s="30"/>
      <c r="B19" s="20"/>
      <c r="C19" s="20"/>
      <c r="D19" s="20"/>
      <c r="E19" s="18" t="str">
        <f aca="false">IF(OR(C19="",D19=""),"",ROUND(C19/D19,2))</f>
        <v/>
      </c>
      <c r="F19" s="31" t="str">
        <f aca="false">IF(OR(B19="",$B$5=""),"",B19-$B$5)</f>
        <v/>
      </c>
      <c r="G19" s="31" t="str">
        <f aca="false">IF(OR(C19="",$C$5=""),"",C19-$C$5)</f>
        <v/>
      </c>
      <c r="H19" s="19"/>
    </row>
    <row r="20" customFormat="false" ht="15" hidden="false" customHeight="false" outlineLevel="0" collapsed="false">
      <c r="A20" s="30"/>
      <c r="B20" s="20"/>
      <c r="C20" s="20"/>
      <c r="D20" s="20"/>
      <c r="E20" s="18" t="str">
        <f aca="false">IF(OR(C20="",D20=""),"",ROUND(C20/D20,2))</f>
        <v/>
      </c>
      <c r="F20" s="31" t="str">
        <f aca="false">IF(OR(B20="",$B$5=""),"",B20-$B$5)</f>
        <v/>
      </c>
      <c r="G20" s="31" t="str">
        <f aca="false">IF(OR(C20="",$C$5=""),"",C20-$C$5)</f>
        <v/>
      </c>
      <c r="H20" s="19"/>
    </row>
    <row r="21" customFormat="false" ht="15" hidden="false" customHeight="false" outlineLevel="0" collapsed="false">
      <c r="A21" s="30"/>
      <c r="B21" s="20"/>
      <c r="C21" s="20"/>
      <c r="D21" s="20"/>
      <c r="E21" s="18" t="str">
        <f aca="false">IF(OR(C21="",D21=""),"",ROUND(C21/D21,2))</f>
        <v/>
      </c>
      <c r="F21" s="31" t="str">
        <f aca="false">IF(OR(B21="",$B$5=""),"",B21-$B$5)</f>
        <v/>
      </c>
      <c r="G21" s="31" t="str">
        <f aca="false">IF(OR(C21="",$C$5=""),"",C21-$C$5)</f>
        <v/>
      </c>
      <c r="H21" s="19"/>
    </row>
    <row r="22" customFormat="false" ht="15" hidden="false" customHeight="false" outlineLevel="0" collapsed="false">
      <c r="A22" s="30"/>
      <c r="B22" s="20"/>
      <c r="C22" s="20"/>
      <c r="D22" s="20"/>
      <c r="E22" s="18" t="str">
        <f aca="false">IF(OR(C22="",D22=""),"",ROUND(C22/D22,2))</f>
        <v/>
      </c>
      <c r="F22" s="31" t="str">
        <f aca="false">IF(OR(B22="",$B$5=""),"",B22-$B$5)</f>
        <v/>
      </c>
      <c r="G22" s="31" t="str">
        <f aca="false">IF(OR(C22="",$C$5=""),"",C22-$C$5)</f>
        <v/>
      </c>
      <c r="H22" s="19"/>
    </row>
    <row r="23" customFormat="false" ht="15" hidden="false" customHeight="false" outlineLevel="0" collapsed="false">
      <c r="A23" s="30"/>
      <c r="B23" s="20"/>
      <c r="C23" s="20"/>
      <c r="D23" s="20"/>
      <c r="E23" s="18" t="str">
        <f aca="false">IF(OR(C23="",D23=""),"",ROUND(C23/D23,2))</f>
        <v/>
      </c>
      <c r="F23" s="31" t="str">
        <f aca="false">IF(OR(B23="",$B$5=""),"",B23-$B$5)</f>
        <v/>
      </c>
      <c r="G23" s="31" t="str">
        <f aca="false">IF(OR(C23="",$C$5=""),"",C23-$C$5)</f>
        <v/>
      </c>
      <c r="H23" s="19"/>
    </row>
    <row r="24" customFormat="false" ht="15" hidden="false" customHeight="false" outlineLevel="0" collapsed="false">
      <c r="A24" s="30"/>
      <c r="B24" s="20"/>
      <c r="C24" s="20"/>
      <c r="D24" s="20"/>
      <c r="E24" s="18" t="str">
        <f aca="false">IF(OR(C24="",D24=""),"",ROUND(C24/D24,2))</f>
        <v/>
      </c>
      <c r="F24" s="31" t="str">
        <f aca="false">IF(OR(B24="",$B$5=""),"",B24-$B$5)</f>
        <v/>
      </c>
      <c r="G24" s="31" t="str">
        <f aca="false">IF(OR(C24="",$C$5=""),"",C24-$C$5)</f>
        <v/>
      </c>
      <c r="H24" s="19"/>
    </row>
    <row r="25" customFormat="false" ht="15" hidden="false" customHeight="false" outlineLevel="0" collapsed="false">
      <c r="A25" s="30"/>
      <c r="B25" s="20"/>
      <c r="C25" s="20"/>
      <c r="D25" s="20"/>
      <c r="E25" s="18" t="str">
        <f aca="false">IF(OR(C25="",D25=""),"",ROUND(C25/D25,2))</f>
        <v/>
      </c>
      <c r="F25" s="31" t="str">
        <f aca="false">IF(OR(B25="",$B$5=""),"",B25-$B$5)</f>
        <v/>
      </c>
      <c r="G25" s="31" t="str">
        <f aca="false">IF(OR(C25="",$C$5=""),"",C25-$C$5)</f>
        <v/>
      </c>
      <c r="H25" s="19"/>
    </row>
    <row r="26" customFormat="false" ht="15" hidden="false" customHeight="false" outlineLevel="0" collapsed="false">
      <c r="A26" s="30"/>
      <c r="B26" s="20"/>
      <c r="C26" s="20"/>
      <c r="D26" s="20"/>
      <c r="E26" s="18" t="str">
        <f aca="false">IF(OR(C26="",D26=""),"",ROUND(C26/D26,2))</f>
        <v/>
      </c>
      <c r="F26" s="31" t="str">
        <f aca="false">IF(OR(B26="",$B$5=""),"",B26-$B$5)</f>
        <v/>
      </c>
      <c r="G26" s="31" t="str">
        <f aca="false">IF(OR(C26="",$C$5=""),"",C26-$C$5)</f>
        <v/>
      </c>
      <c r="H26" s="19"/>
    </row>
    <row r="27" customFormat="false" ht="15" hidden="false" customHeight="false" outlineLevel="0" collapsed="false">
      <c r="A27" s="30"/>
      <c r="B27" s="20"/>
      <c r="C27" s="20"/>
      <c r="D27" s="20"/>
      <c r="E27" s="18" t="str">
        <f aca="false">IF(OR(C27="",D27=""),"",ROUND(C27/D27,2))</f>
        <v/>
      </c>
      <c r="F27" s="31" t="str">
        <f aca="false">IF(OR(B27="",$B$5=""),"",B27-$B$5)</f>
        <v/>
      </c>
      <c r="G27" s="31" t="str">
        <f aca="false">IF(OR(C27="",$C$5=""),"",C27-$C$5)</f>
        <v/>
      </c>
      <c r="H27" s="19"/>
    </row>
    <row r="28" customFormat="false" ht="15" hidden="false" customHeight="false" outlineLevel="0" collapsed="false">
      <c r="A28" s="30"/>
      <c r="B28" s="20"/>
      <c r="C28" s="20"/>
      <c r="D28" s="20"/>
      <c r="E28" s="18" t="str">
        <f aca="false">IF(OR(C28="",D28=""),"",ROUND(C28/D28,2))</f>
        <v/>
      </c>
      <c r="F28" s="31" t="str">
        <f aca="false">IF(OR(B28="",$B$5=""),"",B28-$B$5)</f>
        <v/>
      </c>
      <c r="G28" s="31" t="str">
        <f aca="false">IF(OR(C28="",$C$5=""),"",C28-$C$5)</f>
        <v/>
      </c>
      <c r="H28" s="19"/>
    </row>
    <row r="29" customFormat="false" ht="15" hidden="false" customHeight="false" outlineLevel="0" collapsed="false">
      <c r="A29" s="30"/>
      <c r="B29" s="20"/>
      <c r="C29" s="20"/>
      <c r="D29" s="20"/>
      <c r="E29" s="18" t="str">
        <f aca="false">IF(OR(C29="",D29=""),"",ROUND(C29/D29,2))</f>
        <v/>
      </c>
      <c r="F29" s="31" t="str">
        <f aca="false">IF(OR(B29="",$B$5=""),"",B29-$B$5)</f>
        <v/>
      </c>
      <c r="G29" s="31" t="str">
        <f aca="false">IF(OR(C29="",$C$5=""),"",C29-$C$5)</f>
        <v/>
      </c>
      <c r="H29" s="19"/>
    </row>
    <row r="30" customFormat="false" ht="15" hidden="false" customHeight="false" outlineLevel="0" collapsed="false">
      <c r="A30" s="30"/>
      <c r="B30" s="20"/>
      <c r="C30" s="20"/>
      <c r="D30" s="20"/>
      <c r="E30" s="18" t="str">
        <f aca="false">IF(OR(C30="",D30=""),"",ROUND(C30/D30,2))</f>
        <v/>
      </c>
      <c r="F30" s="31" t="str">
        <f aca="false">IF(OR(B30="",$B$5=""),"",B30-$B$5)</f>
        <v/>
      </c>
      <c r="G30" s="31" t="str">
        <f aca="false">IF(OR(C30="",$C$5=""),"",C30-$C$5)</f>
        <v/>
      </c>
      <c r="H3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1" t="s">
        <v>25</v>
      </c>
      <c r="B1" s="11" t="s">
        <v>147</v>
      </c>
      <c r="C1" s="11" t="s">
        <v>196</v>
      </c>
      <c r="E1" s="2" t="s">
        <v>197</v>
      </c>
    </row>
    <row r="2" customFormat="false" ht="15" hidden="false" customHeight="false" outlineLevel="0" collapsed="false">
      <c r="A2" s="32" t="s">
        <v>32</v>
      </c>
      <c r="B2" s="32" t="s">
        <v>198</v>
      </c>
      <c r="C2" s="19" t="n">
        <v>15</v>
      </c>
    </row>
    <row r="3" customFormat="false" ht="15" hidden="false" customHeight="false" outlineLevel="0" collapsed="false">
      <c r="A3" s="32" t="s">
        <v>66</v>
      </c>
      <c r="B3" s="32" t="s">
        <v>198</v>
      </c>
      <c r="C3" s="19" t="n">
        <v>10</v>
      </c>
    </row>
    <row r="4" customFormat="false" ht="15" hidden="false" customHeight="false" outlineLevel="0" collapsed="false">
      <c r="A4" s="32" t="s">
        <v>68</v>
      </c>
      <c r="B4" s="32" t="s">
        <v>198</v>
      </c>
      <c r="C4" s="19" t="n">
        <v>12</v>
      </c>
    </row>
    <row r="5" customFormat="false" ht="15" hidden="false" customHeight="false" outlineLevel="0" collapsed="false">
      <c r="A5" s="32" t="s">
        <v>71</v>
      </c>
      <c r="B5" s="32" t="s">
        <v>198</v>
      </c>
      <c r="C5" s="19"/>
    </row>
    <row r="6" customFormat="false" ht="15" hidden="false" customHeight="false" outlineLevel="0" collapsed="false">
      <c r="A6" s="32" t="s">
        <v>75</v>
      </c>
      <c r="B6" s="32" t="s">
        <v>199</v>
      </c>
      <c r="C6" s="19" t="n">
        <v>60</v>
      </c>
    </row>
    <row r="7" customFormat="false" ht="15" hidden="false" customHeight="false" outlineLevel="0" collapsed="false">
      <c r="A7" s="32" t="s">
        <v>77</v>
      </c>
      <c r="B7" s="32" t="s">
        <v>199</v>
      </c>
      <c r="C7" s="19" t="n">
        <v>30</v>
      </c>
    </row>
    <row r="8" customFormat="false" ht="15" hidden="false" customHeight="false" outlineLevel="0" collapsed="false">
      <c r="A8" s="32" t="s">
        <v>81</v>
      </c>
      <c r="B8" s="32" t="s">
        <v>198</v>
      </c>
      <c r="C8" s="19" t="n">
        <v>15</v>
      </c>
    </row>
    <row r="9" customFormat="false" ht="15" hidden="false" customHeight="false" outlineLevel="0" collapsed="false">
      <c r="A9" s="32" t="s">
        <v>83</v>
      </c>
      <c r="B9" s="32" t="s">
        <v>200</v>
      </c>
      <c r="C9" s="19" t="n">
        <v>12</v>
      </c>
    </row>
    <row r="10" customFormat="false" ht="15" hidden="false" customHeight="false" outlineLevel="0" collapsed="false">
      <c r="A10" s="32" t="s">
        <v>85</v>
      </c>
      <c r="B10" s="32" t="s">
        <v>200</v>
      </c>
      <c r="C10" s="19" t="n">
        <v>20</v>
      </c>
    </row>
    <row r="11" customFormat="false" ht="15" hidden="false" customHeight="false" outlineLevel="0" collapsed="false">
      <c r="A11" s="32" t="s">
        <v>87</v>
      </c>
      <c r="B11" s="32" t="s">
        <v>201</v>
      </c>
      <c r="C11" s="19"/>
    </row>
    <row r="12" customFormat="false" ht="15" hidden="false" customHeight="false" outlineLevel="0" collapsed="false">
      <c r="A12" s="32" t="s">
        <v>89</v>
      </c>
      <c r="B12" s="32" t="s">
        <v>198</v>
      </c>
      <c r="C12" s="19" t="n">
        <v>20</v>
      </c>
    </row>
    <row r="13" customFormat="false" ht="15" hidden="false" customHeight="false" outlineLevel="0" collapsed="false">
      <c r="A13" s="32" t="s">
        <v>91</v>
      </c>
      <c r="B13" s="32" t="s">
        <v>200</v>
      </c>
      <c r="C13" s="19" t="n">
        <v>12</v>
      </c>
    </row>
    <row r="14" customFormat="false" ht="15" hidden="false" customHeight="false" outlineLevel="0" collapsed="false">
      <c r="A14" s="32" t="s">
        <v>94</v>
      </c>
      <c r="B14" s="32" t="s">
        <v>198</v>
      </c>
      <c r="C14" s="19" t="n">
        <v>8</v>
      </c>
    </row>
    <row r="15" customFormat="false" ht="15" hidden="false" customHeight="false" outlineLevel="0" collapsed="false">
      <c r="A15" s="32" t="s">
        <v>96</v>
      </c>
      <c r="B15" s="32" t="s">
        <v>198</v>
      </c>
      <c r="C15" s="19" t="n">
        <v>12</v>
      </c>
    </row>
    <row r="16" customFormat="false" ht="15" hidden="false" customHeight="false" outlineLevel="0" collapsed="false">
      <c r="A16" s="32" t="s">
        <v>98</v>
      </c>
      <c r="B16" s="32" t="s">
        <v>199</v>
      </c>
      <c r="C16" s="19" t="n">
        <v>40</v>
      </c>
    </row>
    <row r="17" customFormat="false" ht="15" hidden="false" customHeight="false" outlineLevel="0" collapsed="false">
      <c r="A17" s="32" t="s">
        <v>100</v>
      </c>
      <c r="B17" s="32" t="s">
        <v>198</v>
      </c>
      <c r="C17" s="19"/>
    </row>
    <row r="18" customFormat="false" ht="15" hidden="false" customHeight="false" outlineLevel="0" collapsed="false">
      <c r="A18" s="32" t="s">
        <v>101</v>
      </c>
      <c r="B18" s="32" t="s">
        <v>198</v>
      </c>
      <c r="C18" s="19" t="n">
        <v>12</v>
      </c>
    </row>
    <row r="19" customFormat="false" ht="15" hidden="false" customHeight="false" outlineLevel="0" collapsed="false">
      <c r="A19" s="32" t="s">
        <v>103</v>
      </c>
      <c r="B19" s="32" t="s">
        <v>202</v>
      </c>
      <c r="C19" s="19" t="n">
        <v>40</v>
      </c>
    </row>
    <row r="20" customFormat="false" ht="15" hidden="false" customHeight="false" outlineLevel="0" collapsed="false">
      <c r="A20" s="32" t="s">
        <v>107</v>
      </c>
      <c r="B20" s="32" t="s">
        <v>200</v>
      </c>
      <c r="C20" s="19" t="n">
        <v>15</v>
      </c>
    </row>
    <row r="21" customFormat="false" ht="15" hidden="false" customHeight="false" outlineLevel="0" collapsed="false">
      <c r="A21" s="32" t="s">
        <v>109</v>
      </c>
      <c r="B21" s="32" t="s">
        <v>200</v>
      </c>
      <c r="C21" s="19" t="n">
        <v>12</v>
      </c>
    </row>
    <row r="22" customFormat="false" ht="15" hidden="false" customHeight="false" outlineLevel="0" collapsed="false">
      <c r="A22" s="32" t="s">
        <v>110</v>
      </c>
      <c r="B22" s="32" t="s">
        <v>200</v>
      </c>
      <c r="C22" s="19" t="n">
        <v>10</v>
      </c>
    </row>
    <row r="23" customFormat="false" ht="15" hidden="false" customHeight="false" outlineLevel="0" collapsed="false">
      <c r="A23" s="32" t="s">
        <v>112</v>
      </c>
      <c r="B23" s="32" t="s">
        <v>202</v>
      </c>
      <c r="C23" s="19" t="n">
        <v>30</v>
      </c>
    </row>
    <row r="24" customFormat="false" ht="15" hidden="false" customHeight="false" outlineLevel="0" collapsed="false">
      <c r="A24" s="32" t="s">
        <v>115</v>
      </c>
      <c r="B24" s="32" t="s">
        <v>199</v>
      </c>
      <c r="C24" s="19" t="n">
        <v>60</v>
      </c>
    </row>
    <row r="25" customFormat="false" ht="15" hidden="false" customHeight="false" outlineLevel="0" collapsed="false">
      <c r="A25" s="32" t="s">
        <v>117</v>
      </c>
      <c r="B25" s="32" t="s">
        <v>200</v>
      </c>
      <c r="C25" s="19"/>
    </row>
    <row r="26" customFormat="false" ht="15" hidden="false" customHeight="false" outlineLevel="0" collapsed="false">
      <c r="A26" s="32" t="s">
        <v>136</v>
      </c>
      <c r="B26" s="32" t="s">
        <v>198</v>
      </c>
      <c r="C26" s="19"/>
    </row>
    <row r="27" customFormat="false" ht="15" hidden="false" customHeight="false" outlineLevel="0" collapsed="false">
      <c r="A27" s="32" t="s">
        <v>137</v>
      </c>
      <c r="B27" s="32" t="s">
        <v>199</v>
      </c>
      <c r="C27" s="19"/>
    </row>
    <row r="28" customFormat="false" ht="15" hidden="false" customHeight="false" outlineLevel="0" collapsed="false">
      <c r="A28" s="32" t="s">
        <v>133</v>
      </c>
      <c r="B28" s="32" t="s">
        <v>203</v>
      </c>
      <c r="C28" s="19"/>
    </row>
    <row r="29" customFormat="false" ht="15" hidden="false" customHeight="false" outlineLevel="0" collapsed="false">
      <c r="A29" s="33"/>
      <c r="B29" s="33"/>
      <c r="C29" s="33"/>
    </row>
    <row r="30" customFormat="false" ht="15" hidden="false" customHeight="false" outlineLevel="0" collapsed="false">
      <c r="A30" s="33"/>
      <c r="B30" s="33"/>
      <c r="C30" s="33"/>
    </row>
    <row r="31" customFormat="false" ht="15" hidden="false" customHeight="false" outlineLevel="0" collapsed="false">
      <c r="A31" s="33"/>
      <c r="B31" s="33"/>
      <c r="C31" s="33"/>
    </row>
    <row r="32" customFormat="false" ht="15" hidden="false" customHeight="false" outlineLevel="0" collapsed="false">
      <c r="A32" s="33"/>
      <c r="B32" s="33"/>
      <c r="C32" s="33"/>
    </row>
    <row r="33" customFormat="false" ht="15" hidden="false" customHeight="false" outlineLevel="0" collapsed="false">
      <c r="A33" s="33"/>
      <c r="B33" s="33"/>
      <c r="C33" s="33"/>
    </row>
    <row r="34" customFormat="false" ht="15" hidden="false" customHeight="false" outlineLevel="0" collapsed="false">
      <c r="A34" s="33"/>
      <c r="B34" s="33"/>
      <c r="C34" s="33"/>
    </row>
    <row r="35" customFormat="false" ht="15" hidden="false" customHeight="false" outlineLevel="0" collapsed="false">
      <c r="A35" s="33"/>
      <c r="B35" s="33"/>
      <c r="C35" s="33"/>
    </row>
    <row r="36" customFormat="false" ht="15" hidden="false" customHeight="false" outlineLevel="0" collapsed="false">
      <c r="A36" s="33"/>
      <c r="B36" s="33"/>
      <c r="C36" s="33"/>
    </row>
    <row r="37" customFormat="false" ht="15" hidden="false" customHeight="false" outlineLevel="0" collapsed="false">
      <c r="A37" s="33"/>
      <c r="B37" s="33"/>
      <c r="C37" s="33"/>
    </row>
    <row r="38" customFormat="false" ht="15" hidden="false" customHeight="false" outlineLevel="0" collapsed="false">
      <c r="A38" s="33"/>
      <c r="B38" s="33"/>
      <c r="C38" s="33"/>
    </row>
    <row r="39" customFormat="false" ht="15" hidden="false" customHeight="false" outlineLevel="0" collapsed="false">
      <c r="A39" s="33"/>
      <c r="B39" s="33"/>
      <c r="C39" s="33"/>
    </row>
    <row r="40" customFormat="false" ht="15" hidden="false" customHeight="false" outlineLevel="0" collapsed="false">
      <c r="A40" s="33"/>
      <c r="B40" s="33"/>
      <c r="C40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2026-10-05T13:48:17Z</dcterms:created>
  <dc:creator>openpyxl</dc:creator>
  <dc:description/>
  <dc:language>en-US</dc:language>
  <cp:lastModifiedBy/>
  <dcterms:modified xsi:type="dcterms:W3CDTF">2026-10-05T13:48:25Z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